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2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0655" yWindow="210" windowWidth="19320" windowHeight="8700" tabRatio="891"/>
  </bookViews>
  <sheets>
    <sheet name="Reeksen" sheetId="14" r:id="rId1"/>
    <sheet name="Garmin" sheetId="43" r:id="rId2"/>
    <sheet name="Kilometers" sheetId="16" r:id="rId3"/>
    <sheet name="Hartslagen" sheetId="12" r:id="rId4"/>
    <sheet name="Calculator" sheetId="29" r:id="rId5"/>
    <sheet name="Hartslag grafiek" sheetId="22" r:id="rId6"/>
    <sheet name="Parcours" sheetId="5" r:id="rId7"/>
    <sheet name="HM in 1'10&quot;" sheetId="41" r:id="rId8"/>
    <sheet name="Conconi 2" sheetId="24" r:id="rId9"/>
    <sheet name="Conconi 3" sheetId="32" r:id="rId10"/>
    <sheet name="Tijd 2000" sheetId="1" r:id="rId11"/>
    <sheet name="HS 10-20 km" sheetId="28" r:id="rId12"/>
    <sheet name="Viad test" sheetId="35" r:id="rId13"/>
    <sheet name="Viad" sheetId="34" r:id="rId14"/>
    <sheet name="ConditieGetal" sheetId="37" r:id="rId15"/>
  </sheets>
  <definedNames>
    <definedName name="_xlnm._FilterDatabase" localSheetId="0" hidden="1">Reeksen!$A$1:$P$1192</definedName>
    <definedName name="DATUMS">'Tijd 2000'!$A$2:$A$40</definedName>
    <definedName name="TIJD">'Tijd 2000'!$R$2:$R$40</definedName>
    <definedName name="TIJDEN">'Tijd 2000'!$A$2:$A$40</definedName>
  </definedNames>
  <calcPr calcId="145621"/>
</workbook>
</file>

<file path=xl/calcChain.xml><?xml version="1.0" encoding="utf-8"?>
<calcChain xmlns="http://schemas.openxmlformats.org/spreadsheetml/2006/main">
  <c r="I1270" i="14" l="1"/>
  <c r="J1270" i="14" s="1"/>
  <c r="N1270" i="14"/>
  <c r="O1270" i="14"/>
  <c r="D1270" i="14"/>
  <c r="M1270" i="14" l="1"/>
  <c r="K1270" i="14"/>
  <c r="L1270" i="14"/>
  <c r="I1269" i="14"/>
  <c r="J1269" i="14" s="1"/>
  <c r="N1269" i="14"/>
  <c r="O1269" i="14"/>
  <c r="I233" i="14"/>
  <c r="I351" i="14"/>
  <c r="I416" i="14"/>
  <c r="I417" i="14"/>
  <c r="I638" i="14"/>
  <c r="I648" i="14"/>
  <c r="I909" i="14"/>
  <c r="I924" i="14"/>
  <c r="I931" i="14"/>
  <c r="I932" i="14"/>
  <c r="I936" i="14"/>
  <c r="I975" i="14"/>
  <c r="I1264" i="14"/>
  <c r="I1268" i="14"/>
  <c r="J1264" i="14"/>
  <c r="J1268" i="14"/>
  <c r="J1267" i="14"/>
  <c r="N1265" i="14"/>
  <c r="O1265" i="14"/>
  <c r="N1266" i="14"/>
  <c r="O1266" i="14"/>
  <c r="N1267" i="14"/>
  <c r="O1267" i="14"/>
  <c r="N1268" i="14"/>
  <c r="O1268" i="14"/>
  <c r="O1264" i="14"/>
  <c r="N1264" i="14"/>
  <c r="D1269" i="14"/>
  <c r="D1268" i="14"/>
  <c r="D1267" i="14"/>
  <c r="I1267" i="14" s="1"/>
  <c r="D1266" i="14"/>
  <c r="D1265" i="14"/>
  <c r="D1264" i="14"/>
  <c r="L1269" i="14" l="1"/>
  <c r="K1269" i="14"/>
  <c r="M1269" i="14"/>
  <c r="I1265" i="14"/>
  <c r="J1265" i="14" s="1"/>
  <c r="I1266" i="14"/>
  <c r="J1266" i="14" s="1"/>
  <c r="L1267" i="14"/>
  <c r="K1267" i="14"/>
  <c r="M1267" i="14"/>
  <c r="K1268" i="14"/>
  <c r="L1268" i="14"/>
  <c r="M1268" i="14"/>
  <c r="M1264" i="14"/>
  <c r="L1264" i="14"/>
  <c r="K1264" i="14"/>
  <c r="D1250" i="14"/>
  <c r="D1248" i="14"/>
  <c r="D1257" i="14"/>
  <c r="D1249" i="14"/>
  <c r="D1255" i="14"/>
  <c r="D1254" i="14"/>
  <c r="D1256" i="14"/>
  <c r="D1263" i="14"/>
  <c r="D1246" i="14"/>
  <c r="D1247" i="14"/>
  <c r="D1245" i="14"/>
  <c r="D1262" i="14"/>
  <c r="D1261" i="14"/>
  <c r="D1260" i="14"/>
  <c r="D1259" i="14"/>
  <c r="D1258" i="14"/>
  <c r="D1253" i="14"/>
  <c r="D1244" i="14"/>
  <c r="D1252" i="14"/>
  <c r="D1251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24" i="14"/>
  <c r="M1266" i="14" l="1"/>
  <c r="L1266" i="14"/>
  <c r="K1266" i="14"/>
  <c r="K1265" i="14"/>
  <c r="L1265" i="14"/>
  <c r="M1265" i="14"/>
  <c r="D1220" i="14"/>
  <c r="A1220" i="14"/>
  <c r="D1219" i="14" l="1"/>
  <c r="I1219" i="14" s="1"/>
  <c r="D1215" i="14"/>
  <c r="I1215" i="14" s="1"/>
  <c r="D1216" i="14"/>
  <c r="I1216" i="14" s="1"/>
  <c r="D1217" i="14"/>
  <c r="I1217" i="14" s="1"/>
  <c r="D1218" i="14"/>
  <c r="I1218" i="14" s="1"/>
  <c r="D1214" i="14"/>
  <c r="I1214" i="14" s="1"/>
  <c r="D1213" i="14"/>
  <c r="I1213" i="14" s="1"/>
  <c r="D1212" i="14"/>
  <c r="I1212" i="14" s="1"/>
  <c r="D1209" i="14" l="1"/>
  <c r="I1209" i="14" s="1"/>
  <c r="D1210" i="14"/>
  <c r="I1210" i="14" s="1"/>
  <c r="D1211" i="14"/>
  <c r="I1211" i="14" s="1"/>
  <c r="B27" i="29" l="1"/>
  <c r="D1208" i="14"/>
  <c r="I1208" i="14" s="1"/>
  <c r="N1202" i="14" l="1"/>
  <c r="N1203" i="14"/>
  <c r="N1204" i="14"/>
  <c r="N1205" i="14"/>
  <c r="N1206" i="14"/>
  <c r="N1201" i="14"/>
  <c r="D1201" i="14"/>
  <c r="I1201" i="14" s="1"/>
  <c r="D1202" i="14"/>
  <c r="I1202" i="14" s="1"/>
  <c r="D1203" i="14"/>
  <c r="I1203" i="14" s="1"/>
  <c r="D1204" i="14"/>
  <c r="I1204" i="14" s="1"/>
  <c r="D1206" i="14"/>
  <c r="I1206" i="14" s="1"/>
  <c r="D1205" i="14"/>
  <c r="I1205" i="14" s="1"/>
  <c r="D1207" i="14"/>
  <c r="I1207" i="14" s="1"/>
  <c r="D1006" i="14" l="1"/>
  <c r="D1007" i="14"/>
  <c r="I1007" i="14" s="1"/>
  <c r="D1008" i="14"/>
  <c r="I1008" i="14" s="1"/>
  <c r="D1009" i="14"/>
  <c r="I1009" i="14" s="1"/>
  <c r="D1010" i="14"/>
  <c r="D1011" i="14"/>
  <c r="I1011" i="14" s="1"/>
  <c r="D1012" i="14"/>
  <c r="I1012" i="14" s="1"/>
  <c r="D1013" i="14"/>
  <c r="I1013" i="14" s="1"/>
  <c r="D1014" i="14"/>
  <c r="D1015" i="14"/>
  <c r="D1016" i="14"/>
  <c r="I1016" i="14" s="1"/>
  <c r="D1017" i="14"/>
  <c r="I1017" i="14" s="1"/>
  <c r="D1018" i="14"/>
  <c r="D1019" i="14"/>
  <c r="D1020" i="14"/>
  <c r="D1021" i="14"/>
  <c r="D1022" i="14"/>
  <c r="I1022" i="14" s="1"/>
  <c r="D1023" i="14"/>
  <c r="I1023" i="14" s="1"/>
  <c r="D1024" i="14"/>
  <c r="D1025" i="14"/>
  <c r="I1025" i="14" s="1"/>
  <c r="D1026" i="14"/>
  <c r="I1026" i="14" s="1"/>
  <c r="D1027" i="14"/>
  <c r="D1028" i="14"/>
  <c r="I1028" i="14" s="1"/>
  <c r="D1029" i="14"/>
  <c r="D1030" i="14"/>
  <c r="D1031" i="14"/>
  <c r="I1031" i="14" s="1"/>
  <c r="D1032" i="14"/>
  <c r="I1032" i="14" s="1"/>
  <c r="D1033" i="14"/>
  <c r="I1033" i="14" s="1"/>
  <c r="D1034" i="14"/>
  <c r="D1035" i="14"/>
  <c r="D1036" i="14"/>
  <c r="D1037" i="14"/>
  <c r="I1037" i="14" s="1"/>
  <c r="D1038" i="14"/>
  <c r="I1038" i="14" s="1"/>
  <c r="D1039" i="14"/>
  <c r="D1040" i="14"/>
  <c r="D1041" i="14"/>
  <c r="D1042" i="14"/>
  <c r="D1043" i="14"/>
  <c r="I1043" i="14" s="1"/>
  <c r="D1044" i="14"/>
  <c r="D1045" i="14"/>
  <c r="I1045" i="14" s="1"/>
  <c r="D1046" i="14"/>
  <c r="D1047" i="14"/>
  <c r="I1047" i="14" s="1"/>
  <c r="D1048" i="14"/>
  <c r="I1048" i="14" s="1"/>
  <c r="D1049" i="14"/>
  <c r="D1050" i="14"/>
  <c r="I1050" i="14" s="1"/>
  <c r="D1051" i="14"/>
  <c r="D1052" i="14"/>
  <c r="D1053" i="14"/>
  <c r="D1054" i="14"/>
  <c r="D1055" i="14"/>
  <c r="D1056" i="14"/>
  <c r="D1057" i="14"/>
  <c r="D1058" i="14"/>
  <c r="D1059" i="14"/>
  <c r="I1059" i="14" s="1"/>
  <c r="D1060" i="14"/>
  <c r="D1061" i="14"/>
  <c r="I1061" i="14" s="1"/>
  <c r="D1062" i="14"/>
  <c r="I1062" i="14" s="1"/>
  <c r="D1063" i="14"/>
  <c r="D1064" i="14"/>
  <c r="D1065" i="14"/>
  <c r="I1065" i="14" s="1"/>
  <c r="D1066" i="14"/>
  <c r="I1066" i="14" s="1"/>
  <c r="D1067" i="14"/>
  <c r="D1068" i="14"/>
  <c r="D1069" i="14"/>
  <c r="D1070" i="14"/>
  <c r="I1070" i="14" s="1"/>
  <c r="D1071" i="14"/>
  <c r="I1071" i="14" s="1"/>
  <c r="D1072" i="14"/>
  <c r="I1072" i="14" s="1"/>
  <c r="D1073" i="14"/>
  <c r="I1073" i="14" s="1"/>
  <c r="D1074" i="14"/>
  <c r="I1074" i="14" s="1"/>
  <c r="D1075" i="14"/>
  <c r="D1076" i="14"/>
  <c r="D1077" i="14"/>
  <c r="I1077" i="14" s="1"/>
  <c r="D1078" i="14"/>
  <c r="I1078" i="14" s="1"/>
  <c r="D1079" i="14"/>
  <c r="D1080" i="14"/>
  <c r="D1081" i="14"/>
  <c r="D1082" i="14"/>
  <c r="I1082" i="14" s="1"/>
  <c r="D1083" i="14"/>
  <c r="I1083" i="14" s="1"/>
  <c r="D1084" i="14"/>
  <c r="I1084" i="14" s="1"/>
  <c r="D1085" i="14"/>
  <c r="I1085" i="14" s="1"/>
  <c r="D1086" i="14"/>
  <c r="D1087" i="14"/>
  <c r="I1087" i="14" s="1"/>
  <c r="D1088" i="14"/>
  <c r="I1088" i="14" s="1"/>
  <c r="D1089" i="14"/>
  <c r="D1090" i="14"/>
  <c r="D1091" i="14"/>
  <c r="D1092" i="14"/>
  <c r="D1093" i="14"/>
  <c r="I1093" i="14" s="1"/>
  <c r="D1094" i="14"/>
  <c r="I1094" i="14" s="1"/>
  <c r="D1095" i="14"/>
  <c r="D1096" i="14"/>
  <c r="D1097" i="14"/>
  <c r="D1098" i="14"/>
  <c r="I1098" i="14" s="1"/>
  <c r="D1099" i="14"/>
  <c r="I1099" i="14" s="1"/>
  <c r="D1100" i="14"/>
  <c r="I1100" i="14" s="1"/>
  <c r="D1101" i="14"/>
  <c r="D1102" i="14"/>
  <c r="D1103" i="14"/>
  <c r="D1104" i="14"/>
  <c r="I1104" i="14" s="1"/>
  <c r="D1105" i="14"/>
  <c r="I1105" i="14" s="1"/>
  <c r="D1106" i="14"/>
  <c r="I1106" i="14" s="1"/>
  <c r="D1107" i="14"/>
  <c r="D1108" i="14"/>
  <c r="I1108" i="14" s="1"/>
  <c r="D1109" i="14"/>
  <c r="I1109" i="14" s="1"/>
  <c r="D1110" i="14"/>
  <c r="D1111" i="14"/>
  <c r="D1112" i="14"/>
  <c r="D1113" i="14"/>
  <c r="D1114" i="14"/>
  <c r="D1115" i="14"/>
  <c r="D1116" i="14"/>
  <c r="D1117" i="14"/>
  <c r="D1118" i="14"/>
  <c r="D1119" i="14"/>
  <c r="I1119" i="14" s="1"/>
  <c r="D1120" i="14"/>
  <c r="I1120" i="14" s="1"/>
  <c r="D1121" i="14"/>
  <c r="I1121" i="14" s="1"/>
  <c r="D1122" i="14"/>
  <c r="I1122" i="14" s="1"/>
  <c r="D1123" i="14"/>
  <c r="I1123" i="14" s="1"/>
  <c r="D1124" i="14"/>
  <c r="I1124" i="14" s="1"/>
  <c r="D1125" i="14"/>
  <c r="I1125" i="14" s="1"/>
  <c r="D1126" i="14"/>
  <c r="I1126" i="14" s="1"/>
  <c r="D1127" i="14"/>
  <c r="I1127" i="14" s="1"/>
  <c r="D1128" i="14"/>
  <c r="I1128" i="14" s="1"/>
  <c r="D1129" i="14"/>
  <c r="I1129" i="14" s="1"/>
  <c r="D1130" i="14"/>
  <c r="I1130" i="14" s="1"/>
  <c r="D1131" i="14"/>
  <c r="I1131" i="14" s="1"/>
  <c r="D1132" i="14"/>
  <c r="I1132" i="14" s="1"/>
  <c r="D1133" i="14"/>
  <c r="I1133" i="14" s="1"/>
  <c r="D1134" i="14"/>
  <c r="I1134" i="14" s="1"/>
  <c r="D1135" i="14"/>
  <c r="I1135" i="14" s="1"/>
  <c r="D1136" i="14"/>
  <c r="I1136" i="14" s="1"/>
  <c r="D1137" i="14"/>
  <c r="I1137" i="14" s="1"/>
  <c r="D1138" i="14"/>
  <c r="I1138" i="14" s="1"/>
  <c r="D1139" i="14"/>
  <c r="I1139" i="14" s="1"/>
  <c r="D1140" i="14"/>
  <c r="I1140" i="14" s="1"/>
  <c r="D1141" i="14"/>
  <c r="I1141" i="14" s="1"/>
  <c r="D1142" i="14"/>
  <c r="I1142" i="14" s="1"/>
  <c r="D1143" i="14"/>
  <c r="I1143" i="14" s="1"/>
  <c r="D1144" i="14"/>
  <c r="I1144" i="14" s="1"/>
  <c r="D1145" i="14"/>
  <c r="I1145" i="14" s="1"/>
  <c r="D1146" i="14"/>
  <c r="I1146" i="14" s="1"/>
  <c r="D1147" i="14"/>
  <c r="I1147" i="14" s="1"/>
  <c r="D1148" i="14"/>
  <c r="I1148" i="14" s="1"/>
  <c r="D1149" i="14"/>
  <c r="I1149" i="14" s="1"/>
  <c r="D1150" i="14"/>
  <c r="I1150" i="14" s="1"/>
  <c r="D1151" i="14"/>
  <c r="I1151" i="14" s="1"/>
  <c r="D1152" i="14"/>
  <c r="I1152" i="14" s="1"/>
  <c r="D1153" i="14"/>
  <c r="I1153" i="14" s="1"/>
  <c r="D1154" i="14"/>
  <c r="I1154" i="14" s="1"/>
  <c r="D1155" i="14"/>
  <c r="I1155" i="14" s="1"/>
  <c r="D1156" i="14"/>
  <c r="I1156" i="14" s="1"/>
  <c r="D1157" i="14"/>
  <c r="I1157" i="14" s="1"/>
  <c r="D1158" i="14"/>
  <c r="I1158" i="14" s="1"/>
  <c r="D1159" i="14"/>
  <c r="I1159" i="14" s="1"/>
  <c r="D1160" i="14"/>
  <c r="I1160" i="14" s="1"/>
  <c r="D1161" i="14"/>
  <c r="I1161" i="14" s="1"/>
  <c r="D1162" i="14"/>
  <c r="I1162" i="14" s="1"/>
  <c r="D1163" i="14"/>
  <c r="I1163" i="14" s="1"/>
  <c r="D1164" i="14"/>
  <c r="I1164" i="14" s="1"/>
  <c r="D1165" i="14"/>
  <c r="I1165" i="14" s="1"/>
  <c r="D1166" i="14"/>
  <c r="I1166" i="14" s="1"/>
  <c r="D1167" i="14"/>
  <c r="I1167" i="14" s="1"/>
  <c r="D1168" i="14"/>
  <c r="I1168" i="14" s="1"/>
  <c r="D1169" i="14"/>
  <c r="I1169" i="14" s="1"/>
  <c r="D1170" i="14"/>
  <c r="I1170" i="14" s="1"/>
  <c r="D1171" i="14"/>
  <c r="I1171" i="14" s="1"/>
  <c r="D1172" i="14"/>
  <c r="I1172" i="14" s="1"/>
  <c r="D1173" i="14"/>
  <c r="I1173" i="14" s="1"/>
  <c r="D1174" i="14"/>
  <c r="I1174" i="14" s="1"/>
  <c r="D1175" i="14"/>
  <c r="I1175" i="14" s="1"/>
  <c r="D1176" i="14"/>
  <c r="I1176" i="14" s="1"/>
  <c r="D1177" i="14"/>
  <c r="I1177" i="14" s="1"/>
  <c r="D1178" i="14"/>
  <c r="I1178" i="14" s="1"/>
  <c r="D1179" i="14"/>
  <c r="D1180" i="14"/>
  <c r="D1181" i="14"/>
  <c r="D1182" i="14"/>
  <c r="D1183" i="14"/>
  <c r="D1184" i="14"/>
  <c r="D1185" i="14"/>
  <c r="I1185" i="14" s="1"/>
  <c r="D1186" i="14"/>
  <c r="I1186" i="14" s="1"/>
  <c r="D1187" i="14"/>
  <c r="D1188" i="14"/>
  <c r="I1188" i="14" s="1"/>
  <c r="D1189" i="14"/>
  <c r="D1190" i="14"/>
  <c r="D1191" i="14"/>
  <c r="I1191" i="14" s="1"/>
  <c r="D1192" i="14"/>
  <c r="I1192" i="14" s="1"/>
  <c r="D1005" i="14"/>
  <c r="I1005" i="14" s="1"/>
  <c r="D997" i="14"/>
  <c r="I997" i="14" s="1"/>
  <c r="D995" i="14"/>
  <c r="I995" i="14" s="1"/>
  <c r="D994" i="14"/>
  <c r="I994" i="14" s="1"/>
  <c r="D993" i="14"/>
  <c r="I993" i="14" s="1"/>
  <c r="D991" i="14"/>
  <c r="I991" i="14" s="1"/>
  <c r="A989" i="14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D986" i="14"/>
  <c r="I986" i="14" s="1"/>
  <c r="D985" i="14"/>
  <c r="I985" i="14" s="1"/>
  <c r="D983" i="14"/>
  <c r="I983" i="14" s="1"/>
  <c r="D982" i="14"/>
  <c r="I982" i="14" s="1"/>
  <c r="D981" i="14"/>
  <c r="I981" i="14" s="1"/>
  <c r="D978" i="14"/>
  <c r="I978" i="14" s="1"/>
  <c r="D977" i="14"/>
  <c r="I977" i="14" s="1"/>
  <c r="D976" i="14"/>
  <c r="I976" i="14" s="1"/>
  <c r="D961" i="14"/>
  <c r="I961" i="14" s="1"/>
  <c r="D958" i="14"/>
  <c r="I958" i="14" s="1"/>
  <c r="D963" i="14"/>
  <c r="I963" i="14" s="1"/>
  <c r="D966" i="14"/>
  <c r="D967" i="14"/>
  <c r="I967" i="14" s="1"/>
  <c r="D969" i="14"/>
  <c r="I969" i="14" s="1"/>
  <c r="D970" i="14"/>
  <c r="I970" i="14" s="1"/>
  <c r="D971" i="14"/>
  <c r="I971" i="14" s="1"/>
  <c r="D974" i="14"/>
  <c r="I974" i="14" s="1"/>
  <c r="D973" i="14"/>
  <c r="I973" i="14" s="1"/>
  <c r="D954" i="14"/>
  <c r="I954" i="14" s="1"/>
  <c r="D952" i="14"/>
  <c r="D949" i="14"/>
  <c r="I949" i="14" s="1"/>
  <c r="D947" i="14"/>
  <c r="I947" i="14" s="1"/>
  <c r="D946" i="14"/>
  <c r="I946" i="14" s="1"/>
  <c r="D944" i="14"/>
  <c r="I944" i="14" s="1"/>
  <c r="D942" i="14"/>
  <c r="D941" i="14"/>
  <c r="I941" i="14" s="1"/>
  <c r="D940" i="14"/>
  <c r="I940" i="14" s="1"/>
  <c r="D935" i="14"/>
  <c r="D937" i="14"/>
  <c r="I937" i="14" s="1"/>
  <c r="J931" i="14"/>
  <c r="L931" i="14" s="1"/>
  <c r="D929" i="14"/>
  <c r="I929" i="14" s="1"/>
  <c r="D928" i="14"/>
  <c r="I928" i="14" s="1"/>
  <c r="D927" i="14"/>
  <c r="I927" i="14" s="1"/>
  <c r="D926" i="14"/>
  <c r="I926" i="14" s="1"/>
  <c r="D925" i="14"/>
  <c r="I925" i="14" s="1"/>
  <c r="D922" i="14"/>
  <c r="I922" i="14" s="1"/>
  <c r="D921" i="14"/>
  <c r="I921" i="14" s="1"/>
  <c r="D920" i="14"/>
  <c r="I920" i="14" s="1"/>
  <c r="D916" i="14"/>
  <c r="I916" i="14" s="1"/>
  <c r="D915" i="14"/>
  <c r="I915" i="14" s="1"/>
  <c r="D914" i="14"/>
  <c r="I914" i="14" s="1"/>
  <c r="D913" i="14"/>
  <c r="I913" i="14" s="1"/>
  <c r="B912" i="14"/>
  <c r="D911" i="14"/>
  <c r="I911" i="14" s="1"/>
  <c r="D910" i="14"/>
  <c r="I910" i="14" s="1"/>
  <c r="D908" i="14"/>
  <c r="I908" i="14" s="1"/>
  <c r="J909" i="14"/>
  <c r="D907" i="14"/>
  <c r="I907" i="14" s="1"/>
  <c r="D904" i="14"/>
  <c r="I904" i="14" s="1"/>
  <c r="D903" i="14"/>
  <c r="I903" i="14" s="1"/>
  <c r="D902" i="14"/>
  <c r="B898" i="14"/>
  <c r="D900" i="14"/>
  <c r="I900" i="14" s="1"/>
  <c r="D10" i="34"/>
  <c r="D11" i="34"/>
  <c r="D12" i="34"/>
  <c r="D13" i="34"/>
  <c r="D14" i="34"/>
  <c r="D9" i="34"/>
  <c r="D895" i="14"/>
  <c r="I895" i="14" s="1"/>
  <c r="B20" i="29"/>
  <c r="I2" i="29" s="1"/>
  <c r="D892" i="14"/>
  <c r="I892" i="14" s="1"/>
  <c r="D893" i="14"/>
  <c r="I893" i="14" s="1"/>
  <c r="D891" i="14"/>
  <c r="I891" i="14" s="1"/>
  <c r="D890" i="14"/>
  <c r="I890" i="14" s="1"/>
  <c r="D888" i="14"/>
  <c r="I888" i="14" s="1"/>
  <c r="D887" i="14"/>
  <c r="D886" i="14"/>
  <c r="I886" i="14" s="1"/>
  <c r="D881" i="14"/>
  <c r="I881" i="14" s="1"/>
  <c r="D883" i="14"/>
  <c r="I883" i="14" s="1"/>
  <c r="D885" i="14"/>
  <c r="I885" i="14" s="1"/>
  <c r="D879" i="14"/>
  <c r="I879" i="14" s="1"/>
  <c r="D878" i="14"/>
  <c r="I878" i="14" s="1"/>
  <c r="D876" i="14"/>
  <c r="I876" i="14" s="1"/>
  <c r="D875" i="14"/>
  <c r="D874" i="14"/>
  <c r="I874" i="14" s="1"/>
  <c r="B2" i="37"/>
  <c r="D852" i="14"/>
  <c r="I852" i="14" s="1"/>
  <c r="D872" i="14"/>
  <c r="I872" i="14" s="1"/>
  <c r="B870" i="14"/>
  <c r="D871" i="14"/>
  <c r="I871" i="14" s="1"/>
  <c r="D869" i="14"/>
  <c r="I869" i="14" s="1"/>
  <c r="D868" i="14"/>
  <c r="I868" i="14" s="1"/>
  <c r="D866" i="14"/>
  <c r="I866" i="14" s="1"/>
  <c r="D865" i="14"/>
  <c r="I865" i="14" s="1"/>
  <c r="D864" i="14"/>
  <c r="I864" i="14" s="1"/>
  <c r="D861" i="14"/>
  <c r="D860" i="14"/>
  <c r="I860" i="14" s="1"/>
  <c r="D858" i="14"/>
  <c r="I858" i="14" s="1"/>
  <c r="D857" i="14"/>
  <c r="I857" i="14" s="1"/>
  <c r="D856" i="14"/>
  <c r="I856" i="14" s="1"/>
  <c r="D853" i="14"/>
  <c r="I853" i="14" s="1"/>
  <c r="D854" i="14"/>
  <c r="F96" i="41"/>
  <c r="F103" i="41"/>
  <c r="F89" i="41"/>
  <c r="J82" i="41"/>
  <c r="B570" i="14"/>
  <c r="D570" i="14" s="1"/>
  <c r="I570" i="14" s="1"/>
  <c r="D851" i="14"/>
  <c r="I851" i="14" s="1"/>
  <c r="B849" i="14"/>
  <c r="D850" i="14"/>
  <c r="I850" i="14" s="1"/>
  <c r="D848" i="14"/>
  <c r="I848" i="14" s="1"/>
  <c r="D847" i="14"/>
  <c r="I847" i="14" s="1"/>
  <c r="D78" i="41"/>
  <c r="F82" i="41"/>
  <c r="J75" i="41"/>
  <c r="F75" i="41"/>
  <c r="F68" i="41"/>
  <c r="J68" i="41"/>
  <c r="J61" i="41"/>
  <c r="F61" i="41"/>
  <c r="J54" i="41"/>
  <c r="F54" i="41"/>
  <c r="F47" i="41"/>
  <c r="F40" i="41"/>
  <c r="J47" i="41"/>
  <c r="J40" i="41"/>
  <c r="J33" i="41"/>
  <c r="F33" i="41"/>
  <c r="J26" i="41"/>
  <c r="F26" i="41"/>
  <c r="J19" i="41"/>
  <c r="F19" i="41"/>
  <c r="J12" i="41"/>
  <c r="F12" i="41"/>
  <c r="A7" i="41"/>
  <c r="A8" i="4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D846" i="14"/>
  <c r="D845" i="14"/>
  <c r="I845" i="14" s="1"/>
  <c r="D843" i="14"/>
  <c r="I843" i="14" s="1"/>
  <c r="J843" i="14"/>
  <c r="L843" i="14" s="1"/>
  <c r="D841" i="14"/>
  <c r="I841" i="14" s="1"/>
  <c r="D838" i="14"/>
  <c r="I838" i="14" s="1"/>
  <c r="D837" i="14"/>
  <c r="I837" i="14" s="1"/>
  <c r="D833" i="14"/>
  <c r="I833" i="14" s="1"/>
  <c r="D834" i="14"/>
  <c r="I834" i="14" s="1"/>
  <c r="D825" i="14"/>
  <c r="I825" i="14" s="1"/>
  <c r="D823" i="14"/>
  <c r="I823" i="14" s="1"/>
  <c r="D832" i="14"/>
  <c r="I832" i="14" s="1"/>
  <c r="B831" i="14"/>
  <c r="D829" i="14"/>
  <c r="I829" i="14" s="1"/>
  <c r="B828" i="14"/>
  <c r="D820" i="14"/>
  <c r="I820" i="14" s="1"/>
  <c r="D819" i="14"/>
  <c r="I819" i="14" s="1"/>
  <c r="D818" i="14"/>
  <c r="I818" i="14" s="1"/>
  <c r="B816" i="14"/>
  <c r="D817" i="14"/>
  <c r="I817" i="14" s="1"/>
  <c r="D815" i="14"/>
  <c r="I815" i="14" s="1"/>
  <c r="D814" i="14"/>
  <c r="I814" i="14" s="1"/>
  <c r="D813" i="14"/>
  <c r="I813" i="14" s="1"/>
  <c r="D812" i="14"/>
  <c r="I812" i="14" s="1"/>
  <c r="D810" i="14"/>
  <c r="I810" i="14" s="1"/>
  <c r="G6" i="29"/>
  <c r="C7" i="29"/>
  <c r="C8" i="29" s="1"/>
  <c r="G7" i="29"/>
  <c r="G9" i="29"/>
  <c r="G10" i="29"/>
  <c r="B11" i="29"/>
  <c r="C11" i="29" s="1"/>
  <c r="C12" i="29" s="1"/>
  <c r="G12" i="29"/>
  <c r="G13" i="29"/>
  <c r="G15" i="29"/>
  <c r="B16" i="29"/>
  <c r="G17" i="29"/>
  <c r="G18" i="29"/>
  <c r="B24" i="29"/>
  <c r="C2" i="37"/>
  <c r="B4" i="34"/>
  <c r="B6" i="34" s="1"/>
  <c r="B7" i="34" s="1"/>
  <c r="D7" i="34" s="1"/>
  <c r="C23" i="34"/>
  <c r="A44" i="34"/>
  <c r="A63" i="34"/>
  <c r="A82" i="34"/>
  <c r="A101" i="34"/>
  <c r="A120" i="34"/>
  <c r="A139" i="34"/>
  <c r="A158" i="34"/>
  <c r="A177" i="34"/>
  <c r="A196" i="34"/>
  <c r="A215" i="34"/>
  <c r="G3829" i="12"/>
  <c r="D3" i="35"/>
  <c r="D4" i="35"/>
  <c r="G3916" i="12"/>
  <c r="D7" i="35" s="1"/>
  <c r="G4072" i="12"/>
  <c r="D15" i="35" s="1"/>
  <c r="G4145" i="12"/>
  <c r="D19" i="35" s="1"/>
  <c r="G4213" i="12"/>
  <c r="D23" i="35" s="1"/>
  <c r="G4280" i="12"/>
  <c r="D27" i="35" s="1"/>
  <c r="G4343" i="12"/>
  <c r="D31" i="35" s="1"/>
  <c r="G4403" i="12"/>
  <c r="D35" i="35" s="1"/>
  <c r="G4462" i="12"/>
  <c r="D39" i="35" s="1"/>
  <c r="P2" i="1"/>
  <c r="R2" i="1" s="1"/>
  <c r="P3" i="1"/>
  <c r="R3" i="1" s="1"/>
  <c r="P4" i="1"/>
  <c r="R4" i="1" s="1"/>
  <c r="P5" i="1"/>
  <c r="R5" i="1" s="1"/>
  <c r="P6" i="1"/>
  <c r="R6" i="1" s="1"/>
  <c r="P7" i="1"/>
  <c r="R7" i="1" s="1"/>
  <c r="P8" i="1"/>
  <c r="R8" i="1" s="1"/>
  <c r="R9" i="1"/>
  <c r="P10" i="1"/>
  <c r="R10" i="1"/>
  <c r="P11" i="1"/>
  <c r="R11" i="1"/>
  <c r="P12" i="1"/>
  <c r="R12" i="1"/>
  <c r="P13" i="1"/>
  <c r="R13" i="1"/>
  <c r="P14" i="1"/>
  <c r="R14" i="1"/>
  <c r="P15" i="1"/>
  <c r="R15" i="1"/>
  <c r="P16" i="1"/>
  <c r="R16" i="1"/>
  <c r="P17" i="1"/>
  <c r="R17" i="1"/>
  <c r="P18" i="1"/>
  <c r="R18" i="1"/>
  <c r="P19" i="1"/>
  <c r="R19" i="1"/>
  <c r="P20" i="1"/>
  <c r="R20" i="1"/>
  <c r="P21" i="1"/>
  <c r="R21" i="1"/>
  <c r="P22" i="1"/>
  <c r="R22" i="1"/>
  <c r="P23" i="1"/>
  <c r="R23" i="1"/>
  <c r="P24" i="1"/>
  <c r="R24" i="1"/>
  <c r="P25" i="1"/>
  <c r="R25" i="1"/>
  <c r="P26" i="1"/>
  <c r="R26" i="1"/>
  <c r="P27" i="1"/>
  <c r="R27" i="1"/>
  <c r="P28" i="1"/>
  <c r="R28" i="1"/>
  <c r="P29" i="1"/>
  <c r="R29" i="1"/>
  <c r="P30" i="1"/>
  <c r="R30" i="1"/>
  <c r="P31" i="1"/>
  <c r="R31" i="1"/>
  <c r="P32" i="1"/>
  <c r="R32" i="1"/>
  <c r="P33" i="1"/>
  <c r="R33" i="1"/>
  <c r="P34" i="1"/>
  <c r="R34" i="1"/>
  <c r="P35" i="1"/>
  <c r="R35" i="1"/>
  <c r="P36" i="1"/>
  <c r="R36" i="1"/>
  <c r="P37" i="1"/>
  <c r="R37" i="1"/>
  <c r="P38" i="1"/>
  <c r="R38" i="1"/>
  <c r="P39" i="1"/>
  <c r="R39" i="1"/>
  <c r="P40" i="1"/>
  <c r="R40" i="1"/>
  <c r="P41" i="1"/>
  <c r="R41" i="1"/>
  <c r="P42" i="1"/>
  <c r="R42" i="1"/>
  <c r="P43" i="1"/>
  <c r="R43" i="1"/>
  <c r="P44" i="1"/>
  <c r="R44" i="1"/>
  <c r="P45" i="1"/>
  <c r="R45" i="1"/>
  <c r="P46" i="1"/>
  <c r="R46" i="1"/>
  <c r="P47" i="1"/>
  <c r="R47" i="1"/>
  <c r="P48" i="1"/>
  <c r="R48" i="1"/>
  <c r="P49" i="1"/>
  <c r="R49" i="1"/>
  <c r="P50" i="1"/>
  <c r="R50" i="1"/>
  <c r="P51" i="1"/>
  <c r="R51" i="1"/>
  <c r="P52" i="1"/>
  <c r="R52" i="1"/>
  <c r="P53" i="1"/>
  <c r="R53" i="1"/>
  <c r="B32" i="5"/>
  <c r="B34" i="5"/>
  <c r="B35" i="5" s="1"/>
  <c r="E3" i="16"/>
  <c r="F3" i="16" s="1"/>
  <c r="E4" i="16"/>
  <c r="F4" i="16" s="1"/>
  <c r="E5" i="16"/>
  <c r="F5" i="16" s="1"/>
  <c r="E6" i="16"/>
  <c r="F6" i="16" s="1"/>
  <c r="E7" i="16"/>
  <c r="F7" i="16" s="1"/>
  <c r="E8" i="16"/>
  <c r="F8" i="16" s="1"/>
  <c r="E9" i="16"/>
  <c r="F9" i="16" s="1"/>
  <c r="E10" i="16"/>
  <c r="F10" i="16" s="1"/>
  <c r="E11" i="16"/>
  <c r="F11" i="16" s="1"/>
  <c r="E12" i="16"/>
  <c r="F12" i="16" s="1"/>
  <c r="E13" i="16"/>
  <c r="F13" i="16" s="1"/>
  <c r="E14" i="16"/>
  <c r="F14" i="16" s="1"/>
  <c r="E16" i="16"/>
  <c r="F16" i="16" s="1"/>
  <c r="E17" i="16"/>
  <c r="F17" i="16" s="1"/>
  <c r="E18" i="16"/>
  <c r="F18" i="16" s="1"/>
  <c r="E19" i="16"/>
  <c r="F19" i="16" s="1"/>
  <c r="E20" i="16"/>
  <c r="F20" i="16" s="1"/>
  <c r="E21" i="16"/>
  <c r="F21" i="16" s="1"/>
  <c r="E23" i="16"/>
  <c r="F23" i="16" s="1"/>
  <c r="E24" i="16"/>
  <c r="F24" i="16" s="1"/>
  <c r="E25" i="16"/>
  <c r="F25" i="16" s="1"/>
  <c r="E26" i="16"/>
  <c r="F26" i="16" s="1"/>
  <c r="E27" i="16"/>
  <c r="F27" i="16" s="1"/>
  <c r="E28" i="16"/>
  <c r="F28" i="16" s="1"/>
  <c r="E29" i="16"/>
  <c r="F29" i="16" s="1"/>
  <c r="E30" i="16"/>
  <c r="F30" i="16" s="1"/>
  <c r="E32" i="16"/>
  <c r="F32" i="16" s="1"/>
  <c r="E33" i="16"/>
  <c r="F33" i="16" s="1"/>
  <c r="E34" i="16"/>
  <c r="F34" i="16" s="1"/>
  <c r="E35" i="16"/>
  <c r="F35" i="16" s="1"/>
  <c r="E36" i="16"/>
  <c r="F36" i="16" s="1"/>
  <c r="E37" i="16"/>
  <c r="F37" i="16" s="1"/>
  <c r="E38" i="16"/>
  <c r="F38" i="16" s="1"/>
  <c r="E39" i="16"/>
  <c r="F39" i="16" s="1"/>
  <c r="E40" i="16"/>
  <c r="F40" i="16" s="1"/>
  <c r="E41" i="16"/>
  <c r="F41" i="16" s="1"/>
  <c r="E43" i="16"/>
  <c r="F43" i="16" s="1"/>
  <c r="E44" i="16"/>
  <c r="F44" i="16" s="1"/>
  <c r="E45" i="16"/>
  <c r="F45" i="16" s="1"/>
  <c r="E46" i="16"/>
  <c r="F46" i="16" s="1"/>
  <c r="E47" i="16"/>
  <c r="F47" i="16" s="1"/>
  <c r="E48" i="16"/>
  <c r="F48" i="16" s="1"/>
  <c r="E50" i="16"/>
  <c r="F50" i="16" s="1"/>
  <c r="E51" i="16"/>
  <c r="F51" i="16" s="1"/>
  <c r="E52" i="16"/>
  <c r="F52" i="16" s="1"/>
  <c r="E53" i="16"/>
  <c r="F53" i="16" s="1"/>
  <c r="E54" i="16"/>
  <c r="F54" i="16" s="1"/>
  <c r="E55" i="16"/>
  <c r="F55" i="16" s="1"/>
  <c r="E56" i="16"/>
  <c r="F56" i="16" s="1"/>
  <c r="E57" i="16"/>
  <c r="F57" i="16" s="1"/>
  <c r="E58" i="16"/>
  <c r="F58" i="16" s="1"/>
  <c r="E59" i="16"/>
  <c r="F59" i="16" s="1"/>
  <c r="E61" i="16"/>
  <c r="F61" i="16" s="1"/>
  <c r="E62" i="16"/>
  <c r="F62" i="16" s="1"/>
  <c r="E63" i="16"/>
  <c r="F63" i="16" s="1"/>
  <c r="E64" i="16"/>
  <c r="F64" i="16" s="1"/>
  <c r="E65" i="16"/>
  <c r="F65" i="16" s="1"/>
  <c r="E66" i="16"/>
  <c r="F66" i="16" s="1"/>
  <c r="E67" i="16"/>
  <c r="F67" i="16" s="1"/>
  <c r="E68" i="16"/>
  <c r="F68" i="16" s="1"/>
  <c r="E69" i="16"/>
  <c r="F69" i="16" s="1"/>
  <c r="E70" i="16"/>
  <c r="F70" i="16" s="1"/>
  <c r="E71" i="16"/>
  <c r="F71" i="16" s="1"/>
  <c r="E72" i="16"/>
  <c r="F72" i="16" s="1"/>
  <c r="E74" i="16"/>
  <c r="F74" i="16" s="1"/>
  <c r="E75" i="16"/>
  <c r="F75" i="16" s="1"/>
  <c r="E76" i="16"/>
  <c r="F76" i="16" s="1"/>
  <c r="E77" i="16"/>
  <c r="F77" i="16" s="1"/>
  <c r="E78" i="16"/>
  <c r="F78" i="16" s="1"/>
  <c r="E79" i="16"/>
  <c r="F79" i="16" s="1"/>
  <c r="E80" i="16"/>
  <c r="F80" i="16" s="1"/>
  <c r="E81" i="16"/>
  <c r="F81" i="16" s="1"/>
  <c r="E82" i="16"/>
  <c r="F82" i="16" s="1"/>
  <c r="E83" i="16"/>
  <c r="F83" i="16" s="1"/>
  <c r="E85" i="16"/>
  <c r="F85" i="16" s="1"/>
  <c r="E86" i="16"/>
  <c r="F86" i="16" s="1"/>
  <c r="E87" i="16"/>
  <c r="F87" i="16" s="1"/>
  <c r="E88" i="16"/>
  <c r="F88" i="16" s="1"/>
  <c r="E89" i="16"/>
  <c r="F89" i="16" s="1"/>
  <c r="E90" i="16"/>
  <c r="F90" i="16" s="1"/>
  <c r="E91" i="16"/>
  <c r="F91" i="16" s="1"/>
  <c r="E92" i="16"/>
  <c r="F92" i="16" s="1"/>
  <c r="E93" i="16"/>
  <c r="F93" i="16" s="1"/>
  <c r="E94" i="16"/>
  <c r="F94" i="16" s="1"/>
  <c r="E95" i="16"/>
  <c r="F95" i="16" s="1"/>
  <c r="E97" i="16"/>
  <c r="F97" i="16" s="1"/>
  <c r="E98" i="16"/>
  <c r="F98" i="16" s="1"/>
  <c r="E99" i="16"/>
  <c r="F99" i="16" s="1"/>
  <c r="E100" i="16"/>
  <c r="F100" i="16" s="1"/>
  <c r="E101" i="16"/>
  <c r="F101" i="16" s="1"/>
  <c r="E102" i="16"/>
  <c r="F102" i="16" s="1"/>
  <c r="E103" i="16"/>
  <c r="F103" i="16" s="1"/>
  <c r="E104" i="16"/>
  <c r="F104" i="16" s="1"/>
  <c r="E105" i="16"/>
  <c r="F105" i="16" s="1"/>
  <c r="E106" i="16"/>
  <c r="F106" i="16" s="1"/>
  <c r="E107" i="16"/>
  <c r="F107" i="16" s="1"/>
  <c r="E108" i="16"/>
  <c r="F108" i="16" s="1"/>
  <c r="E109" i="16"/>
  <c r="F109" i="16" s="1"/>
  <c r="E111" i="16"/>
  <c r="F111" i="16" s="1"/>
  <c r="E112" i="16"/>
  <c r="F112" i="16" s="1"/>
  <c r="E113" i="16"/>
  <c r="F113" i="16" s="1"/>
  <c r="E114" i="16"/>
  <c r="F114" i="16" s="1"/>
  <c r="E115" i="16"/>
  <c r="F115" i="16" s="1"/>
  <c r="E116" i="16"/>
  <c r="F116" i="16" s="1"/>
  <c r="E117" i="16"/>
  <c r="F117" i="16" s="1"/>
  <c r="E118" i="16"/>
  <c r="F118" i="16" s="1"/>
  <c r="E119" i="16"/>
  <c r="F119" i="16" s="1"/>
  <c r="E120" i="16"/>
  <c r="F120" i="16" s="1"/>
  <c r="E122" i="16"/>
  <c r="F122" i="16" s="1"/>
  <c r="E123" i="16"/>
  <c r="F123" i="16" s="1"/>
  <c r="E124" i="16"/>
  <c r="F124" i="16" s="1"/>
  <c r="E125" i="16"/>
  <c r="F125" i="16" s="1"/>
  <c r="E126" i="16"/>
  <c r="F126" i="16" s="1"/>
  <c r="E127" i="16"/>
  <c r="F127" i="16" s="1"/>
  <c r="E129" i="16"/>
  <c r="F129" i="16" s="1"/>
  <c r="E130" i="16"/>
  <c r="F130" i="16" s="1"/>
  <c r="E131" i="16"/>
  <c r="F131" i="16" s="1"/>
  <c r="E132" i="16"/>
  <c r="F132" i="16" s="1"/>
  <c r="E133" i="16"/>
  <c r="F133" i="16" s="1"/>
  <c r="E134" i="16"/>
  <c r="F134" i="16" s="1"/>
  <c r="E135" i="16"/>
  <c r="F135" i="16" s="1"/>
  <c r="E136" i="16"/>
  <c r="F136" i="16" s="1"/>
  <c r="E137" i="16"/>
  <c r="F137" i="16" s="1"/>
  <c r="E138" i="16"/>
  <c r="F138" i="16" s="1"/>
  <c r="E139" i="16"/>
  <c r="F139" i="16" s="1"/>
  <c r="E140" i="16"/>
  <c r="F140" i="16" s="1"/>
  <c r="E142" i="16"/>
  <c r="F142" i="16" s="1"/>
  <c r="E143" i="16"/>
  <c r="F143" i="16" s="1"/>
  <c r="E144" i="16"/>
  <c r="F144" i="16" s="1"/>
  <c r="E145" i="16"/>
  <c r="F145" i="16" s="1"/>
  <c r="E146" i="16"/>
  <c r="F146" i="16" s="1"/>
  <c r="E147" i="16"/>
  <c r="F147" i="16" s="1"/>
  <c r="E148" i="16"/>
  <c r="F148" i="16" s="1"/>
  <c r="E149" i="16"/>
  <c r="F149" i="16" s="1"/>
  <c r="E150" i="16"/>
  <c r="F150" i="16" s="1"/>
  <c r="E151" i="16"/>
  <c r="F151" i="16" s="1"/>
  <c r="E153" i="16"/>
  <c r="F153" i="16" s="1"/>
  <c r="E154" i="16"/>
  <c r="F154" i="16" s="1"/>
  <c r="E155" i="16"/>
  <c r="F155" i="16" s="1"/>
  <c r="E156" i="16"/>
  <c r="F156" i="16" s="1"/>
  <c r="E157" i="16"/>
  <c r="F157" i="16" s="1"/>
  <c r="E158" i="16"/>
  <c r="F158" i="16" s="1"/>
  <c r="E159" i="16"/>
  <c r="F159" i="16" s="1"/>
  <c r="E160" i="16"/>
  <c r="F160" i="16" s="1"/>
  <c r="E161" i="16"/>
  <c r="F161" i="16" s="1"/>
  <c r="E162" i="16"/>
  <c r="F162" i="16" s="1"/>
  <c r="E163" i="16"/>
  <c r="F163" i="16" s="1"/>
  <c r="E164" i="16"/>
  <c r="F164" i="16" s="1"/>
  <c r="E165" i="16"/>
  <c r="F165" i="16" s="1"/>
  <c r="E166" i="16"/>
  <c r="F166" i="16" s="1"/>
  <c r="E168" i="16"/>
  <c r="F168" i="16" s="1"/>
  <c r="E169" i="16"/>
  <c r="F169" i="16" s="1"/>
  <c r="E170" i="16"/>
  <c r="F170" i="16" s="1"/>
  <c r="E171" i="16"/>
  <c r="F171" i="16" s="1"/>
  <c r="E172" i="16"/>
  <c r="F172" i="16" s="1"/>
  <c r="E173" i="16"/>
  <c r="F173" i="16" s="1"/>
  <c r="E174" i="16"/>
  <c r="F174" i="16" s="1"/>
  <c r="E175" i="16"/>
  <c r="F175" i="16" s="1"/>
  <c r="E176" i="16"/>
  <c r="F176" i="16" s="1"/>
  <c r="E177" i="16"/>
  <c r="F177" i="16" s="1"/>
  <c r="E179" i="16"/>
  <c r="F179" i="16" s="1"/>
  <c r="E180" i="16"/>
  <c r="F180" i="16" s="1"/>
  <c r="E181" i="16"/>
  <c r="F181" i="16" s="1"/>
  <c r="E182" i="16"/>
  <c r="F182" i="16" s="1"/>
  <c r="E183" i="16"/>
  <c r="F183" i="16" s="1"/>
  <c r="E184" i="16"/>
  <c r="F184" i="16" s="1"/>
  <c r="E185" i="16"/>
  <c r="F185" i="16" s="1"/>
  <c r="E186" i="16"/>
  <c r="F186" i="16" s="1"/>
  <c r="E187" i="16"/>
  <c r="F187" i="16" s="1"/>
  <c r="E188" i="16"/>
  <c r="F188" i="16" s="1"/>
  <c r="E189" i="16"/>
  <c r="F189" i="16" s="1"/>
  <c r="E190" i="16"/>
  <c r="F190" i="16" s="1"/>
  <c r="E191" i="16"/>
  <c r="F191" i="16" s="1"/>
  <c r="E192" i="16"/>
  <c r="F192" i="16" s="1"/>
  <c r="E194" i="16"/>
  <c r="F194" i="16" s="1"/>
  <c r="E195" i="16"/>
  <c r="F195" i="16" s="1"/>
  <c r="E196" i="16"/>
  <c r="F196" i="16" s="1"/>
  <c r="E197" i="16"/>
  <c r="F197" i="16" s="1"/>
  <c r="E198" i="16"/>
  <c r="F198" i="16" s="1"/>
  <c r="E199" i="16"/>
  <c r="F199" i="16" s="1"/>
  <c r="E200" i="16"/>
  <c r="F200" i="16" s="1"/>
  <c r="E201" i="16"/>
  <c r="F201" i="16" s="1"/>
  <c r="E202" i="16"/>
  <c r="F202" i="16" s="1"/>
  <c r="E203" i="16"/>
  <c r="F203" i="16" s="1"/>
  <c r="E205" i="16"/>
  <c r="F205" i="16" s="1"/>
  <c r="E206" i="16"/>
  <c r="F206" i="16"/>
  <c r="E207" i="16"/>
  <c r="F207" i="16"/>
  <c r="E208" i="16"/>
  <c r="F208" i="16"/>
  <c r="E209" i="16"/>
  <c r="F209" i="16"/>
  <c r="E210" i="16"/>
  <c r="F210" i="16"/>
  <c r="E211" i="16"/>
  <c r="F211" i="16"/>
  <c r="E213" i="16"/>
  <c r="F213" i="16"/>
  <c r="E214" i="16"/>
  <c r="F214" i="16"/>
  <c r="E215" i="16"/>
  <c r="F215" i="16"/>
  <c r="E216" i="16"/>
  <c r="F216" i="16"/>
  <c r="E217" i="16"/>
  <c r="F217" i="16"/>
  <c r="E218" i="16"/>
  <c r="F218" i="16"/>
  <c r="E219" i="16"/>
  <c r="F219" i="16"/>
  <c r="E220" i="16"/>
  <c r="F220" i="16"/>
  <c r="E221" i="16"/>
  <c r="F221" i="16"/>
  <c r="E222" i="16"/>
  <c r="F222" i="16"/>
  <c r="E223" i="16"/>
  <c r="F223" i="16"/>
  <c r="E224" i="16"/>
  <c r="F224" i="16"/>
  <c r="E225" i="16"/>
  <c r="F225" i="16"/>
  <c r="E226" i="16"/>
  <c r="F226" i="16"/>
  <c r="E228" i="16"/>
  <c r="F228" i="16"/>
  <c r="E229" i="16"/>
  <c r="F229" i="16"/>
  <c r="E230" i="16"/>
  <c r="F230" i="16"/>
  <c r="E231" i="16"/>
  <c r="F231" i="16"/>
  <c r="E232" i="16"/>
  <c r="F232" i="16"/>
  <c r="E233" i="16"/>
  <c r="F233" i="16"/>
  <c r="E234" i="16"/>
  <c r="F234" i="16"/>
  <c r="E235" i="16"/>
  <c r="F235" i="16"/>
  <c r="E237" i="16"/>
  <c r="F237" i="16"/>
  <c r="E238" i="16"/>
  <c r="F238" i="16"/>
  <c r="E239" i="16"/>
  <c r="F239" i="16"/>
  <c r="E240" i="16"/>
  <c r="F240" i="16" s="1"/>
  <c r="E241" i="16"/>
  <c r="F241" i="16" s="1"/>
  <c r="E242" i="16"/>
  <c r="F242" i="16" s="1"/>
  <c r="E243" i="16"/>
  <c r="F243" i="16" s="1"/>
  <c r="E245" i="16"/>
  <c r="F245" i="16" s="1"/>
  <c r="E246" i="16"/>
  <c r="F246" i="16" s="1"/>
  <c r="E247" i="16"/>
  <c r="F247" i="16" s="1"/>
  <c r="E248" i="16"/>
  <c r="F248" i="16" s="1"/>
  <c r="E249" i="16"/>
  <c r="F249" i="16" s="1"/>
  <c r="E250" i="16"/>
  <c r="F250" i="16" s="1"/>
  <c r="E251" i="16"/>
  <c r="F251" i="16" s="1"/>
  <c r="E252" i="16"/>
  <c r="F252" i="16" s="1"/>
  <c r="E253" i="16"/>
  <c r="F253" i="16" s="1"/>
  <c r="E254" i="16"/>
  <c r="F254" i="16" s="1"/>
  <c r="E255" i="16"/>
  <c r="F255" i="16" s="1"/>
  <c r="E257" i="16"/>
  <c r="F257" i="16" s="1"/>
  <c r="E258" i="16"/>
  <c r="F258" i="16" s="1"/>
  <c r="E259" i="16"/>
  <c r="F259" i="16" s="1"/>
  <c r="E260" i="16"/>
  <c r="F260" i="16" s="1"/>
  <c r="E261" i="16"/>
  <c r="F261" i="16" s="1"/>
  <c r="E263" i="16"/>
  <c r="F263" i="16" s="1"/>
  <c r="E264" i="16"/>
  <c r="F264" i="16" s="1"/>
  <c r="E265" i="16"/>
  <c r="F265" i="16" s="1"/>
  <c r="E266" i="16"/>
  <c r="F266" i="16" s="1"/>
  <c r="E267" i="16"/>
  <c r="F267" i="16" s="1"/>
  <c r="E268" i="16"/>
  <c r="F268" i="16" s="1"/>
  <c r="E269" i="16"/>
  <c r="F269" i="16" s="1"/>
  <c r="E270" i="16"/>
  <c r="F270" i="16" s="1"/>
  <c r="E271" i="16"/>
  <c r="F271" i="16" s="1"/>
  <c r="E273" i="16"/>
  <c r="F273" i="16" s="1"/>
  <c r="E274" i="16"/>
  <c r="F274" i="16" s="1"/>
  <c r="E275" i="16"/>
  <c r="F275" i="16" s="1"/>
  <c r="E276" i="16"/>
  <c r="F276" i="16" s="1"/>
  <c r="E277" i="16"/>
  <c r="F277" i="16" s="1"/>
  <c r="E278" i="16"/>
  <c r="F278" i="16" s="1"/>
  <c r="E279" i="16"/>
  <c r="F279" i="16" s="1"/>
  <c r="E281" i="16"/>
  <c r="F281" i="16" s="1"/>
  <c r="E282" i="16"/>
  <c r="F282" i="16" s="1"/>
  <c r="E283" i="16"/>
  <c r="F283" i="16" s="1"/>
  <c r="E284" i="16"/>
  <c r="F284" i="16" s="1"/>
  <c r="E285" i="16"/>
  <c r="F285" i="16" s="1"/>
  <c r="E287" i="16"/>
  <c r="F287" i="16" s="1"/>
  <c r="E288" i="16"/>
  <c r="F288" i="16" s="1"/>
  <c r="E289" i="16"/>
  <c r="F289" i="16" s="1"/>
  <c r="E290" i="16"/>
  <c r="F290" i="16" s="1"/>
  <c r="E291" i="16"/>
  <c r="F291" i="16" s="1"/>
  <c r="E292" i="16"/>
  <c r="F292" i="16" s="1"/>
  <c r="E293" i="16"/>
  <c r="F293" i="16" s="1"/>
  <c r="E295" i="16"/>
  <c r="F295" i="16" s="1"/>
  <c r="E296" i="16"/>
  <c r="F296" i="16" s="1"/>
  <c r="E297" i="16"/>
  <c r="F297" i="16" s="1"/>
  <c r="E298" i="16"/>
  <c r="F298" i="16" s="1"/>
  <c r="E299" i="16"/>
  <c r="F299" i="16" s="1"/>
  <c r="E300" i="16"/>
  <c r="F300" i="16" s="1"/>
  <c r="E301" i="16"/>
  <c r="F301" i="16" s="1"/>
  <c r="E302" i="16"/>
  <c r="F302" i="16" s="1"/>
  <c r="E303" i="16"/>
  <c r="F303" i="16" s="1"/>
  <c r="E304" i="16"/>
  <c r="F304" i="16" s="1"/>
  <c r="E305" i="16"/>
  <c r="F305" i="16" s="1"/>
  <c r="E307" i="16"/>
  <c r="F307" i="16" s="1"/>
  <c r="E308" i="16"/>
  <c r="F308" i="16" s="1"/>
  <c r="E309" i="16"/>
  <c r="F309" i="16" s="1"/>
  <c r="E310" i="16"/>
  <c r="F310" i="16" s="1"/>
  <c r="E311" i="16"/>
  <c r="F311" i="16" s="1"/>
  <c r="E312" i="16"/>
  <c r="F312" i="16" s="1"/>
  <c r="E313" i="16"/>
  <c r="F313" i="16" s="1"/>
  <c r="E314" i="16"/>
  <c r="F314" i="16" s="1"/>
  <c r="E315" i="16"/>
  <c r="F315" i="16" s="1"/>
  <c r="E316" i="16"/>
  <c r="F316" i="16" s="1"/>
  <c r="E317" i="16"/>
  <c r="F317" i="16" s="1"/>
  <c r="E318" i="16"/>
  <c r="F318" i="16" s="1"/>
  <c r="E319" i="16"/>
  <c r="F319" i="16" s="1"/>
  <c r="E320" i="16"/>
  <c r="F320" i="16" s="1"/>
  <c r="E321" i="16"/>
  <c r="F321" i="16" s="1"/>
  <c r="E323" i="16"/>
  <c r="F323" i="16" s="1"/>
  <c r="E324" i="16"/>
  <c r="F324" i="16" s="1"/>
  <c r="E325" i="16"/>
  <c r="F325" i="16" s="1"/>
  <c r="E326" i="16"/>
  <c r="F326" i="16" s="1"/>
  <c r="E327" i="16"/>
  <c r="F327" i="16" s="1"/>
  <c r="E328" i="16"/>
  <c r="F328" i="16" s="1"/>
  <c r="E330" i="16"/>
  <c r="F330" i="16" s="1"/>
  <c r="E331" i="16"/>
  <c r="F331" i="16" s="1"/>
  <c r="E332" i="16"/>
  <c r="F332" i="16" s="1"/>
  <c r="E333" i="16"/>
  <c r="F333" i="16" s="1"/>
  <c r="E334" i="16"/>
  <c r="F334" i="16" s="1"/>
  <c r="E335" i="16"/>
  <c r="F335" i="16" s="1"/>
  <c r="E336" i="16"/>
  <c r="F336" i="16" s="1"/>
  <c r="E338" i="16"/>
  <c r="F338" i="16" s="1"/>
  <c r="E339" i="16"/>
  <c r="F339" i="16" s="1"/>
  <c r="E340" i="16"/>
  <c r="F340" i="16" s="1"/>
  <c r="E341" i="16"/>
  <c r="F341" i="16" s="1"/>
  <c r="E342" i="16"/>
  <c r="F342" i="16" s="1"/>
  <c r="E343" i="16"/>
  <c r="F343" i="16" s="1"/>
  <c r="E344" i="16"/>
  <c r="F344" i="16" s="1"/>
  <c r="E345" i="16"/>
  <c r="F345" i="16" s="1"/>
  <c r="E346" i="16"/>
  <c r="F346" i="16" s="1"/>
  <c r="E347" i="16"/>
  <c r="F347" i="16" s="1"/>
  <c r="E348" i="16"/>
  <c r="F348" i="16" s="1"/>
  <c r="E350" i="16"/>
  <c r="F350" i="16" s="1"/>
  <c r="E351" i="16"/>
  <c r="F351" i="16" s="1"/>
  <c r="E352" i="16"/>
  <c r="F352" i="16" s="1"/>
  <c r="E353" i="16"/>
  <c r="F353" i="16" s="1"/>
  <c r="E354" i="16"/>
  <c r="F354" i="16" s="1"/>
  <c r="E355" i="16"/>
  <c r="F355" i="16" s="1"/>
  <c r="E356" i="16"/>
  <c r="F356" i="16" s="1"/>
  <c r="E357" i="16"/>
  <c r="F357" i="16" s="1"/>
  <c r="E358" i="16"/>
  <c r="F358" i="16" s="1"/>
  <c r="E359" i="16"/>
  <c r="F359" i="16" s="1"/>
  <c r="E360" i="16"/>
  <c r="F360" i="16" s="1"/>
  <c r="E361" i="16"/>
  <c r="F361" i="16" s="1"/>
  <c r="E362" i="16"/>
  <c r="F362" i="16" s="1"/>
  <c r="E363" i="16"/>
  <c r="F363" i="16" s="1"/>
  <c r="E365" i="16"/>
  <c r="F365" i="16" s="1"/>
  <c r="E366" i="16"/>
  <c r="F366" i="16" s="1"/>
  <c r="E367" i="16"/>
  <c r="F367" i="16" s="1"/>
  <c r="E368" i="16"/>
  <c r="F368" i="16" s="1"/>
  <c r="E369" i="16"/>
  <c r="F369" i="16" s="1"/>
  <c r="E370" i="16"/>
  <c r="F370" i="16" s="1"/>
  <c r="E371" i="16"/>
  <c r="F371" i="16" s="1"/>
  <c r="E372" i="16"/>
  <c r="F372" i="16" s="1"/>
  <c r="E373" i="16"/>
  <c r="F373" i="16" s="1"/>
  <c r="E374" i="16"/>
  <c r="F374" i="16" s="1"/>
  <c r="E376" i="16"/>
  <c r="F376" i="16" s="1"/>
  <c r="E377" i="16"/>
  <c r="F377" i="16" s="1"/>
  <c r="E378" i="16"/>
  <c r="F378" i="16" s="1"/>
  <c r="E379" i="16"/>
  <c r="F379" i="16" s="1"/>
  <c r="E380" i="16"/>
  <c r="F380" i="16" s="1"/>
  <c r="E381" i="16"/>
  <c r="F381" i="16" s="1"/>
  <c r="E382" i="16"/>
  <c r="F382" i="16" s="1"/>
  <c r="E383" i="16"/>
  <c r="F383" i="16" s="1"/>
  <c r="E384" i="16"/>
  <c r="F384" i="16" s="1"/>
  <c r="E385" i="16"/>
  <c r="F385" i="16" s="1"/>
  <c r="E386" i="16"/>
  <c r="F386" i="16" s="1"/>
  <c r="E388" i="16"/>
  <c r="F388" i="16" s="1"/>
  <c r="E389" i="16"/>
  <c r="F389" i="16" s="1"/>
  <c r="E390" i="16"/>
  <c r="F390" i="16" s="1"/>
  <c r="E391" i="16"/>
  <c r="F391" i="16" s="1"/>
  <c r="E392" i="16"/>
  <c r="F392" i="16" s="1"/>
  <c r="E393" i="16"/>
  <c r="F393" i="16" s="1"/>
  <c r="E394" i="16"/>
  <c r="F394" i="16" s="1"/>
  <c r="E395" i="16"/>
  <c r="F395" i="16" s="1"/>
  <c r="E396" i="16"/>
  <c r="F396" i="16" s="1"/>
  <c r="E397" i="16"/>
  <c r="F397" i="16" s="1"/>
  <c r="E398" i="16"/>
  <c r="F398" i="16" s="1"/>
  <c r="E399" i="16"/>
  <c r="F399" i="16" s="1"/>
  <c r="E400" i="16"/>
  <c r="F400" i="16" s="1"/>
  <c r="E401" i="16"/>
  <c r="F401" i="16" s="1"/>
  <c r="E402" i="16"/>
  <c r="F402" i="16" s="1"/>
  <c r="E403" i="16"/>
  <c r="F403" i="16" s="1"/>
  <c r="E404" i="16"/>
  <c r="F404" i="16" s="1"/>
  <c r="E405" i="16"/>
  <c r="F405" i="16" s="1"/>
  <c r="E407" i="16"/>
  <c r="F407" i="16" s="1"/>
  <c r="E408" i="16"/>
  <c r="F408" i="16" s="1"/>
  <c r="E409" i="16"/>
  <c r="F409" i="16" s="1"/>
  <c r="E410" i="16"/>
  <c r="F410" i="16" s="1"/>
  <c r="E411" i="16"/>
  <c r="F411" i="16" s="1"/>
  <c r="E412" i="16"/>
  <c r="F412" i="16" s="1"/>
  <c r="E413" i="16"/>
  <c r="F413" i="16" s="1"/>
  <c r="E415" i="16"/>
  <c r="F415" i="16" s="1"/>
  <c r="E416" i="16"/>
  <c r="F416" i="16" s="1"/>
  <c r="E417" i="16"/>
  <c r="F417" i="16" s="1"/>
  <c r="E418" i="16"/>
  <c r="F418" i="16" s="1"/>
  <c r="E419" i="16"/>
  <c r="F419" i="16" s="1"/>
  <c r="E420" i="16"/>
  <c r="F420" i="16" s="1"/>
  <c r="E421" i="16"/>
  <c r="F421" i="16" s="1"/>
  <c r="E422" i="16"/>
  <c r="F422" i="16" s="1"/>
  <c r="E423" i="16"/>
  <c r="F423" i="16" s="1"/>
  <c r="E424" i="16"/>
  <c r="F424" i="16" s="1"/>
  <c r="E425" i="16"/>
  <c r="F425" i="16" s="1"/>
  <c r="E427" i="16"/>
  <c r="F427" i="16" s="1"/>
  <c r="E428" i="16"/>
  <c r="F428" i="16" s="1"/>
  <c r="E429" i="16"/>
  <c r="F429" i="16" s="1"/>
  <c r="E430" i="16"/>
  <c r="F430" i="16" s="1"/>
  <c r="E431" i="16"/>
  <c r="F431" i="16" s="1"/>
  <c r="E432" i="16"/>
  <c r="F432" i="16" s="1"/>
  <c r="E433" i="16"/>
  <c r="F433" i="16" s="1"/>
  <c r="E434" i="16"/>
  <c r="F434" i="16" s="1"/>
  <c r="E435" i="16"/>
  <c r="F435" i="16" s="1"/>
  <c r="E436" i="16"/>
  <c r="F436" i="16" s="1"/>
  <c r="E437" i="16"/>
  <c r="F437" i="16" s="1"/>
  <c r="E439" i="16"/>
  <c r="F439" i="16" s="1"/>
  <c r="E440" i="16"/>
  <c r="F440" i="16" s="1"/>
  <c r="E441" i="16"/>
  <c r="F441" i="16" s="1"/>
  <c r="E442" i="16"/>
  <c r="F442" i="16" s="1"/>
  <c r="E443" i="16"/>
  <c r="F443" i="16" s="1"/>
  <c r="E444" i="16"/>
  <c r="F444" i="16" s="1"/>
  <c r="E445" i="16"/>
  <c r="F445" i="16" s="1"/>
  <c r="E447" i="16"/>
  <c r="F447" i="16" s="1"/>
  <c r="E448" i="16"/>
  <c r="F448" i="16" s="1"/>
  <c r="E449" i="16"/>
  <c r="F449" i="16" s="1"/>
  <c r="E450" i="16"/>
  <c r="F450" i="16" s="1"/>
  <c r="E451" i="16"/>
  <c r="F451" i="16" s="1"/>
  <c r="E452" i="16"/>
  <c r="F452" i="16" s="1"/>
  <c r="E453" i="16"/>
  <c r="F453" i="16" s="1"/>
  <c r="E454" i="16"/>
  <c r="F454" i="16" s="1"/>
  <c r="E455" i="16"/>
  <c r="F455" i="16" s="1"/>
  <c r="E456" i="16"/>
  <c r="F456" i="16" s="1"/>
  <c r="E458" i="16"/>
  <c r="F458" i="16" s="1"/>
  <c r="E459" i="16"/>
  <c r="F459" i="16" s="1"/>
  <c r="E460" i="16"/>
  <c r="F460" i="16" s="1"/>
  <c r="E461" i="16"/>
  <c r="F461" i="16" s="1"/>
  <c r="E462" i="16"/>
  <c r="F462" i="16" s="1"/>
  <c r="E463" i="16"/>
  <c r="F463" i="16" s="1"/>
  <c r="E464" i="16"/>
  <c r="F464" i="16" s="1"/>
  <c r="E465" i="16"/>
  <c r="F465" i="16" s="1"/>
  <c r="E467" i="16"/>
  <c r="F467" i="16" s="1"/>
  <c r="E468" i="16"/>
  <c r="F468" i="16" s="1"/>
  <c r="E469" i="16"/>
  <c r="F469" i="16" s="1"/>
  <c r="E470" i="16"/>
  <c r="F470" i="16" s="1"/>
  <c r="E471" i="16"/>
  <c r="F471" i="16" s="1"/>
  <c r="E472" i="16"/>
  <c r="F472" i="16" s="1"/>
  <c r="E474" i="16"/>
  <c r="F474" i="16" s="1"/>
  <c r="E475" i="16"/>
  <c r="F475" i="16" s="1"/>
  <c r="E476" i="16"/>
  <c r="F476" i="16" s="1"/>
  <c r="E477" i="16"/>
  <c r="F477" i="16" s="1"/>
  <c r="E478" i="16"/>
  <c r="F478" i="16" s="1"/>
  <c r="E479" i="16"/>
  <c r="F479" i="16" s="1"/>
  <c r="E480" i="16"/>
  <c r="F480" i="16" s="1"/>
  <c r="E481" i="16"/>
  <c r="F481" i="16" s="1"/>
  <c r="E482" i="16"/>
  <c r="F482" i="16" s="1"/>
  <c r="E483" i="16"/>
  <c r="F483" i="16" s="1"/>
  <c r="E485" i="16"/>
  <c r="F485" i="16" s="1"/>
  <c r="E486" i="16"/>
  <c r="F486" i="16" s="1"/>
  <c r="E487" i="16"/>
  <c r="F487" i="16" s="1"/>
  <c r="E488" i="16"/>
  <c r="F488" i="16" s="1"/>
  <c r="E489" i="16"/>
  <c r="F489" i="16" s="1"/>
  <c r="E490" i="16"/>
  <c r="F490" i="16" s="1"/>
  <c r="E491" i="16"/>
  <c r="F491" i="16" s="1"/>
  <c r="E493" i="16"/>
  <c r="F493" i="16" s="1"/>
  <c r="E494" i="16"/>
  <c r="F494" i="16" s="1"/>
  <c r="E495" i="16"/>
  <c r="F495" i="16" s="1"/>
  <c r="E496" i="16"/>
  <c r="F496" i="16" s="1"/>
  <c r="E497" i="16"/>
  <c r="F497" i="16" s="1"/>
  <c r="E498" i="16"/>
  <c r="F498" i="16" s="1"/>
  <c r="E499" i="16"/>
  <c r="F499" i="16" s="1"/>
  <c r="E500" i="16"/>
  <c r="F500" i="16" s="1"/>
  <c r="E501" i="16"/>
  <c r="F501" i="16" s="1"/>
  <c r="E502" i="16"/>
  <c r="F502" i="16" s="1"/>
  <c r="E503" i="16"/>
  <c r="F503" i="16" s="1"/>
  <c r="E505" i="16"/>
  <c r="F505" i="16" s="1"/>
  <c r="E506" i="16"/>
  <c r="F506" i="16" s="1"/>
  <c r="E507" i="16"/>
  <c r="F507" i="16" s="1"/>
  <c r="E508" i="16"/>
  <c r="F508" i="16" s="1"/>
  <c r="E509" i="16"/>
  <c r="F509" i="16" s="1"/>
  <c r="E510" i="16"/>
  <c r="F510" i="16" s="1"/>
  <c r="E511" i="16"/>
  <c r="F511" i="16" s="1"/>
  <c r="E512" i="16"/>
  <c r="F512" i="16" s="1"/>
  <c r="E513" i="16"/>
  <c r="F513" i="16" s="1"/>
  <c r="E514" i="16"/>
  <c r="F514" i="16" s="1"/>
  <c r="E515" i="16"/>
  <c r="F515" i="16" s="1"/>
  <c r="E517" i="16"/>
  <c r="F517" i="16" s="1"/>
  <c r="E518" i="16"/>
  <c r="F518" i="16" s="1"/>
  <c r="E519" i="16"/>
  <c r="F519" i="16" s="1"/>
  <c r="E520" i="16"/>
  <c r="F520" i="16" s="1"/>
  <c r="E521" i="16"/>
  <c r="F521" i="16" s="1"/>
  <c r="E522" i="16"/>
  <c r="F522" i="16" s="1"/>
  <c r="E523" i="16"/>
  <c r="F523" i="16" s="1"/>
  <c r="E524" i="16"/>
  <c r="F524" i="16" s="1"/>
  <c r="E526" i="16"/>
  <c r="F526" i="16" s="1"/>
  <c r="E527" i="16"/>
  <c r="F527" i="16" s="1"/>
  <c r="E528" i="16"/>
  <c r="F528" i="16" s="1"/>
  <c r="E529" i="16"/>
  <c r="F529" i="16" s="1"/>
  <c r="E530" i="16"/>
  <c r="F530" i="16" s="1"/>
  <c r="E531" i="16"/>
  <c r="F531" i="16" s="1"/>
  <c r="E532" i="16"/>
  <c r="F532" i="16" s="1"/>
  <c r="E534" i="16"/>
  <c r="E535" i="16"/>
  <c r="F535" i="16"/>
  <c r="E536" i="16"/>
  <c r="F536" i="16"/>
  <c r="E537" i="16"/>
  <c r="E538" i="16"/>
  <c r="E539" i="16"/>
  <c r="F539" i="16"/>
  <c r="E540" i="16"/>
  <c r="F540" i="16"/>
  <c r="E541" i="16"/>
  <c r="E542" i="16"/>
  <c r="F542" i="16" s="1"/>
  <c r="E543" i="16"/>
  <c r="F543" i="16" s="1"/>
  <c r="E544" i="16"/>
  <c r="E546" i="16"/>
  <c r="F546" i="16"/>
  <c r="E547" i="16"/>
  <c r="F547" i="16"/>
  <c r="E548" i="16"/>
  <c r="F548" i="16"/>
  <c r="E549" i="16"/>
  <c r="F549" i="16"/>
  <c r="E550" i="16"/>
  <c r="F550" i="16"/>
  <c r="E551" i="16"/>
  <c r="F551" i="16"/>
  <c r="E552" i="16"/>
  <c r="F552" i="16"/>
  <c r="E553" i="16"/>
  <c r="F553" i="16"/>
  <c r="E554" i="16"/>
  <c r="F554" i="16"/>
  <c r="E555" i="16"/>
  <c r="F555" i="16"/>
  <c r="E556" i="16"/>
  <c r="F556" i="16"/>
  <c r="E558" i="16"/>
  <c r="F558" i="16"/>
  <c r="E559" i="16"/>
  <c r="F559" i="16"/>
  <c r="E560" i="16"/>
  <c r="F560" i="16"/>
  <c r="E561" i="16"/>
  <c r="F561" i="16"/>
  <c r="E562" i="16"/>
  <c r="F562" i="16"/>
  <c r="E563" i="16"/>
  <c r="F563" i="16"/>
  <c r="E564" i="16"/>
  <c r="F564" i="16"/>
  <c r="E565" i="16"/>
  <c r="F565" i="16"/>
  <c r="E566" i="16"/>
  <c r="F566" i="16"/>
  <c r="E567" i="16"/>
  <c r="F567" i="16"/>
  <c r="E568" i="16"/>
  <c r="F568" i="16"/>
  <c r="E570" i="16"/>
  <c r="F570" i="16"/>
  <c r="E571" i="16"/>
  <c r="F571" i="16"/>
  <c r="E572" i="16"/>
  <c r="F572" i="16"/>
  <c r="E573" i="16"/>
  <c r="F573" i="16"/>
  <c r="E574" i="16"/>
  <c r="F574" i="16"/>
  <c r="E575" i="16"/>
  <c r="F575" i="16"/>
  <c r="E576" i="16"/>
  <c r="F576" i="16"/>
  <c r="E577" i="16"/>
  <c r="F577" i="16"/>
  <c r="E578" i="16"/>
  <c r="F578" i="16"/>
  <c r="E579" i="16"/>
  <c r="F579" i="16"/>
  <c r="E580" i="16"/>
  <c r="F580" i="16"/>
  <c r="E582" i="16"/>
  <c r="F582" i="16"/>
  <c r="E583" i="16"/>
  <c r="F583" i="16"/>
  <c r="E584" i="16"/>
  <c r="F584" i="16"/>
  <c r="E585" i="16"/>
  <c r="F585" i="16"/>
  <c r="E586" i="16"/>
  <c r="F586" i="16"/>
  <c r="E587" i="16"/>
  <c r="F587" i="16"/>
  <c r="E588" i="16"/>
  <c r="F588" i="16"/>
  <c r="E589" i="16"/>
  <c r="F589" i="16"/>
  <c r="E590" i="16"/>
  <c r="F590" i="16"/>
  <c r="E591" i="16"/>
  <c r="F591" i="16"/>
  <c r="E592" i="16"/>
  <c r="F592" i="16"/>
  <c r="G592" i="16" s="1"/>
  <c r="E594" i="16"/>
  <c r="F594" i="16" s="1"/>
  <c r="E595" i="16"/>
  <c r="F595" i="16" s="1"/>
  <c r="E596" i="16"/>
  <c r="F596" i="16" s="1"/>
  <c r="E597" i="16"/>
  <c r="F597" i="16" s="1"/>
  <c r="E598" i="16"/>
  <c r="F598" i="16" s="1"/>
  <c r="E599" i="16"/>
  <c r="F599" i="16" s="1"/>
  <c r="E600" i="16"/>
  <c r="F600" i="16" s="1"/>
  <c r="E601" i="16"/>
  <c r="F601" i="16" s="1"/>
  <c r="E602" i="16"/>
  <c r="F602" i="16" s="1"/>
  <c r="E603" i="16"/>
  <c r="F603" i="16" s="1"/>
  <c r="E604" i="16"/>
  <c r="F604" i="16" s="1"/>
  <c r="E606" i="16"/>
  <c r="F606" i="16" s="1"/>
  <c r="E607" i="16"/>
  <c r="F607" i="16" s="1"/>
  <c r="E608" i="16"/>
  <c r="F608" i="16" s="1"/>
  <c r="E609" i="16"/>
  <c r="F609" i="16" s="1"/>
  <c r="E610" i="16"/>
  <c r="F610" i="16" s="1"/>
  <c r="E611" i="16"/>
  <c r="F611" i="16" s="1"/>
  <c r="E612" i="16"/>
  <c r="F612" i="16" s="1"/>
  <c r="E614" i="16"/>
  <c r="F614" i="16" s="1"/>
  <c r="E615" i="16"/>
  <c r="F615" i="16" s="1"/>
  <c r="E616" i="16"/>
  <c r="F616" i="16" s="1"/>
  <c r="E617" i="16"/>
  <c r="F617" i="16" s="1"/>
  <c r="E618" i="16"/>
  <c r="F618" i="16" s="1"/>
  <c r="E619" i="16"/>
  <c r="F619" i="16" s="1"/>
  <c r="E620" i="16"/>
  <c r="F620" i="16" s="1"/>
  <c r="E622" i="16"/>
  <c r="F622" i="16" s="1"/>
  <c r="E623" i="16"/>
  <c r="F623" i="16" s="1"/>
  <c r="E624" i="16"/>
  <c r="F624" i="16" s="1"/>
  <c r="E625" i="16"/>
  <c r="F625" i="16" s="1"/>
  <c r="E626" i="16"/>
  <c r="F626" i="16" s="1"/>
  <c r="E627" i="16"/>
  <c r="F627" i="16" s="1"/>
  <c r="E628" i="16"/>
  <c r="F628" i="16" s="1"/>
  <c r="E629" i="16"/>
  <c r="F629" i="16" s="1"/>
  <c r="E630" i="16"/>
  <c r="F630" i="16" s="1"/>
  <c r="E631" i="16"/>
  <c r="F631" i="16" s="1"/>
  <c r="E632" i="16"/>
  <c r="F632" i="16" s="1"/>
  <c r="E633" i="16"/>
  <c r="F633" i="16" s="1"/>
  <c r="E635" i="16"/>
  <c r="F635" i="16" s="1"/>
  <c r="E636" i="16"/>
  <c r="F636" i="16" s="1"/>
  <c r="E637" i="16"/>
  <c r="F637" i="16" s="1"/>
  <c r="E638" i="16"/>
  <c r="F638" i="16" s="1"/>
  <c r="E639" i="16"/>
  <c r="F639" i="16" s="1"/>
  <c r="E640" i="16"/>
  <c r="F640" i="16" s="1"/>
  <c r="E641" i="16"/>
  <c r="F641" i="16" s="1"/>
  <c r="E642" i="16"/>
  <c r="F642" i="16" s="1"/>
  <c r="E643" i="16"/>
  <c r="F643" i="16" s="1"/>
  <c r="E644" i="16"/>
  <c r="F644" i="16" s="1"/>
  <c r="E645" i="16"/>
  <c r="F645" i="16" s="1"/>
  <c r="E646" i="16"/>
  <c r="F646" i="16" s="1"/>
  <c r="E647" i="16"/>
  <c r="F647" i="16" s="1"/>
  <c r="E648" i="16"/>
  <c r="F648" i="16" s="1"/>
  <c r="E650" i="16"/>
  <c r="F650" i="16" s="1"/>
  <c r="E651" i="16"/>
  <c r="F651" i="16" s="1"/>
  <c r="E652" i="16"/>
  <c r="F652" i="16" s="1"/>
  <c r="E653" i="16"/>
  <c r="F653" i="16" s="1"/>
  <c r="E654" i="16"/>
  <c r="F654" i="16" s="1"/>
  <c r="E655" i="16"/>
  <c r="F655" i="16" s="1"/>
  <c r="E656" i="16"/>
  <c r="F656" i="16" s="1"/>
  <c r="E657" i="16"/>
  <c r="F657" i="16" s="1"/>
  <c r="E659" i="16"/>
  <c r="F659" i="16" s="1"/>
  <c r="E660" i="16"/>
  <c r="F660" i="16" s="1"/>
  <c r="E661" i="16"/>
  <c r="F661" i="16" s="1"/>
  <c r="E662" i="16"/>
  <c r="F662" i="16" s="1"/>
  <c r="E663" i="16"/>
  <c r="F663" i="16" s="1"/>
  <c r="E664" i="16"/>
  <c r="F664" i="16" s="1"/>
  <c r="E665" i="16"/>
  <c r="F665" i="16" s="1"/>
  <c r="E666" i="16"/>
  <c r="F666" i="16" s="1"/>
  <c r="E667" i="16"/>
  <c r="F667" i="16" s="1"/>
  <c r="E668" i="16"/>
  <c r="F668" i="16" s="1"/>
  <c r="E669" i="16"/>
  <c r="F669" i="16" s="1"/>
  <c r="E671" i="16"/>
  <c r="F671" i="16" s="1"/>
  <c r="E672" i="16"/>
  <c r="F672" i="16" s="1"/>
  <c r="E673" i="16"/>
  <c r="F673" i="16" s="1"/>
  <c r="E674" i="16"/>
  <c r="F674" i="16" s="1"/>
  <c r="E675" i="16"/>
  <c r="F675" i="16" s="1"/>
  <c r="E676" i="16"/>
  <c r="F676" i="16" s="1"/>
  <c r="E677" i="16"/>
  <c r="F677" i="16" s="1"/>
  <c r="E679" i="16"/>
  <c r="F679" i="16" s="1"/>
  <c r="E680" i="16"/>
  <c r="F680" i="16" s="1"/>
  <c r="E681" i="16"/>
  <c r="F681" i="16" s="1"/>
  <c r="E682" i="16"/>
  <c r="F682" i="16" s="1"/>
  <c r="E683" i="16"/>
  <c r="F683" i="16" s="1"/>
  <c r="E684" i="16"/>
  <c r="F684" i="16" s="1"/>
  <c r="E685" i="16"/>
  <c r="F685" i="16" s="1"/>
  <c r="E686" i="16"/>
  <c r="F686" i="16" s="1"/>
  <c r="E687" i="16"/>
  <c r="F687" i="16" s="1"/>
  <c r="E688" i="16"/>
  <c r="F688" i="16" s="1"/>
  <c r="E689" i="16"/>
  <c r="F689" i="16" s="1"/>
  <c r="E691" i="16"/>
  <c r="F691" i="16" s="1"/>
  <c r="E692" i="16"/>
  <c r="F692" i="16" s="1"/>
  <c r="E693" i="16"/>
  <c r="F693" i="16" s="1"/>
  <c r="E694" i="16"/>
  <c r="F694" i="16" s="1"/>
  <c r="E695" i="16"/>
  <c r="F695" i="16" s="1"/>
  <c r="E696" i="16"/>
  <c r="F696" i="16" s="1"/>
  <c r="E697" i="16"/>
  <c r="F697" i="16" s="1"/>
  <c r="E698" i="16"/>
  <c r="F698" i="16" s="1"/>
  <c r="E699" i="16"/>
  <c r="F699" i="16" s="1"/>
  <c r="E700" i="16"/>
  <c r="F700" i="16" s="1"/>
  <c r="E701" i="16"/>
  <c r="F701" i="16" s="1"/>
  <c r="E702" i="16"/>
  <c r="F702" i="16" s="1"/>
  <c r="E703" i="16"/>
  <c r="F703" i="16" s="1"/>
  <c r="E704" i="16"/>
  <c r="F704" i="16" s="1"/>
  <c r="E705" i="16"/>
  <c r="F705" i="16" s="1"/>
  <c r="E706" i="16"/>
  <c r="F706" i="16" s="1"/>
  <c r="E707" i="16"/>
  <c r="F707" i="16" s="1"/>
  <c r="E709" i="16"/>
  <c r="F709" i="16" s="1"/>
  <c r="E710" i="16"/>
  <c r="F710" i="16" s="1"/>
  <c r="E711" i="16"/>
  <c r="F711" i="16" s="1"/>
  <c r="F712" i="16"/>
  <c r="E713" i="16"/>
  <c r="F713" i="16"/>
  <c r="E714" i="16"/>
  <c r="F714" i="16"/>
  <c r="E715" i="16"/>
  <c r="F715" i="16"/>
  <c r="F716" i="16"/>
  <c r="E717" i="16"/>
  <c r="F717" i="16" s="1"/>
  <c r="E718" i="16"/>
  <c r="F718" i="16" s="1"/>
  <c r="E719" i="16"/>
  <c r="F719" i="16" s="1"/>
  <c r="E721" i="16"/>
  <c r="F721" i="16" s="1"/>
  <c r="E722" i="16"/>
  <c r="F722" i="16" s="1"/>
  <c r="E723" i="16"/>
  <c r="F723" i="16" s="1"/>
  <c r="E724" i="16"/>
  <c r="F724" i="16" s="1"/>
  <c r="E725" i="16"/>
  <c r="F725" i="16" s="1"/>
  <c r="E727" i="16"/>
  <c r="F727" i="16" s="1"/>
  <c r="E728" i="16"/>
  <c r="F728" i="16" s="1"/>
  <c r="E729" i="16"/>
  <c r="F729" i="16" s="1"/>
  <c r="E730" i="16"/>
  <c r="F730" i="16" s="1"/>
  <c r="E731" i="16"/>
  <c r="F731" i="16" s="1"/>
  <c r="E732" i="16"/>
  <c r="F732" i="16" s="1"/>
  <c r="E733" i="16"/>
  <c r="F733" i="16" s="1"/>
  <c r="E734" i="16"/>
  <c r="F734" i="16" s="1"/>
  <c r="E735" i="16"/>
  <c r="F735" i="16" s="1"/>
  <c r="E736" i="16"/>
  <c r="F736" i="16" s="1"/>
  <c r="E737" i="16"/>
  <c r="F737" i="16" s="1"/>
  <c r="E738" i="16"/>
  <c r="F738" i="16" s="1"/>
  <c r="E739" i="16"/>
  <c r="F739" i="16" s="1"/>
  <c r="E740" i="16"/>
  <c r="F740" i="16" s="1"/>
  <c r="E742" i="16"/>
  <c r="F742" i="16" s="1"/>
  <c r="E743" i="16"/>
  <c r="F743" i="16" s="1"/>
  <c r="G744" i="16" s="1"/>
  <c r="E744" i="16"/>
  <c r="F744" i="16" s="1"/>
  <c r="E745" i="16"/>
  <c r="F745" i="16"/>
  <c r="E746" i="16"/>
  <c r="F746" i="16"/>
  <c r="G746" i="16" s="1"/>
  <c r="E747" i="16"/>
  <c r="F747" i="16" s="1"/>
  <c r="E748" i="16"/>
  <c r="F748" i="16" s="1"/>
  <c r="G748" i="16" s="1"/>
  <c r="E749" i="16"/>
  <c r="F749" i="16"/>
  <c r="E750" i="16"/>
  <c r="F750" i="16"/>
  <c r="G750" i="16" s="1"/>
  <c r="E751" i="16"/>
  <c r="F751" i="16" s="1"/>
  <c r="E752" i="16"/>
  <c r="F752" i="16" s="1"/>
  <c r="G752" i="16" s="1"/>
  <c r="E754" i="16"/>
  <c r="F754" i="16"/>
  <c r="E755" i="16"/>
  <c r="F755" i="16"/>
  <c r="E756" i="16"/>
  <c r="F756" i="16"/>
  <c r="E757" i="16"/>
  <c r="F757" i="16"/>
  <c r="E758" i="16"/>
  <c r="F758" i="16"/>
  <c r="E759" i="16"/>
  <c r="F759" i="16"/>
  <c r="E760" i="16"/>
  <c r="F760" i="16"/>
  <c r="E761" i="16"/>
  <c r="F761" i="16"/>
  <c r="E762" i="16"/>
  <c r="F762" i="16"/>
  <c r="E763" i="16"/>
  <c r="F763" i="16"/>
  <c r="E764" i="16"/>
  <c r="F764" i="16"/>
  <c r="E765" i="16"/>
  <c r="F765" i="16"/>
  <c r="E766" i="16"/>
  <c r="F766" i="16"/>
  <c r="E767" i="16"/>
  <c r="F767" i="16"/>
  <c r="E768" i="16"/>
  <c r="F768" i="16"/>
  <c r="E769" i="16"/>
  <c r="F769" i="16"/>
  <c r="E770" i="16"/>
  <c r="F770" i="16"/>
  <c r="E771" i="16"/>
  <c r="F771" i="16"/>
  <c r="E773" i="16"/>
  <c r="F773" i="16"/>
  <c r="E774" i="16"/>
  <c r="F774" i="16"/>
  <c r="E775" i="16"/>
  <c r="F775" i="16"/>
  <c r="E776" i="16"/>
  <c r="F776" i="16"/>
  <c r="E777" i="16"/>
  <c r="F777" i="16"/>
  <c r="E778" i="16"/>
  <c r="F778" i="16"/>
  <c r="E779" i="16"/>
  <c r="F779" i="16"/>
  <c r="E780" i="16"/>
  <c r="F780" i="16"/>
  <c r="E781" i="16"/>
  <c r="F781" i="16"/>
  <c r="E782" i="16"/>
  <c r="F782" i="16"/>
  <c r="E783" i="16"/>
  <c r="F783" i="16"/>
  <c r="E784" i="16"/>
  <c r="F784" i="16"/>
  <c r="E786" i="16"/>
  <c r="F786" i="16"/>
  <c r="E787" i="16"/>
  <c r="F787" i="16"/>
  <c r="E788" i="16"/>
  <c r="F788" i="16"/>
  <c r="E789" i="16"/>
  <c r="F789" i="16"/>
  <c r="E790" i="16"/>
  <c r="F790" i="16"/>
  <c r="E791" i="16"/>
  <c r="F791" i="16"/>
  <c r="E792" i="16"/>
  <c r="F792" i="16"/>
  <c r="E793" i="16"/>
  <c r="F793" i="16"/>
  <c r="E794" i="16"/>
  <c r="F794" i="16"/>
  <c r="E795" i="16"/>
  <c r="F795" i="16"/>
  <c r="E796" i="16"/>
  <c r="F796" i="16"/>
  <c r="E797" i="16"/>
  <c r="F797" i="16"/>
  <c r="E798" i="16"/>
  <c r="F798" i="16"/>
  <c r="E799" i="16"/>
  <c r="F799" i="16"/>
  <c r="E801" i="16"/>
  <c r="F801" i="16"/>
  <c r="E802" i="16"/>
  <c r="F802" i="16"/>
  <c r="E803" i="16"/>
  <c r="F803" i="16"/>
  <c r="E804" i="16"/>
  <c r="F804" i="16"/>
  <c r="E805" i="16"/>
  <c r="F805" i="16"/>
  <c r="E806" i="16"/>
  <c r="F806" i="16"/>
  <c r="E807" i="16"/>
  <c r="F807" i="16"/>
  <c r="E808" i="16"/>
  <c r="F808" i="16"/>
  <c r="E809" i="16"/>
  <c r="F809" i="16"/>
  <c r="E810" i="16"/>
  <c r="F810" i="16"/>
  <c r="E812" i="16"/>
  <c r="F812" i="16"/>
  <c r="E813" i="16"/>
  <c r="F813" i="16"/>
  <c r="E814" i="16"/>
  <c r="F814" i="16"/>
  <c r="E815" i="16"/>
  <c r="F815" i="16"/>
  <c r="E816" i="16"/>
  <c r="F816" i="16"/>
  <c r="E817" i="16"/>
  <c r="F817" i="16"/>
  <c r="E818" i="16"/>
  <c r="F818" i="16"/>
  <c r="E819" i="16"/>
  <c r="F819" i="16"/>
  <c r="E820" i="16"/>
  <c r="F820" i="16"/>
  <c r="E821" i="16"/>
  <c r="F821" i="16"/>
  <c r="E825" i="16"/>
  <c r="F825" i="16"/>
  <c r="E826" i="16"/>
  <c r="F826" i="16"/>
  <c r="E827" i="16"/>
  <c r="F827" i="16"/>
  <c r="E828" i="16"/>
  <c r="F828" i="16"/>
  <c r="E829" i="16"/>
  <c r="F829" i="16"/>
  <c r="E830" i="16"/>
  <c r="F830" i="16"/>
  <c r="E831" i="16"/>
  <c r="F831" i="16"/>
  <c r="E832" i="16"/>
  <c r="F832" i="16"/>
  <c r="E833" i="16"/>
  <c r="F833" i="16"/>
  <c r="E834" i="16"/>
  <c r="F834" i="16"/>
  <c r="E835" i="16"/>
  <c r="F835" i="16"/>
  <c r="E836" i="16"/>
  <c r="F836" i="16"/>
  <c r="E837" i="16"/>
  <c r="F837" i="16"/>
  <c r="E838" i="16"/>
  <c r="F838" i="16"/>
  <c r="E839" i="16"/>
  <c r="F839" i="16"/>
  <c r="E840" i="16"/>
  <c r="F840" i="16"/>
  <c r="E841" i="16"/>
  <c r="F841" i="16"/>
  <c r="E843" i="16"/>
  <c r="F843" i="16"/>
  <c r="E844" i="16"/>
  <c r="F844" i="16"/>
  <c r="E845" i="16"/>
  <c r="F845" i="16"/>
  <c r="E846" i="16"/>
  <c r="F846" i="16"/>
  <c r="E847" i="16"/>
  <c r="F847" i="16"/>
  <c r="E848" i="16"/>
  <c r="F848" i="16"/>
  <c r="E849" i="16"/>
  <c r="F849" i="16"/>
  <c r="E850" i="16"/>
  <c r="F850" i="16"/>
  <c r="E851" i="16"/>
  <c r="F851" i="16"/>
  <c r="E852" i="16"/>
  <c r="F852" i="16"/>
  <c r="E853" i="16"/>
  <c r="F853" i="16"/>
  <c r="E854" i="16"/>
  <c r="F854" i="16"/>
  <c r="E855" i="16"/>
  <c r="F855" i="16"/>
  <c r="E856" i="16"/>
  <c r="F856" i="16"/>
  <c r="E858" i="16"/>
  <c r="F858" i="16"/>
  <c r="E859" i="16"/>
  <c r="F859" i="16"/>
  <c r="E860" i="16"/>
  <c r="F860" i="16"/>
  <c r="E861" i="16"/>
  <c r="F861" i="16"/>
  <c r="E862" i="16"/>
  <c r="F862" i="16"/>
  <c r="E863" i="16"/>
  <c r="F863" i="16"/>
  <c r="E864" i="16"/>
  <c r="F864" i="16"/>
  <c r="E865" i="16"/>
  <c r="F865" i="16"/>
  <c r="E866" i="16"/>
  <c r="F866" i="16"/>
  <c r="E867" i="16"/>
  <c r="F867" i="16"/>
  <c r="E869" i="16"/>
  <c r="F869" i="16"/>
  <c r="E870" i="16"/>
  <c r="F870" i="16"/>
  <c r="E871" i="16"/>
  <c r="F871" i="16"/>
  <c r="E872" i="16"/>
  <c r="F872" i="16"/>
  <c r="E873" i="16"/>
  <c r="F873" i="16"/>
  <c r="E874" i="16"/>
  <c r="F874" i="16"/>
  <c r="E875" i="16"/>
  <c r="F875" i="16"/>
  <c r="E876" i="16"/>
  <c r="F876" i="16"/>
  <c r="E877" i="16"/>
  <c r="F877" i="16"/>
  <c r="E878" i="16"/>
  <c r="F878" i="16"/>
  <c r="E880" i="16"/>
  <c r="F880" i="16"/>
  <c r="E881" i="16"/>
  <c r="F881" i="16"/>
  <c r="E882" i="16"/>
  <c r="F882" i="16" s="1"/>
  <c r="E883" i="16"/>
  <c r="F883" i="16" s="1"/>
  <c r="E884" i="16"/>
  <c r="F884" i="16" s="1"/>
  <c r="E885" i="16"/>
  <c r="F885" i="16" s="1"/>
  <c r="E886" i="16"/>
  <c r="F886" i="16" s="1"/>
  <c r="E887" i="16"/>
  <c r="F887" i="16" s="1"/>
  <c r="E888" i="16"/>
  <c r="F888" i="16" s="1"/>
  <c r="E889" i="16"/>
  <c r="F889" i="16" s="1"/>
  <c r="E890" i="16"/>
  <c r="F890" i="16" s="1"/>
  <c r="E891" i="16"/>
  <c r="F891" i="16" s="1"/>
  <c r="E892" i="16"/>
  <c r="F892" i="16" s="1"/>
  <c r="E893" i="16"/>
  <c r="F893" i="16" s="1"/>
  <c r="E894" i="16"/>
  <c r="F894" i="16" s="1"/>
  <c r="E895" i="16"/>
  <c r="F895" i="16" s="1"/>
  <c r="E897" i="16"/>
  <c r="F897" i="16" s="1"/>
  <c r="E898" i="16"/>
  <c r="F898" i="16" s="1"/>
  <c r="E899" i="16"/>
  <c r="F899" i="16" s="1"/>
  <c r="E900" i="16"/>
  <c r="F900" i="16" s="1"/>
  <c r="E901" i="16"/>
  <c r="F901" i="16" s="1"/>
  <c r="E902" i="16"/>
  <c r="F902" i="16" s="1"/>
  <c r="E903" i="16"/>
  <c r="F903" i="16" s="1"/>
  <c r="E904" i="16"/>
  <c r="F904" i="16" s="1"/>
  <c r="E905" i="16"/>
  <c r="F905" i="16" s="1"/>
  <c r="E906" i="16"/>
  <c r="F906" i="16" s="1"/>
  <c r="E907" i="16"/>
  <c r="F907" i="16" s="1"/>
  <c r="E909" i="16"/>
  <c r="F909" i="16" s="1"/>
  <c r="E910" i="16"/>
  <c r="F910" i="16" s="1"/>
  <c r="E911" i="16"/>
  <c r="F911" i="16" s="1"/>
  <c r="E912" i="16"/>
  <c r="F912" i="16" s="1"/>
  <c r="E913" i="16"/>
  <c r="F913" i="16" s="1"/>
  <c r="E914" i="16"/>
  <c r="F914" i="16" s="1"/>
  <c r="E915" i="16"/>
  <c r="F915" i="16" s="1"/>
  <c r="E916" i="16"/>
  <c r="F916" i="16" s="1"/>
  <c r="E917" i="16"/>
  <c r="F917" i="16" s="1"/>
  <c r="E918" i="16"/>
  <c r="F918" i="16" s="1"/>
  <c r="E919" i="16"/>
  <c r="F919" i="16" s="1"/>
  <c r="E920" i="16"/>
  <c r="F920" i="16" s="1"/>
  <c r="E922" i="16"/>
  <c r="F922" i="16" s="1"/>
  <c r="E923" i="16"/>
  <c r="F923" i="16" s="1"/>
  <c r="E924" i="16"/>
  <c r="F924" i="16" s="1"/>
  <c r="E925" i="16"/>
  <c r="F925" i="16" s="1"/>
  <c r="E926" i="16"/>
  <c r="F926" i="16" s="1"/>
  <c r="E929" i="16"/>
  <c r="F929" i="16" s="1"/>
  <c r="E930" i="16"/>
  <c r="F930" i="16" s="1"/>
  <c r="E931" i="16"/>
  <c r="F931" i="16" s="1"/>
  <c r="E932" i="16"/>
  <c r="F932" i="16" s="1"/>
  <c r="I935" i="16"/>
  <c r="J935" i="16"/>
  <c r="D2" i="14"/>
  <c r="I2" i="14" s="1"/>
  <c r="D3" i="14"/>
  <c r="I3" i="14" s="1"/>
  <c r="D4" i="14"/>
  <c r="I4" i="14" s="1"/>
  <c r="D5" i="14"/>
  <c r="I5" i="14" s="1"/>
  <c r="D6" i="14"/>
  <c r="I6" i="14" s="1"/>
  <c r="D7" i="14"/>
  <c r="I7" i="14" s="1"/>
  <c r="D8" i="14"/>
  <c r="I8" i="14" s="1"/>
  <c r="D9" i="14"/>
  <c r="I9" i="14" s="1"/>
  <c r="D10" i="14"/>
  <c r="I10" i="14" s="1"/>
  <c r="D11" i="14"/>
  <c r="I11" i="14" s="1"/>
  <c r="D12" i="14"/>
  <c r="I12" i="14" s="1"/>
  <c r="D13" i="14"/>
  <c r="I13" i="14" s="1"/>
  <c r="D14" i="14"/>
  <c r="I14" i="14" s="1"/>
  <c r="D15" i="14"/>
  <c r="I15" i="14" s="1"/>
  <c r="D16" i="14"/>
  <c r="I16" i="14" s="1"/>
  <c r="D17" i="14"/>
  <c r="I17" i="14" s="1"/>
  <c r="D18" i="14"/>
  <c r="I18" i="14" s="1"/>
  <c r="D19" i="14"/>
  <c r="I19" i="14" s="1"/>
  <c r="D20" i="14"/>
  <c r="I20" i="14" s="1"/>
  <c r="D21" i="14"/>
  <c r="I21" i="14" s="1"/>
  <c r="D22" i="14"/>
  <c r="I22" i="14" s="1"/>
  <c r="D23" i="14"/>
  <c r="I23" i="14" s="1"/>
  <c r="D24" i="14"/>
  <c r="I24" i="14" s="1"/>
  <c r="D25" i="14"/>
  <c r="I25" i="14" s="1"/>
  <c r="D26" i="14"/>
  <c r="I26" i="14" s="1"/>
  <c r="D27" i="14"/>
  <c r="I27" i="14" s="1"/>
  <c r="B28" i="14"/>
  <c r="D28" i="14" s="1"/>
  <c r="I28" i="14" s="1"/>
  <c r="D29" i="14"/>
  <c r="I29" i="14" s="1"/>
  <c r="D30" i="14"/>
  <c r="I30" i="14" s="1"/>
  <c r="D31" i="14"/>
  <c r="I31" i="14" s="1"/>
  <c r="D32" i="14"/>
  <c r="I32" i="14" s="1"/>
  <c r="D33" i="14"/>
  <c r="I33" i="14" s="1"/>
  <c r="D34" i="14"/>
  <c r="I34" i="14" s="1"/>
  <c r="D35" i="14"/>
  <c r="I35" i="14" s="1"/>
  <c r="D36" i="14"/>
  <c r="I36" i="14" s="1"/>
  <c r="D37" i="14"/>
  <c r="I37" i="14" s="1"/>
  <c r="D38" i="14"/>
  <c r="I38" i="14" s="1"/>
  <c r="D39" i="14"/>
  <c r="I39" i="14" s="1"/>
  <c r="D40" i="14"/>
  <c r="I40" i="14" s="1"/>
  <c r="D41" i="14"/>
  <c r="I41" i="14" s="1"/>
  <c r="D42" i="14"/>
  <c r="I42" i="14" s="1"/>
  <c r="D43" i="14"/>
  <c r="I43" i="14" s="1"/>
  <c r="D44" i="14"/>
  <c r="I44" i="14" s="1"/>
  <c r="D45" i="14"/>
  <c r="I45" i="14" s="1"/>
  <c r="B46" i="14"/>
  <c r="D46" i="14" s="1"/>
  <c r="I46" i="14" s="1"/>
  <c r="D47" i="14"/>
  <c r="I47" i="14" s="1"/>
  <c r="D48" i="14"/>
  <c r="I48" i="14" s="1"/>
  <c r="D49" i="14"/>
  <c r="I49" i="14" s="1"/>
  <c r="D50" i="14"/>
  <c r="I50" i="14" s="1"/>
  <c r="D51" i="14"/>
  <c r="I51" i="14" s="1"/>
  <c r="D52" i="14"/>
  <c r="I52" i="14" s="1"/>
  <c r="D53" i="14"/>
  <c r="I53" i="14" s="1"/>
  <c r="D54" i="14"/>
  <c r="I54" i="14" s="1"/>
  <c r="D55" i="14"/>
  <c r="I55" i="14" s="1"/>
  <c r="D56" i="14"/>
  <c r="I56" i="14" s="1"/>
  <c r="D57" i="14"/>
  <c r="I57" i="14" s="1"/>
  <c r="D58" i="14"/>
  <c r="I58" i="14" s="1"/>
  <c r="D59" i="14"/>
  <c r="I59" i="14" s="1"/>
  <c r="D60" i="14"/>
  <c r="I60" i="14" s="1"/>
  <c r="D61" i="14"/>
  <c r="I61" i="14" s="1"/>
  <c r="D62" i="14"/>
  <c r="I62" i="14" s="1"/>
  <c r="D63" i="14"/>
  <c r="I63" i="14" s="1"/>
  <c r="D64" i="14"/>
  <c r="I64" i="14" s="1"/>
  <c r="D65" i="14"/>
  <c r="I65" i="14" s="1"/>
  <c r="D66" i="14"/>
  <c r="I66" i="14" s="1"/>
  <c r="D67" i="14"/>
  <c r="I67" i="14" s="1"/>
  <c r="D68" i="14"/>
  <c r="I68" i="14" s="1"/>
  <c r="D69" i="14"/>
  <c r="I69" i="14" s="1"/>
  <c r="D70" i="14"/>
  <c r="I70" i="14" s="1"/>
  <c r="D71" i="14"/>
  <c r="I71" i="14" s="1"/>
  <c r="D72" i="14"/>
  <c r="I72" i="14" s="1"/>
  <c r="D73" i="14"/>
  <c r="I73" i="14" s="1"/>
  <c r="D74" i="14"/>
  <c r="I74" i="14" s="1"/>
  <c r="D75" i="14"/>
  <c r="I75" i="14" s="1"/>
  <c r="D76" i="14"/>
  <c r="I76" i="14" s="1"/>
  <c r="D77" i="14"/>
  <c r="I77" i="14" s="1"/>
  <c r="D78" i="14"/>
  <c r="I78" i="14" s="1"/>
  <c r="D79" i="14"/>
  <c r="I79" i="14" s="1"/>
  <c r="D80" i="14"/>
  <c r="I80" i="14" s="1"/>
  <c r="D81" i="14"/>
  <c r="I81" i="14" s="1"/>
  <c r="D82" i="14"/>
  <c r="I82" i="14" s="1"/>
  <c r="D83" i="14"/>
  <c r="I83" i="14" s="1"/>
  <c r="D84" i="14"/>
  <c r="I84" i="14" s="1"/>
  <c r="D85" i="14"/>
  <c r="I85" i="14" s="1"/>
  <c r="D86" i="14"/>
  <c r="I86" i="14" s="1"/>
  <c r="D87" i="14"/>
  <c r="I87" i="14" s="1"/>
  <c r="D88" i="14"/>
  <c r="I88" i="14" s="1"/>
  <c r="D89" i="14"/>
  <c r="I89" i="14" s="1"/>
  <c r="D90" i="14"/>
  <c r="I90" i="14" s="1"/>
  <c r="D91" i="14"/>
  <c r="I91" i="14" s="1"/>
  <c r="D92" i="14"/>
  <c r="I92" i="14" s="1"/>
  <c r="D93" i="14"/>
  <c r="I93" i="14" s="1"/>
  <c r="D94" i="14"/>
  <c r="I94" i="14" s="1"/>
  <c r="D95" i="14"/>
  <c r="I95" i="14" s="1"/>
  <c r="D96" i="14"/>
  <c r="I96" i="14" s="1"/>
  <c r="D97" i="14"/>
  <c r="I97" i="14" s="1"/>
  <c r="D98" i="14"/>
  <c r="I98" i="14" s="1"/>
  <c r="D99" i="14"/>
  <c r="I99" i="14" s="1"/>
  <c r="D100" i="14"/>
  <c r="I100" i="14" s="1"/>
  <c r="D101" i="14"/>
  <c r="I101" i="14" s="1"/>
  <c r="D102" i="14"/>
  <c r="I102" i="14" s="1"/>
  <c r="D103" i="14"/>
  <c r="I103" i="14" s="1"/>
  <c r="D104" i="14"/>
  <c r="I104" i="14" s="1"/>
  <c r="D105" i="14"/>
  <c r="I105" i="14" s="1"/>
  <c r="D106" i="14"/>
  <c r="I106" i="14" s="1"/>
  <c r="D107" i="14"/>
  <c r="I107" i="14" s="1"/>
  <c r="D108" i="14"/>
  <c r="I108" i="14" s="1"/>
  <c r="D109" i="14"/>
  <c r="I109" i="14" s="1"/>
  <c r="D110" i="14"/>
  <c r="I110" i="14" s="1"/>
  <c r="D111" i="14"/>
  <c r="I111" i="14" s="1"/>
  <c r="D112" i="14"/>
  <c r="I112" i="14" s="1"/>
  <c r="D113" i="14"/>
  <c r="I113" i="14" s="1"/>
  <c r="D114" i="14"/>
  <c r="I114" i="14" s="1"/>
  <c r="D115" i="14"/>
  <c r="I115" i="14" s="1"/>
  <c r="D116" i="14"/>
  <c r="I116" i="14" s="1"/>
  <c r="D117" i="14"/>
  <c r="I117" i="14" s="1"/>
  <c r="B118" i="14"/>
  <c r="D118" i="14" s="1"/>
  <c r="I118" i="14" s="1"/>
  <c r="D119" i="14"/>
  <c r="I119" i="14" s="1"/>
  <c r="B120" i="14"/>
  <c r="D120" i="14" s="1"/>
  <c r="I120" i="14" s="1"/>
  <c r="D121" i="14"/>
  <c r="I121" i="14" s="1"/>
  <c r="D122" i="14"/>
  <c r="I122" i="14" s="1"/>
  <c r="D123" i="14"/>
  <c r="I123" i="14" s="1"/>
  <c r="B124" i="14"/>
  <c r="D124" i="14" s="1"/>
  <c r="I124" i="14" s="1"/>
  <c r="D125" i="14"/>
  <c r="I125" i="14" s="1"/>
  <c r="D126" i="14"/>
  <c r="I126" i="14" s="1"/>
  <c r="D127" i="14"/>
  <c r="I127" i="14" s="1"/>
  <c r="D128" i="14"/>
  <c r="I128" i="14" s="1"/>
  <c r="D129" i="14"/>
  <c r="I129" i="14" s="1"/>
  <c r="D130" i="14"/>
  <c r="I130" i="14" s="1"/>
  <c r="D131" i="14"/>
  <c r="I131" i="14" s="1"/>
  <c r="D132" i="14"/>
  <c r="I132" i="14" s="1"/>
  <c r="D133" i="14"/>
  <c r="I133" i="14" s="1"/>
  <c r="D134" i="14"/>
  <c r="I134" i="14" s="1"/>
  <c r="D135" i="14"/>
  <c r="I135" i="14" s="1"/>
  <c r="D136" i="14"/>
  <c r="I136" i="14" s="1"/>
  <c r="D137" i="14"/>
  <c r="I137" i="14" s="1"/>
  <c r="D138" i="14"/>
  <c r="I138" i="14" s="1"/>
  <c r="D139" i="14"/>
  <c r="I139" i="14" s="1"/>
  <c r="D140" i="14"/>
  <c r="I140" i="14" s="1"/>
  <c r="B141" i="14"/>
  <c r="D141" i="14" s="1"/>
  <c r="I141" i="14" s="1"/>
  <c r="D142" i="14"/>
  <c r="I142" i="14" s="1"/>
  <c r="B143" i="14"/>
  <c r="D143" i="14" s="1"/>
  <c r="I143" i="14" s="1"/>
  <c r="D144" i="14"/>
  <c r="I144" i="14" s="1"/>
  <c r="D145" i="14"/>
  <c r="I145" i="14" s="1"/>
  <c r="D146" i="14"/>
  <c r="I146" i="14" s="1"/>
  <c r="D147" i="14"/>
  <c r="I147" i="14" s="1"/>
  <c r="D148" i="14"/>
  <c r="I148" i="14" s="1"/>
  <c r="D149" i="14"/>
  <c r="I149" i="14" s="1"/>
  <c r="D150" i="14"/>
  <c r="I150" i="14" s="1"/>
  <c r="D151" i="14"/>
  <c r="I151" i="14" s="1"/>
  <c r="D152" i="14"/>
  <c r="I152" i="14" s="1"/>
  <c r="D153" i="14"/>
  <c r="I153" i="14" s="1"/>
  <c r="D154" i="14"/>
  <c r="I154" i="14" s="1"/>
  <c r="D155" i="14"/>
  <c r="I155" i="14" s="1"/>
  <c r="D156" i="14"/>
  <c r="I156" i="14" s="1"/>
  <c r="D157" i="14"/>
  <c r="I157" i="14" s="1"/>
  <c r="D158" i="14"/>
  <c r="I158" i="14" s="1"/>
  <c r="D159" i="14"/>
  <c r="I159" i="14" s="1"/>
  <c r="D160" i="14"/>
  <c r="I160" i="14" s="1"/>
  <c r="D161" i="14"/>
  <c r="I161" i="14" s="1"/>
  <c r="D162" i="14"/>
  <c r="I162" i="14" s="1"/>
  <c r="D163" i="14"/>
  <c r="I163" i="14" s="1"/>
  <c r="D165" i="14"/>
  <c r="B172" i="14"/>
  <c r="D172" i="14" s="1"/>
  <c r="I172" i="14" s="1"/>
  <c r="D173" i="14"/>
  <c r="I173" i="14" s="1"/>
  <c r="D174" i="14"/>
  <c r="I174" i="14" s="1"/>
  <c r="D175" i="14"/>
  <c r="I175" i="14" s="1"/>
  <c r="D176" i="14"/>
  <c r="I176" i="14" s="1"/>
  <c r="D177" i="14"/>
  <c r="I177" i="14" s="1"/>
  <c r="D178" i="14"/>
  <c r="I178" i="14" s="1"/>
  <c r="D179" i="14"/>
  <c r="I179" i="14" s="1"/>
  <c r="D180" i="14"/>
  <c r="I180" i="14" s="1"/>
  <c r="D181" i="14"/>
  <c r="I181" i="14" s="1"/>
  <c r="D182" i="14"/>
  <c r="I182" i="14" s="1"/>
  <c r="D183" i="14"/>
  <c r="I183" i="14" s="1"/>
  <c r="B184" i="14"/>
  <c r="D184" i="14" s="1"/>
  <c r="I184" i="14" s="1"/>
  <c r="D185" i="14"/>
  <c r="I185" i="14" s="1"/>
  <c r="D186" i="14"/>
  <c r="I186" i="14" s="1"/>
  <c r="B187" i="14"/>
  <c r="D187" i="14" s="1"/>
  <c r="I187" i="14" s="1"/>
  <c r="D188" i="14"/>
  <c r="I188" i="14" s="1"/>
  <c r="D189" i="14"/>
  <c r="I189" i="14" s="1"/>
  <c r="D190" i="14"/>
  <c r="I190" i="14" s="1"/>
  <c r="D191" i="14"/>
  <c r="I191" i="14" s="1"/>
  <c r="D192" i="14"/>
  <c r="I192" i="14" s="1"/>
  <c r="D193" i="14"/>
  <c r="I193" i="14" s="1"/>
  <c r="D195" i="14"/>
  <c r="I195" i="14" s="1"/>
  <c r="D196" i="14"/>
  <c r="I196" i="14" s="1"/>
  <c r="D197" i="14"/>
  <c r="I197" i="14" s="1"/>
  <c r="D199" i="14"/>
  <c r="I199" i="14" s="1"/>
  <c r="D200" i="14"/>
  <c r="I200" i="14" s="1"/>
  <c r="D201" i="14"/>
  <c r="I201" i="14" s="1"/>
  <c r="D202" i="14"/>
  <c r="I202" i="14" s="1"/>
  <c r="D203" i="14"/>
  <c r="I203" i="14" s="1"/>
  <c r="D204" i="14"/>
  <c r="I204" i="14" s="1"/>
  <c r="D205" i="14"/>
  <c r="I205" i="14" s="1"/>
  <c r="D206" i="14"/>
  <c r="I206" i="14" s="1"/>
  <c r="D207" i="14"/>
  <c r="I207" i="14" s="1"/>
  <c r="D208" i="14"/>
  <c r="I208" i="14" s="1"/>
  <c r="D209" i="14"/>
  <c r="I209" i="14" s="1"/>
  <c r="D210" i="14"/>
  <c r="I210" i="14" s="1"/>
  <c r="D211" i="14"/>
  <c r="I211" i="14" s="1"/>
  <c r="D212" i="14"/>
  <c r="I212" i="14" s="1"/>
  <c r="D213" i="14"/>
  <c r="I213" i="14" s="1"/>
  <c r="D214" i="14"/>
  <c r="I214" i="14" s="1"/>
  <c r="D215" i="14"/>
  <c r="I215" i="14" s="1"/>
  <c r="D216" i="14"/>
  <c r="I216" i="14" s="1"/>
  <c r="D217" i="14"/>
  <c r="I217" i="14" s="1"/>
  <c r="D218" i="14"/>
  <c r="I218" i="14" s="1"/>
  <c r="D219" i="14"/>
  <c r="I219" i="14" s="1"/>
  <c r="D220" i="14"/>
  <c r="I220" i="14" s="1"/>
  <c r="D221" i="14"/>
  <c r="I221" i="14" s="1"/>
  <c r="D222" i="14"/>
  <c r="I222" i="14" s="1"/>
  <c r="D223" i="14"/>
  <c r="I223" i="14" s="1"/>
  <c r="D224" i="14"/>
  <c r="I224" i="14" s="1"/>
  <c r="D225" i="14"/>
  <c r="I225" i="14" s="1"/>
  <c r="D226" i="14"/>
  <c r="I226" i="14" s="1"/>
  <c r="D228" i="14"/>
  <c r="I228" i="14" s="1"/>
  <c r="D229" i="14"/>
  <c r="I229" i="14" s="1"/>
  <c r="D230" i="14"/>
  <c r="I230" i="14" s="1"/>
  <c r="D231" i="14"/>
  <c r="I231" i="14" s="1"/>
  <c r="D232" i="14"/>
  <c r="I232" i="14" s="1"/>
  <c r="D234" i="14"/>
  <c r="I234" i="14" s="1"/>
  <c r="D235" i="14"/>
  <c r="I235" i="14" s="1"/>
  <c r="D236" i="14"/>
  <c r="I236" i="14" s="1"/>
  <c r="D237" i="14"/>
  <c r="I237" i="14" s="1"/>
  <c r="B238" i="14"/>
  <c r="D238" i="14" s="1"/>
  <c r="I238" i="14" s="1"/>
  <c r="D239" i="14"/>
  <c r="I239" i="14" s="1"/>
  <c r="D240" i="14"/>
  <c r="I240" i="14" s="1"/>
  <c r="D241" i="14"/>
  <c r="I241" i="14" s="1"/>
  <c r="D242" i="14"/>
  <c r="I242" i="14" s="1"/>
  <c r="D243" i="14"/>
  <c r="I243" i="14" s="1"/>
  <c r="D244" i="14"/>
  <c r="I244" i="14" s="1"/>
  <c r="D245" i="14"/>
  <c r="I245" i="14" s="1"/>
  <c r="D246" i="14"/>
  <c r="I246" i="14" s="1"/>
  <c r="D247" i="14"/>
  <c r="I247" i="14" s="1"/>
  <c r="D248" i="14"/>
  <c r="I248" i="14" s="1"/>
  <c r="D249" i="14"/>
  <c r="I249" i="14" s="1"/>
  <c r="D250" i="14"/>
  <c r="I250" i="14" s="1"/>
  <c r="D251" i="14"/>
  <c r="I251" i="14" s="1"/>
  <c r="D252" i="14"/>
  <c r="I252" i="14" s="1"/>
  <c r="D253" i="14"/>
  <c r="I253" i="14" s="1"/>
  <c r="D254" i="14"/>
  <c r="I254" i="14" s="1"/>
  <c r="D255" i="14"/>
  <c r="I255" i="14" s="1"/>
  <c r="D256" i="14"/>
  <c r="I256" i="14" s="1"/>
  <c r="D257" i="14"/>
  <c r="I257" i="14" s="1"/>
  <c r="D258" i="14"/>
  <c r="I258" i="14" s="1"/>
  <c r="D259" i="14"/>
  <c r="I259" i="14" s="1"/>
  <c r="D260" i="14"/>
  <c r="I260" i="14" s="1"/>
  <c r="D261" i="14"/>
  <c r="I261" i="14" s="1"/>
  <c r="D262" i="14"/>
  <c r="I262" i="14" s="1"/>
  <c r="D263" i="14"/>
  <c r="I263" i="14" s="1"/>
  <c r="D264" i="14"/>
  <c r="I264" i="14" s="1"/>
  <c r="D265" i="14"/>
  <c r="I265" i="14" s="1"/>
  <c r="D266" i="14"/>
  <c r="I266" i="14" s="1"/>
  <c r="B267" i="14"/>
  <c r="D267" i="14" s="1"/>
  <c r="I267" i="14" s="1"/>
  <c r="D268" i="14"/>
  <c r="I268" i="14" s="1"/>
  <c r="D269" i="14"/>
  <c r="I269" i="14" s="1"/>
  <c r="D270" i="14"/>
  <c r="I270" i="14" s="1"/>
  <c r="D271" i="14"/>
  <c r="I271" i="14" s="1"/>
  <c r="D272" i="14"/>
  <c r="I272" i="14" s="1"/>
  <c r="D273" i="14"/>
  <c r="I273" i="14" s="1"/>
  <c r="D274" i="14"/>
  <c r="I274" i="14" s="1"/>
  <c r="D275" i="14"/>
  <c r="I275" i="14" s="1"/>
  <c r="D276" i="14"/>
  <c r="I276" i="14" s="1"/>
  <c r="D277" i="14"/>
  <c r="I277" i="14" s="1"/>
  <c r="D278" i="14"/>
  <c r="I278" i="14" s="1"/>
  <c r="D279" i="14"/>
  <c r="I279" i="14" s="1"/>
  <c r="D280" i="14"/>
  <c r="I280" i="14" s="1"/>
  <c r="D281" i="14"/>
  <c r="I281" i="14" s="1"/>
  <c r="D282" i="14"/>
  <c r="I282" i="14" s="1"/>
  <c r="D283" i="14"/>
  <c r="I283" i="14" s="1"/>
  <c r="D284" i="14"/>
  <c r="I284" i="14" s="1"/>
  <c r="D285" i="14"/>
  <c r="I285" i="14" s="1"/>
  <c r="D286" i="14"/>
  <c r="I286" i="14" s="1"/>
  <c r="D287" i="14"/>
  <c r="I287" i="14" s="1"/>
  <c r="D288" i="14"/>
  <c r="I288" i="14" s="1"/>
  <c r="D289" i="14"/>
  <c r="I289" i="14" s="1"/>
  <c r="D290" i="14"/>
  <c r="I290" i="14" s="1"/>
  <c r="D291" i="14"/>
  <c r="I291" i="14" s="1"/>
  <c r="D292" i="14"/>
  <c r="I292" i="14" s="1"/>
  <c r="D293" i="14"/>
  <c r="I293" i="14" s="1"/>
  <c r="D294" i="14"/>
  <c r="I294" i="14" s="1"/>
  <c r="D295" i="14"/>
  <c r="I295" i="14" s="1"/>
  <c r="D296" i="14"/>
  <c r="I296" i="14" s="1"/>
  <c r="D297" i="14"/>
  <c r="D298" i="14"/>
  <c r="D299" i="14"/>
  <c r="D300" i="14"/>
  <c r="I300" i="14" s="1"/>
  <c r="D301" i="14"/>
  <c r="I301" i="14" s="1"/>
  <c r="D302" i="14"/>
  <c r="I302" i="14" s="1"/>
  <c r="D303" i="14"/>
  <c r="I303" i="14" s="1"/>
  <c r="D304" i="14"/>
  <c r="I304" i="14" s="1"/>
  <c r="D305" i="14"/>
  <c r="I305" i="14" s="1"/>
  <c r="D306" i="14"/>
  <c r="I306" i="14" s="1"/>
  <c r="D307" i="14"/>
  <c r="I307" i="14" s="1"/>
  <c r="D308" i="14"/>
  <c r="I308" i="14" s="1"/>
  <c r="D309" i="14"/>
  <c r="I309" i="14" s="1"/>
  <c r="B310" i="14"/>
  <c r="D310" i="14" s="1"/>
  <c r="I310" i="14" s="1"/>
  <c r="D311" i="14"/>
  <c r="I311" i="14" s="1"/>
  <c r="D312" i="14"/>
  <c r="I312" i="14" s="1"/>
  <c r="D313" i="14"/>
  <c r="I313" i="14" s="1"/>
  <c r="D314" i="14"/>
  <c r="I314" i="14" s="1"/>
  <c r="D315" i="14"/>
  <c r="I315" i="14" s="1"/>
  <c r="D316" i="14"/>
  <c r="I316" i="14" s="1"/>
  <c r="D317" i="14"/>
  <c r="I317" i="14" s="1"/>
  <c r="D318" i="14"/>
  <c r="I318" i="14" s="1"/>
  <c r="D319" i="14"/>
  <c r="I319" i="14" s="1"/>
  <c r="D320" i="14"/>
  <c r="I320" i="14" s="1"/>
  <c r="D321" i="14"/>
  <c r="I321" i="14" s="1"/>
  <c r="D322" i="14"/>
  <c r="I322" i="14" s="1"/>
  <c r="D323" i="14"/>
  <c r="I323" i="14" s="1"/>
  <c r="D324" i="14"/>
  <c r="I324" i="14" s="1"/>
  <c r="D325" i="14"/>
  <c r="I325" i="14" s="1"/>
  <c r="D326" i="14"/>
  <c r="I326" i="14" s="1"/>
  <c r="D327" i="14"/>
  <c r="I327" i="14" s="1"/>
  <c r="D328" i="14"/>
  <c r="I328" i="14" s="1"/>
  <c r="D329" i="14"/>
  <c r="I329" i="14" s="1"/>
  <c r="B330" i="14"/>
  <c r="D330" i="14" s="1"/>
  <c r="I330" i="14" s="1"/>
  <c r="D331" i="14"/>
  <c r="I331" i="14" s="1"/>
  <c r="D332" i="14"/>
  <c r="I332" i="14" s="1"/>
  <c r="D333" i="14"/>
  <c r="I333" i="14" s="1"/>
  <c r="D334" i="14"/>
  <c r="I334" i="14" s="1"/>
  <c r="D335" i="14"/>
  <c r="I335" i="14" s="1"/>
  <c r="B336" i="14"/>
  <c r="D336" i="14" s="1"/>
  <c r="I336" i="14" s="1"/>
  <c r="D337" i="14"/>
  <c r="I337" i="14" s="1"/>
  <c r="D338" i="14"/>
  <c r="I338" i="14" s="1"/>
  <c r="D339" i="14"/>
  <c r="I339" i="14" s="1"/>
  <c r="D340" i="14"/>
  <c r="I340" i="14" s="1"/>
  <c r="D341" i="14"/>
  <c r="I341" i="14" s="1"/>
  <c r="D342" i="14"/>
  <c r="I342" i="14" s="1"/>
  <c r="D343" i="14"/>
  <c r="I343" i="14" s="1"/>
  <c r="D344" i="14"/>
  <c r="I344" i="14" s="1"/>
  <c r="D345" i="14"/>
  <c r="D346" i="14"/>
  <c r="I346" i="14" s="1"/>
  <c r="D347" i="14"/>
  <c r="I347" i="14" s="1"/>
  <c r="D348" i="14"/>
  <c r="I348" i="14" s="1"/>
  <c r="D349" i="14"/>
  <c r="I349" i="14" s="1"/>
  <c r="D350" i="14"/>
  <c r="I350" i="14" s="1"/>
  <c r="B351" i="14"/>
  <c r="D353" i="14"/>
  <c r="I353" i="14" s="1"/>
  <c r="D354" i="14"/>
  <c r="I354" i="14" s="1"/>
  <c r="D355" i="14"/>
  <c r="I355" i="14" s="1"/>
  <c r="D356" i="14"/>
  <c r="I356" i="14" s="1"/>
  <c r="D357" i="14"/>
  <c r="I357" i="14" s="1"/>
  <c r="D358" i="14"/>
  <c r="I358" i="14" s="1"/>
  <c r="D360" i="14"/>
  <c r="D361" i="14"/>
  <c r="I361" i="14" s="1"/>
  <c r="D362" i="14"/>
  <c r="I362" i="14" s="1"/>
  <c r="D363" i="14"/>
  <c r="I363" i="14" s="1"/>
  <c r="D365" i="14"/>
  <c r="I365" i="14" s="1"/>
  <c r="D366" i="14"/>
  <c r="I366" i="14" s="1"/>
  <c r="D367" i="14"/>
  <c r="I367" i="14" s="1"/>
  <c r="D368" i="14"/>
  <c r="I368" i="14" s="1"/>
  <c r="D369" i="14"/>
  <c r="I369" i="14" s="1"/>
  <c r="D370" i="14"/>
  <c r="I370" i="14" s="1"/>
  <c r="D371" i="14"/>
  <c r="I371" i="14" s="1"/>
  <c r="D372" i="14"/>
  <c r="I372" i="14" s="1"/>
  <c r="D373" i="14"/>
  <c r="I373" i="14" s="1"/>
  <c r="D374" i="14"/>
  <c r="I374" i="14" s="1"/>
  <c r="D375" i="14"/>
  <c r="I375" i="14" s="1"/>
  <c r="D376" i="14"/>
  <c r="I376" i="14" s="1"/>
  <c r="D377" i="14"/>
  <c r="I377" i="14" s="1"/>
  <c r="D378" i="14"/>
  <c r="I378" i="14" s="1"/>
  <c r="D379" i="14"/>
  <c r="I379" i="14" s="1"/>
  <c r="D380" i="14"/>
  <c r="I380" i="14" s="1"/>
  <c r="D381" i="14"/>
  <c r="I381" i="14" s="1"/>
  <c r="D382" i="14"/>
  <c r="I382" i="14" s="1"/>
  <c r="D383" i="14"/>
  <c r="I383" i="14" s="1"/>
  <c r="D385" i="14"/>
  <c r="I385" i="14" s="1"/>
  <c r="D386" i="14"/>
  <c r="I386" i="14" s="1"/>
  <c r="D387" i="14"/>
  <c r="I387" i="14" s="1"/>
  <c r="D388" i="14"/>
  <c r="I388" i="14" s="1"/>
  <c r="D389" i="14"/>
  <c r="I389" i="14" s="1"/>
  <c r="D392" i="14"/>
  <c r="I392" i="14" s="1"/>
  <c r="D393" i="14"/>
  <c r="I393" i="14" s="1"/>
  <c r="D394" i="14"/>
  <c r="I394" i="14" s="1"/>
  <c r="D396" i="14"/>
  <c r="I396" i="14" s="1"/>
  <c r="D397" i="14"/>
  <c r="I397" i="14" s="1"/>
  <c r="D398" i="14"/>
  <c r="I398" i="14" s="1"/>
  <c r="D399" i="14"/>
  <c r="I399" i="14" s="1"/>
  <c r="B400" i="14"/>
  <c r="D400" i="14" s="1"/>
  <c r="I400" i="14" s="1"/>
  <c r="D401" i="14"/>
  <c r="I401" i="14" s="1"/>
  <c r="D403" i="14"/>
  <c r="I403" i="14" s="1"/>
  <c r="D404" i="14"/>
  <c r="I404" i="14" s="1"/>
  <c r="D405" i="14"/>
  <c r="I405" i="14" s="1"/>
  <c r="D406" i="14"/>
  <c r="I406" i="14" s="1"/>
  <c r="D407" i="14"/>
  <c r="I407" i="14" s="1"/>
  <c r="D408" i="14"/>
  <c r="I408" i="14" s="1"/>
  <c r="D409" i="14"/>
  <c r="I409" i="14" s="1"/>
  <c r="D410" i="14"/>
  <c r="D411" i="14"/>
  <c r="D412" i="14"/>
  <c r="I412" i="14" s="1"/>
  <c r="D413" i="14"/>
  <c r="I413" i="14" s="1"/>
  <c r="D414" i="14"/>
  <c r="D415" i="14"/>
  <c r="B416" i="14"/>
  <c r="J416" i="14"/>
  <c r="K416" i="14" s="1"/>
  <c r="B417" i="14"/>
  <c r="J417" i="14"/>
  <c r="K417" i="14" s="1"/>
  <c r="D418" i="14"/>
  <c r="I418" i="14" s="1"/>
  <c r="D420" i="14"/>
  <c r="I420" i="14" s="1"/>
  <c r="D421" i="14"/>
  <c r="I421" i="14" s="1"/>
  <c r="D422" i="14"/>
  <c r="I422" i="14" s="1"/>
  <c r="D423" i="14"/>
  <c r="I423" i="14" s="1"/>
  <c r="D424" i="14"/>
  <c r="D425" i="14"/>
  <c r="I425" i="14" s="1"/>
  <c r="D427" i="14"/>
  <c r="I427" i="14" s="1"/>
  <c r="D428" i="14"/>
  <c r="I428" i="14" s="1"/>
  <c r="D430" i="14"/>
  <c r="I430" i="14" s="1"/>
  <c r="D431" i="14"/>
  <c r="I431" i="14" s="1"/>
  <c r="D432" i="14"/>
  <c r="D433" i="14"/>
  <c r="I433" i="14" s="1"/>
  <c r="D434" i="14"/>
  <c r="D435" i="14"/>
  <c r="I435" i="14" s="1"/>
  <c r="D436" i="14"/>
  <c r="I436" i="14" s="1"/>
  <c r="D437" i="14"/>
  <c r="I437" i="14" s="1"/>
  <c r="D438" i="14"/>
  <c r="I438" i="14" s="1"/>
  <c r="D439" i="14"/>
  <c r="I439" i="14" s="1"/>
  <c r="D440" i="14"/>
  <c r="I440" i="14" s="1"/>
  <c r="D441" i="14"/>
  <c r="I441" i="14" s="1"/>
  <c r="D442" i="14"/>
  <c r="I442" i="14" s="1"/>
  <c r="D443" i="14"/>
  <c r="I443" i="14" s="1"/>
  <c r="D444" i="14"/>
  <c r="I444" i="14" s="1"/>
  <c r="D445" i="14"/>
  <c r="I445" i="14" s="1"/>
  <c r="D446" i="14"/>
  <c r="I446" i="14" s="1"/>
  <c r="B447" i="14"/>
  <c r="D447" i="14" s="1"/>
  <c r="I447" i="14" s="1"/>
  <c r="D448" i="14"/>
  <c r="I448" i="14" s="1"/>
  <c r="D449" i="14"/>
  <c r="I449" i="14" s="1"/>
  <c r="D450" i="14"/>
  <c r="I450" i="14" s="1"/>
  <c r="D451" i="14"/>
  <c r="I451" i="14" s="1"/>
  <c r="D452" i="14"/>
  <c r="I452" i="14" s="1"/>
  <c r="D453" i="14"/>
  <c r="I453" i="14" s="1"/>
  <c r="D454" i="14"/>
  <c r="I454" i="14" s="1"/>
  <c r="D455" i="14"/>
  <c r="I455" i="14" s="1"/>
  <c r="D456" i="14"/>
  <c r="I456" i="14" s="1"/>
  <c r="D457" i="14"/>
  <c r="I457" i="14" s="1"/>
  <c r="D458" i="14"/>
  <c r="I458" i="14" s="1"/>
  <c r="D459" i="14"/>
  <c r="I459" i="14" s="1"/>
  <c r="D460" i="14"/>
  <c r="I460" i="14" s="1"/>
  <c r="D461" i="14"/>
  <c r="I461" i="14" s="1"/>
  <c r="D462" i="14"/>
  <c r="I462" i="14" s="1"/>
  <c r="D463" i="14"/>
  <c r="I463" i="14" s="1"/>
  <c r="D464" i="14"/>
  <c r="I464" i="14" s="1"/>
  <c r="D465" i="14"/>
  <c r="I465" i="14" s="1"/>
  <c r="D467" i="14"/>
  <c r="I467" i="14" s="1"/>
  <c r="D468" i="14"/>
  <c r="I468" i="14" s="1"/>
  <c r="D469" i="14"/>
  <c r="I469" i="14" s="1"/>
  <c r="D470" i="14"/>
  <c r="I470" i="14" s="1"/>
  <c r="D471" i="14"/>
  <c r="I471" i="14" s="1"/>
  <c r="D472" i="14"/>
  <c r="I472" i="14" s="1"/>
  <c r="D473" i="14"/>
  <c r="I473" i="14" s="1"/>
  <c r="D474" i="14"/>
  <c r="I474" i="14" s="1"/>
  <c r="D475" i="14"/>
  <c r="I475" i="14" s="1"/>
  <c r="D476" i="14"/>
  <c r="I476" i="14" s="1"/>
  <c r="B477" i="14"/>
  <c r="D477" i="14" s="1"/>
  <c r="D478" i="14"/>
  <c r="I478" i="14" s="1"/>
  <c r="D479" i="14"/>
  <c r="I479" i="14" s="1"/>
  <c r="D480" i="14"/>
  <c r="I480" i="14" s="1"/>
  <c r="D481" i="14"/>
  <c r="D482" i="14"/>
  <c r="I482" i="14" s="1"/>
  <c r="D483" i="14"/>
  <c r="I483" i="14" s="1"/>
  <c r="D484" i="14"/>
  <c r="I484" i="14" s="1"/>
  <c r="D485" i="14"/>
  <c r="I485" i="14" s="1"/>
  <c r="D486" i="14"/>
  <c r="I486" i="14" s="1"/>
  <c r="D487" i="14"/>
  <c r="I487" i="14" s="1"/>
  <c r="D488" i="14"/>
  <c r="I488" i="14" s="1"/>
  <c r="B489" i="14"/>
  <c r="D490" i="14"/>
  <c r="I490" i="14" s="1"/>
  <c r="B491" i="14"/>
  <c r="D491" i="14" s="1"/>
  <c r="I491" i="14" s="1"/>
  <c r="D492" i="14"/>
  <c r="I492" i="14" s="1"/>
  <c r="D493" i="14"/>
  <c r="B496" i="14"/>
  <c r="D496" i="14" s="1"/>
  <c r="I496" i="14" s="1"/>
  <c r="D497" i="14"/>
  <c r="I497" i="14" s="1"/>
  <c r="D498" i="14"/>
  <c r="I498" i="14" s="1"/>
  <c r="D499" i="14"/>
  <c r="I499" i="14" s="1"/>
  <c r="D500" i="14"/>
  <c r="D501" i="14"/>
  <c r="I501" i="14" s="1"/>
  <c r="D502" i="14"/>
  <c r="I502" i="14" s="1"/>
  <c r="D504" i="14"/>
  <c r="I504" i="14" s="1"/>
  <c r="C506" i="14"/>
  <c r="D507" i="14"/>
  <c r="I507" i="14" s="1"/>
  <c r="D508" i="14"/>
  <c r="I508" i="14" s="1"/>
  <c r="D510" i="14"/>
  <c r="I510" i="14" s="1"/>
  <c r="D511" i="14"/>
  <c r="I511" i="14" s="1"/>
  <c r="D512" i="14"/>
  <c r="I512" i="14" s="1"/>
  <c r="D513" i="14"/>
  <c r="I513" i="14" s="1"/>
  <c r="D514" i="14"/>
  <c r="I514" i="14" s="1"/>
  <c r="D515" i="14"/>
  <c r="I515" i="14" s="1"/>
  <c r="D517" i="14"/>
  <c r="I517" i="14" s="1"/>
  <c r="D519" i="14"/>
  <c r="I519" i="14" s="1"/>
  <c r="D520" i="14"/>
  <c r="I520" i="14" s="1"/>
  <c r="D522" i="14"/>
  <c r="I522" i="14" s="1"/>
  <c r="D523" i="14"/>
  <c r="I523" i="14" s="1"/>
  <c r="D524" i="14"/>
  <c r="I524" i="14" s="1"/>
  <c r="D526" i="14"/>
  <c r="I526" i="14" s="1"/>
  <c r="D527" i="14"/>
  <c r="I527" i="14" s="1"/>
  <c r="D529" i="14"/>
  <c r="I529" i="14" s="1"/>
  <c r="D530" i="14"/>
  <c r="I530" i="14" s="1"/>
  <c r="D531" i="14"/>
  <c r="I531" i="14" s="1"/>
  <c r="D533" i="14"/>
  <c r="I533" i="14" s="1"/>
  <c r="D534" i="14"/>
  <c r="I534" i="14" s="1"/>
  <c r="D536" i="14"/>
  <c r="I536" i="14" s="1"/>
  <c r="D537" i="14"/>
  <c r="I537" i="14" s="1"/>
  <c r="B538" i="14"/>
  <c r="B539" i="14"/>
  <c r="D541" i="14"/>
  <c r="I541" i="14" s="1"/>
  <c r="D542" i="14"/>
  <c r="I542" i="14" s="1"/>
  <c r="D543" i="14"/>
  <c r="I543" i="14" s="1"/>
  <c r="D544" i="14"/>
  <c r="I544" i="14" s="1"/>
  <c r="D545" i="14"/>
  <c r="I545" i="14" s="1"/>
  <c r="D546" i="14"/>
  <c r="I546" i="14" s="1"/>
  <c r="D549" i="14"/>
  <c r="I549" i="14" s="1"/>
  <c r="D551" i="14"/>
  <c r="I551" i="14" s="1"/>
  <c r="D552" i="14"/>
  <c r="I552" i="14" s="1"/>
  <c r="D554" i="14"/>
  <c r="I554" i="14" s="1"/>
  <c r="D555" i="14"/>
  <c r="I555" i="14" s="1"/>
  <c r="D556" i="14"/>
  <c r="D561" i="14"/>
  <c r="I561" i="14" s="1"/>
  <c r="D564" i="14"/>
  <c r="I564" i="14" s="1"/>
  <c r="D565" i="14"/>
  <c r="I565" i="14" s="1"/>
  <c r="D566" i="14"/>
  <c r="I566" i="14" s="1"/>
  <c r="B567" i="14"/>
  <c r="D568" i="14"/>
  <c r="I568" i="14" s="1"/>
  <c r="D569" i="14"/>
  <c r="I569" i="14" s="1"/>
  <c r="D572" i="14"/>
  <c r="D573" i="14"/>
  <c r="I573" i="14" s="1"/>
  <c r="D578" i="14"/>
  <c r="I578" i="14" s="1"/>
  <c r="D579" i="14"/>
  <c r="I579" i="14" s="1"/>
  <c r="D580" i="14"/>
  <c r="I580" i="14" s="1"/>
  <c r="D581" i="14"/>
  <c r="D582" i="14"/>
  <c r="I582" i="14" s="1"/>
  <c r="D583" i="14"/>
  <c r="D586" i="14"/>
  <c r="I586" i="14" s="1"/>
  <c r="D587" i="14"/>
  <c r="I587" i="14" s="1"/>
  <c r="D590" i="14"/>
  <c r="D591" i="14"/>
  <c r="I591" i="14" s="1"/>
  <c r="D592" i="14"/>
  <c r="D593" i="14"/>
  <c r="I593" i="14" s="1"/>
  <c r="D594" i="14"/>
  <c r="I594" i="14" s="1"/>
  <c r="D597" i="14"/>
  <c r="I597" i="14" s="1"/>
  <c r="D598" i="14"/>
  <c r="I598" i="14" s="1"/>
  <c r="D599" i="14"/>
  <c r="I599" i="14" s="1"/>
  <c r="D600" i="14"/>
  <c r="I600" i="14" s="1"/>
  <c r="D602" i="14"/>
  <c r="D603" i="14"/>
  <c r="I603" i="14" s="1"/>
  <c r="D604" i="14"/>
  <c r="I604" i="14" s="1"/>
  <c r="D605" i="14"/>
  <c r="I605" i="14" s="1"/>
  <c r="D606" i="14"/>
  <c r="I606" i="14" s="1"/>
  <c r="D607" i="14"/>
  <c r="I607" i="14" s="1"/>
  <c r="D608" i="14"/>
  <c r="I608" i="14" s="1"/>
  <c r="D610" i="14"/>
  <c r="I610" i="14" s="1"/>
  <c r="D611" i="14"/>
  <c r="I611" i="14" s="1"/>
  <c r="D613" i="14"/>
  <c r="I613" i="14" s="1"/>
  <c r="D619" i="14"/>
  <c r="I619" i="14" s="1"/>
  <c r="D620" i="14"/>
  <c r="I620" i="14" s="1"/>
  <c r="D621" i="14"/>
  <c r="I621" i="14" s="1"/>
  <c r="D622" i="14"/>
  <c r="I622" i="14" s="1"/>
  <c r="D625" i="14"/>
  <c r="I625" i="14" s="1"/>
  <c r="D627" i="14"/>
  <c r="I627" i="14" s="1"/>
  <c r="D628" i="14"/>
  <c r="I628" i="14" s="1"/>
  <c r="D630" i="14"/>
  <c r="I630" i="14" s="1"/>
  <c r="D631" i="14"/>
  <c r="I631" i="14" s="1"/>
  <c r="D633" i="14"/>
  <c r="I633" i="14" s="1"/>
  <c r="B638" i="14"/>
  <c r="J638" i="14"/>
  <c r="L638" i="14" s="1"/>
  <c r="D639" i="14"/>
  <c r="I639" i="14" s="1"/>
  <c r="D643" i="14"/>
  <c r="I643" i="14" s="1"/>
  <c r="D644" i="14"/>
  <c r="I644" i="14" s="1"/>
  <c r="B648" i="14"/>
  <c r="J648" i="14"/>
  <c r="L648" i="14" s="1"/>
  <c r="D650" i="14"/>
  <c r="I650" i="14" s="1"/>
  <c r="D652" i="14"/>
  <c r="I652" i="14" s="1"/>
  <c r="D654" i="14"/>
  <c r="I654" i="14" s="1"/>
  <c r="D656" i="14"/>
  <c r="I656" i="14" s="1"/>
  <c r="D657" i="14"/>
  <c r="I657" i="14" s="1"/>
  <c r="D658" i="14"/>
  <c r="I658" i="14" s="1"/>
  <c r="D660" i="14"/>
  <c r="I660" i="14" s="1"/>
  <c r="D661" i="14"/>
  <c r="I661" i="14" s="1"/>
  <c r="D663" i="14"/>
  <c r="I663" i="14" s="1"/>
  <c r="D664" i="14"/>
  <c r="I664" i="14" s="1"/>
  <c r="D665" i="14"/>
  <c r="I665" i="14" s="1"/>
  <c r="D666" i="14"/>
  <c r="I666" i="14" s="1"/>
  <c r="D667" i="14"/>
  <c r="I667" i="14" s="1"/>
  <c r="D668" i="14"/>
  <c r="I668" i="14" s="1"/>
  <c r="D669" i="14"/>
  <c r="I669" i="14" s="1"/>
  <c r="D670" i="14"/>
  <c r="I670" i="14" s="1"/>
  <c r="D671" i="14"/>
  <c r="I671" i="14" s="1"/>
  <c r="D673" i="14"/>
  <c r="I673" i="14" s="1"/>
  <c r="D675" i="14"/>
  <c r="I675" i="14" s="1"/>
  <c r="D676" i="14"/>
  <c r="I676" i="14" s="1"/>
  <c r="D677" i="14"/>
  <c r="I677" i="14" s="1"/>
  <c r="D679" i="14"/>
  <c r="I679" i="14" s="1"/>
  <c r="D680" i="14"/>
  <c r="I680" i="14" s="1"/>
  <c r="D681" i="14"/>
  <c r="I681" i="14" s="1"/>
  <c r="D683" i="14"/>
  <c r="I683" i="14" s="1"/>
  <c r="D684" i="14"/>
  <c r="I684" i="14" s="1"/>
  <c r="D685" i="14"/>
  <c r="I685" i="14" s="1"/>
  <c r="D686" i="14"/>
  <c r="I686" i="14" s="1"/>
  <c r="D687" i="14"/>
  <c r="I687" i="14" s="1"/>
  <c r="D688" i="14"/>
  <c r="I688" i="14" s="1"/>
  <c r="D689" i="14"/>
  <c r="I689" i="14" s="1"/>
  <c r="D690" i="14"/>
  <c r="I690" i="14" s="1"/>
  <c r="D691" i="14"/>
  <c r="I691" i="14" s="1"/>
  <c r="D692" i="14"/>
  <c r="I692" i="14" s="1"/>
  <c r="D693" i="14"/>
  <c r="I693" i="14" s="1"/>
  <c r="D694" i="14"/>
  <c r="I694" i="14" s="1"/>
  <c r="D696" i="14"/>
  <c r="I696" i="14" s="1"/>
  <c r="D697" i="14"/>
  <c r="I697" i="14" s="1"/>
  <c r="D698" i="14"/>
  <c r="I698" i="14" s="1"/>
  <c r="D699" i="14"/>
  <c r="I699" i="14" s="1"/>
  <c r="D700" i="14"/>
  <c r="I700" i="14" s="1"/>
  <c r="D703" i="14"/>
  <c r="I703" i="14" s="1"/>
  <c r="D704" i="14"/>
  <c r="I704" i="14" s="1"/>
  <c r="B705" i="14"/>
  <c r="D706" i="14"/>
  <c r="I706" i="14" s="1"/>
  <c r="D707" i="14"/>
  <c r="I707" i="14" s="1"/>
  <c r="D708" i="14"/>
  <c r="I708" i="14" s="1"/>
  <c r="J708" i="14" s="1"/>
  <c r="L708" i="14" s="1"/>
  <c r="D709" i="14"/>
  <c r="I709" i="14" s="1"/>
  <c r="D710" i="14"/>
  <c r="I710" i="14" s="1"/>
  <c r="D711" i="14"/>
  <c r="I711" i="14" s="1"/>
  <c r="D712" i="14"/>
  <c r="I712" i="14" s="1"/>
  <c r="D715" i="14"/>
  <c r="I715" i="14" s="1"/>
  <c r="B716" i="14"/>
  <c r="D717" i="14"/>
  <c r="I717" i="14" s="1"/>
  <c r="D719" i="14"/>
  <c r="I719" i="14" s="1"/>
  <c r="D721" i="14"/>
  <c r="I721" i="14" s="1"/>
  <c r="B722" i="14"/>
  <c r="D722" i="14" s="1"/>
  <c r="I722" i="14" s="1"/>
  <c r="D723" i="14"/>
  <c r="I723" i="14" s="1"/>
  <c r="D725" i="14"/>
  <c r="I725" i="14" s="1"/>
  <c r="D726" i="14"/>
  <c r="D727" i="14"/>
  <c r="I727" i="14" s="1"/>
  <c r="D728" i="14"/>
  <c r="D729" i="14"/>
  <c r="I729" i="14" s="1"/>
  <c r="D730" i="14"/>
  <c r="I730" i="14" s="1"/>
  <c r="D732" i="14"/>
  <c r="I732" i="14" s="1"/>
  <c r="D733" i="14"/>
  <c r="I733" i="14" s="1"/>
  <c r="D735" i="14"/>
  <c r="I735" i="14" s="1"/>
  <c r="B737" i="14"/>
  <c r="D737" i="14" s="1"/>
  <c r="I737" i="14" s="1"/>
  <c r="D738" i="14"/>
  <c r="I738" i="14" s="1"/>
  <c r="D740" i="14"/>
  <c r="I740" i="14" s="1"/>
  <c r="D742" i="14"/>
  <c r="I742" i="14" s="1"/>
  <c r="D743" i="14"/>
  <c r="I743" i="14" s="1"/>
  <c r="B744" i="14"/>
  <c r="D745" i="14"/>
  <c r="I745" i="14" s="1"/>
  <c r="D746" i="14"/>
  <c r="I746" i="14" s="1"/>
  <c r="B747" i="14"/>
  <c r="B748" i="14"/>
  <c r="D748" i="14" s="1"/>
  <c r="I748" i="14" s="1"/>
  <c r="D749" i="14"/>
  <c r="I749" i="14" s="1"/>
  <c r="D750" i="14"/>
  <c r="I750" i="14" s="1"/>
  <c r="D754" i="14"/>
  <c r="I754" i="14" s="1"/>
  <c r="D756" i="14"/>
  <c r="I756" i="14" s="1"/>
  <c r="D757" i="14"/>
  <c r="I757" i="14" s="1"/>
  <c r="D759" i="14"/>
  <c r="I759" i="14" s="1"/>
  <c r="D760" i="14"/>
  <c r="I760" i="14" s="1"/>
  <c r="D761" i="14"/>
  <c r="I761" i="14" s="1"/>
  <c r="D762" i="14"/>
  <c r="I762" i="14" s="1"/>
  <c r="D763" i="14"/>
  <c r="I763" i="14" s="1"/>
  <c r="D764" i="14"/>
  <c r="I764" i="14" s="1"/>
  <c r="D765" i="14"/>
  <c r="I765" i="14" s="1"/>
  <c r="D766" i="14"/>
  <c r="I766" i="14" s="1"/>
  <c r="D767" i="14"/>
  <c r="I767" i="14" s="1"/>
  <c r="D769" i="14"/>
  <c r="I769" i="14" s="1"/>
  <c r="D770" i="14"/>
  <c r="I770" i="14" s="1"/>
  <c r="D771" i="14"/>
  <c r="I771" i="14" s="1"/>
  <c r="D772" i="14"/>
  <c r="I772" i="14" s="1"/>
  <c r="D773" i="14"/>
  <c r="I773" i="14" s="1"/>
  <c r="D774" i="14"/>
  <c r="D775" i="14"/>
  <c r="I775" i="14" s="1"/>
  <c r="B776" i="14"/>
  <c r="D777" i="14"/>
  <c r="I777" i="14" s="1"/>
  <c r="D778" i="14"/>
  <c r="I778" i="14" s="1"/>
  <c r="B779" i="14"/>
  <c r="D781" i="14"/>
  <c r="I781" i="14" s="1"/>
  <c r="D782" i="14"/>
  <c r="I782" i="14" s="1"/>
  <c r="D783" i="14"/>
  <c r="I783" i="14" s="1"/>
  <c r="D784" i="14"/>
  <c r="I784" i="14" s="1"/>
  <c r="D785" i="14"/>
  <c r="I785" i="14" s="1"/>
  <c r="B786" i="14"/>
  <c r="D786" i="14" s="1"/>
  <c r="I786" i="14" s="1"/>
  <c r="D787" i="14"/>
  <c r="I787" i="14" s="1"/>
  <c r="D788" i="14"/>
  <c r="I788" i="14" s="1"/>
  <c r="D789" i="14"/>
  <c r="I789" i="14" s="1"/>
  <c r="D790" i="14"/>
  <c r="I790" i="14" s="1"/>
  <c r="D791" i="14"/>
  <c r="I791" i="14" s="1"/>
  <c r="D792" i="14"/>
  <c r="I792" i="14" s="1"/>
  <c r="D793" i="14"/>
  <c r="D794" i="14"/>
  <c r="I794" i="14" s="1"/>
  <c r="D795" i="14"/>
  <c r="I795" i="14" s="1"/>
  <c r="D796" i="14"/>
  <c r="I796" i="14" s="1"/>
  <c r="D798" i="14"/>
  <c r="I798" i="14" s="1"/>
  <c r="D799" i="14"/>
  <c r="I799" i="14" s="1"/>
  <c r="D800" i="14"/>
  <c r="I800" i="14" s="1"/>
  <c r="D801" i="14"/>
  <c r="I801" i="14" s="1"/>
  <c r="D803" i="14"/>
  <c r="I803" i="14" s="1"/>
  <c r="D804" i="14"/>
  <c r="I804" i="14" s="1"/>
  <c r="D805" i="14"/>
  <c r="I805" i="14" s="1"/>
  <c r="D806" i="14"/>
  <c r="I806" i="14" s="1"/>
  <c r="D807" i="14"/>
  <c r="I807" i="14" s="1"/>
  <c r="D808" i="14"/>
  <c r="I808" i="14" s="1"/>
  <c r="D809" i="14"/>
  <c r="I809" i="14" s="1"/>
  <c r="D830" i="14"/>
  <c r="D987" i="14"/>
  <c r="D988" i="14"/>
  <c r="D990" i="14"/>
  <c r="D992" i="14"/>
  <c r="D996" i="14"/>
  <c r="D998" i="14"/>
  <c r="D999" i="14"/>
  <c r="D1000" i="14"/>
  <c r="D1001" i="14"/>
  <c r="J876" i="14"/>
  <c r="L876" i="14" s="1"/>
  <c r="J883" i="14"/>
  <c r="L883" i="14" s="1"/>
  <c r="J888" i="14"/>
  <c r="K888" i="14" s="1"/>
  <c r="J892" i="14"/>
  <c r="L892" i="14" s="1"/>
  <c r="B21" i="34"/>
  <c r="J908" i="14"/>
  <c r="L908" i="14" s="1"/>
  <c r="J913" i="14"/>
  <c r="L913" i="14" s="1"/>
  <c r="J920" i="14"/>
  <c r="K920" i="14" s="1"/>
  <c r="J924" i="14"/>
  <c r="L924" i="14" s="1"/>
  <c r="J925" i="14"/>
  <c r="L925" i="14" s="1"/>
  <c r="J929" i="14"/>
  <c r="L929" i="14" s="1"/>
  <c r="J932" i="14"/>
  <c r="L932" i="14" s="1"/>
  <c r="J936" i="14"/>
  <c r="L936" i="14" s="1"/>
  <c r="J947" i="14"/>
  <c r="L947" i="14" s="1"/>
  <c r="J949" i="14"/>
  <c r="L949" i="14" s="1"/>
  <c r="J975" i="14"/>
  <c r="K975" i="14" s="1"/>
  <c r="J971" i="14"/>
  <c r="L971" i="14" s="1"/>
  <c r="J961" i="14"/>
  <c r="L961" i="14" s="1"/>
  <c r="J976" i="14"/>
  <c r="L976" i="14" s="1"/>
  <c r="J982" i="14"/>
  <c r="K982" i="14" s="1"/>
  <c r="J986" i="14"/>
  <c r="L986" i="14" s="1"/>
  <c r="J995" i="14"/>
  <c r="L995" i="14" s="1"/>
  <c r="R55" i="1"/>
  <c r="D23" i="34"/>
  <c r="C24" i="34"/>
  <c r="B21" i="29"/>
  <c r="J813" i="14"/>
  <c r="L813" i="14" s="1"/>
  <c r="J868" i="14"/>
  <c r="L868" i="14" s="1"/>
  <c r="J852" i="14"/>
  <c r="K852" i="14" s="1"/>
  <c r="D24" i="34"/>
  <c r="C25" i="34"/>
  <c r="D25" i="34" s="1"/>
  <c r="F23" i="34"/>
  <c r="H23" i="34"/>
  <c r="J23" i="34"/>
  <c r="L23" i="34"/>
  <c r="N23" i="34"/>
  <c r="E23" i="34"/>
  <c r="C43" i="34"/>
  <c r="D43" i="34" s="1"/>
  <c r="I23" i="34"/>
  <c r="M23" i="34"/>
  <c r="G23" i="34"/>
  <c r="K23" i="34"/>
  <c r="O23" i="34"/>
  <c r="C26" i="34"/>
  <c r="D26" i="34" s="1"/>
  <c r="E24" i="34"/>
  <c r="C44" i="34"/>
  <c r="D44" i="34" s="1"/>
  <c r="G24" i="34"/>
  <c r="I24" i="34"/>
  <c r="K24" i="34"/>
  <c r="M24" i="34"/>
  <c r="O24" i="34"/>
  <c r="H24" i="34"/>
  <c r="L24" i="34"/>
  <c r="F24" i="34"/>
  <c r="J24" i="34"/>
  <c r="N24" i="34"/>
  <c r="C27" i="34"/>
  <c r="D27" i="34" s="1"/>
  <c r="C28" i="34"/>
  <c r="D28" i="34" s="1"/>
  <c r="C29" i="34"/>
  <c r="D29" i="34" s="1"/>
  <c r="C30" i="34"/>
  <c r="D30" i="34" s="1"/>
  <c r="C31" i="34"/>
  <c r="D31" i="34" s="1"/>
  <c r="C32" i="34"/>
  <c r="D32" i="34" s="1"/>
  <c r="C33" i="34"/>
  <c r="D33" i="34" s="1"/>
  <c r="C34" i="34"/>
  <c r="D34" i="34" s="1"/>
  <c r="C35" i="34"/>
  <c r="D35" i="34" s="1"/>
  <c r="C36" i="34"/>
  <c r="D36" i="34" s="1"/>
  <c r="C37" i="34"/>
  <c r="D37" i="34" s="1"/>
  <c r="C38" i="34"/>
  <c r="D38" i="34" s="1"/>
  <c r="C39" i="34"/>
  <c r="D39" i="34" s="1"/>
  <c r="C40" i="34"/>
  <c r="D40" i="34" s="1"/>
  <c r="J875" i="14" l="1"/>
  <c r="K875" i="14" s="1"/>
  <c r="I875" i="14"/>
  <c r="I887" i="14"/>
  <c r="J887" i="14" s="1"/>
  <c r="J902" i="14"/>
  <c r="L902" i="14" s="1"/>
  <c r="I902" i="14"/>
  <c r="I952" i="14"/>
  <c r="J952" i="14" s="1"/>
  <c r="J942" i="14"/>
  <c r="K942" i="14" s="1"/>
  <c r="I942" i="14"/>
  <c r="I846" i="14"/>
  <c r="J846" i="14" s="1"/>
  <c r="J815" i="14"/>
  <c r="J841" i="14"/>
  <c r="L841" i="14" s="1"/>
  <c r="J853" i="14"/>
  <c r="K853" i="14" s="1"/>
  <c r="J866" i="14"/>
  <c r="J886" i="14"/>
  <c r="L886" i="14" s="1"/>
  <c r="J895" i="14"/>
  <c r="K895" i="14" s="1"/>
  <c r="J911" i="14"/>
  <c r="J922" i="14"/>
  <c r="J969" i="14"/>
  <c r="K969" i="14" s="1"/>
  <c r="J978" i="14"/>
  <c r="K978" i="14" s="1"/>
  <c r="J993" i="14"/>
  <c r="L993" i="14" s="1"/>
  <c r="K1133" i="14"/>
  <c r="K1125" i="14"/>
  <c r="J808" i="14"/>
  <c r="L808" i="14" s="1"/>
  <c r="J799" i="14"/>
  <c r="L799" i="14" s="1"/>
  <c r="J790" i="14"/>
  <c r="L790" i="14" s="1"/>
  <c r="J782" i="14"/>
  <c r="K782" i="14" s="1"/>
  <c r="J773" i="14"/>
  <c r="J764" i="14"/>
  <c r="J754" i="14"/>
  <c r="J743" i="14"/>
  <c r="K743" i="14" s="1"/>
  <c r="J730" i="14"/>
  <c r="L730" i="14" s="1"/>
  <c r="J721" i="14"/>
  <c r="K721" i="14" s="1"/>
  <c r="J709" i="14"/>
  <c r="L709" i="14" s="1"/>
  <c r="J699" i="14"/>
  <c r="L699" i="14" s="1"/>
  <c r="J690" i="14"/>
  <c r="L690" i="14" s="1"/>
  <c r="J681" i="14"/>
  <c r="J670" i="14"/>
  <c r="J661" i="14"/>
  <c r="L661" i="14" s="1"/>
  <c r="J631" i="14"/>
  <c r="L631" i="14" s="1"/>
  <c r="J619" i="14"/>
  <c r="K619" i="14" s="1"/>
  <c r="J604" i="14"/>
  <c r="K604" i="14" s="1"/>
  <c r="J593" i="14"/>
  <c r="K593" i="14" s="1"/>
  <c r="J552" i="14"/>
  <c r="K552" i="14" s="1"/>
  <c r="J541" i="14"/>
  <c r="K541" i="14" s="1"/>
  <c r="J530" i="14"/>
  <c r="K530" i="14" s="1"/>
  <c r="J519" i="14"/>
  <c r="K519" i="14" s="1"/>
  <c r="J508" i="14"/>
  <c r="K508" i="14" s="1"/>
  <c r="J498" i="14"/>
  <c r="K498" i="14" s="1"/>
  <c r="J488" i="14"/>
  <c r="K488" i="14" s="1"/>
  <c r="J480" i="14"/>
  <c r="K480" i="14" s="1"/>
  <c r="J472" i="14"/>
  <c r="K472" i="14" s="1"/>
  <c r="J463" i="14"/>
  <c r="K463" i="14" s="1"/>
  <c r="J455" i="14"/>
  <c r="K455" i="14" s="1"/>
  <c r="J447" i="14"/>
  <c r="K447" i="14" s="1"/>
  <c r="J439" i="14"/>
  <c r="K439" i="14" s="1"/>
  <c r="J431" i="14"/>
  <c r="K431" i="14" s="1"/>
  <c r="J421" i="14"/>
  <c r="K421" i="14" s="1"/>
  <c r="J406" i="14"/>
  <c r="K406" i="14" s="1"/>
  <c r="J397" i="14"/>
  <c r="K397" i="14" s="1"/>
  <c r="J377" i="14"/>
  <c r="K377" i="14" s="1"/>
  <c r="J369" i="14"/>
  <c r="J817" i="14"/>
  <c r="J856" i="14"/>
  <c r="K856" i="14" s="1"/>
  <c r="J940" i="14"/>
  <c r="L940" i="14" s="1"/>
  <c r="J954" i="14"/>
  <c r="L954" i="14" s="1"/>
  <c r="J967" i="14"/>
  <c r="L967" i="14" s="1"/>
  <c r="J981" i="14"/>
  <c r="L981" i="14" s="1"/>
  <c r="J994" i="14"/>
  <c r="K1164" i="14"/>
  <c r="K1156" i="14"/>
  <c r="K1148" i="14"/>
  <c r="K1140" i="14"/>
  <c r="K1132" i="14"/>
  <c r="K1124" i="14"/>
  <c r="L888" i="14"/>
  <c r="J807" i="14"/>
  <c r="J798" i="14"/>
  <c r="K798" i="14" s="1"/>
  <c r="J789" i="14"/>
  <c r="L789" i="14" s="1"/>
  <c r="J781" i="14"/>
  <c r="J772" i="14"/>
  <c r="J763" i="14"/>
  <c r="J750" i="14"/>
  <c r="J742" i="14"/>
  <c r="K742" i="14" s="1"/>
  <c r="J729" i="14"/>
  <c r="J719" i="14"/>
  <c r="L719" i="14" s="1"/>
  <c r="J698" i="14"/>
  <c r="L698" i="14" s="1"/>
  <c r="J689" i="14"/>
  <c r="J680" i="14"/>
  <c r="K680" i="14" s="1"/>
  <c r="J669" i="14"/>
  <c r="K669" i="14" s="1"/>
  <c r="J660" i="14"/>
  <c r="K660" i="14" s="1"/>
  <c r="J630" i="14"/>
  <c r="J613" i="14"/>
  <c r="K613" i="14" s="1"/>
  <c r="J603" i="14"/>
  <c r="K603" i="14" s="1"/>
  <c r="J580" i="14"/>
  <c r="K580" i="14" s="1"/>
  <c r="J566" i="14"/>
  <c r="K566" i="14" s="1"/>
  <c r="J551" i="14"/>
  <c r="K551" i="14" s="1"/>
  <c r="J529" i="14"/>
  <c r="K529" i="14" s="1"/>
  <c r="J517" i="14"/>
  <c r="K517" i="14" s="1"/>
  <c r="J507" i="14"/>
  <c r="K507" i="14" s="1"/>
  <c r="J497" i="14"/>
  <c r="K497" i="14" s="1"/>
  <c r="J487" i="14"/>
  <c r="K487" i="14" s="1"/>
  <c r="J479" i="14"/>
  <c r="K479" i="14" s="1"/>
  <c r="J471" i="14"/>
  <c r="K471" i="14" s="1"/>
  <c r="J462" i="14"/>
  <c r="K462" i="14" s="1"/>
  <c r="J454" i="14"/>
  <c r="K454" i="14" s="1"/>
  <c r="J446" i="14"/>
  <c r="K446" i="14" s="1"/>
  <c r="J438" i="14"/>
  <c r="K438" i="14" s="1"/>
  <c r="J430" i="14"/>
  <c r="K430" i="14" s="1"/>
  <c r="J420" i="14"/>
  <c r="K420" i="14" s="1"/>
  <c r="J413" i="14"/>
  <c r="K413" i="14" s="1"/>
  <c r="J405" i="14"/>
  <c r="K405" i="14" s="1"/>
  <c r="J396" i="14"/>
  <c r="K396" i="14" s="1"/>
  <c r="J376" i="14"/>
  <c r="L376" i="14" s="1"/>
  <c r="J368" i="14"/>
  <c r="L368" i="14" s="1"/>
  <c r="J823" i="14"/>
  <c r="J570" i="14"/>
  <c r="K570" i="14" s="1"/>
  <c r="J857" i="14"/>
  <c r="J869" i="14"/>
  <c r="J926" i="14"/>
  <c r="L926" i="14" s="1"/>
  <c r="J941" i="14"/>
  <c r="L941" i="14" s="1"/>
  <c r="J973" i="14"/>
  <c r="L973" i="14" s="1"/>
  <c r="K1139" i="14"/>
  <c r="K1131" i="14"/>
  <c r="K1123" i="14"/>
  <c r="J806" i="14"/>
  <c r="L806" i="14" s="1"/>
  <c r="J749" i="14"/>
  <c r="J697" i="14"/>
  <c r="L697" i="14" s="1"/>
  <c r="J668" i="14"/>
  <c r="J628" i="14"/>
  <c r="J591" i="14"/>
  <c r="K591" i="14" s="1"/>
  <c r="J549" i="14"/>
  <c r="K549" i="14" s="1"/>
  <c r="J496" i="14"/>
  <c r="K496" i="14" s="1"/>
  <c r="J470" i="14"/>
  <c r="K470" i="14" s="1"/>
  <c r="J445" i="14"/>
  <c r="K445" i="14" s="1"/>
  <c r="J428" i="14"/>
  <c r="K428" i="14" s="1"/>
  <c r="J404" i="14"/>
  <c r="K404" i="14" s="1"/>
  <c r="J375" i="14"/>
  <c r="J845" i="14"/>
  <c r="L845" i="14" s="1"/>
  <c r="J878" i="14"/>
  <c r="K878" i="14" s="1"/>
  <c r="J983" i="14"/>
  <c r="K1154" i="14"/>
  <c r="K1138" i="14"/>
  <c r="J795" i="14"/>
  <c r="J748" i="14"/>
  <c r="J727" i="14"/>
  <c r="L727" i="14" s="1"/>
  <c r="J696" i="14"/>
  <c r="J667" i="14"/>
  <c r="J627" i="14"/>
  <c r="J564" i="14"/>
  <c r="K564" i="14" s="1"/>
  <c r="J526" i="14"/>
  <c r="K526" i="14" s="1"/>
  <c r="J504" i="14"/>
  <c r="K504" i="14" s="1"/>
  <c r="J485" i="14"/>
  <c r="K485" i="14" s="1"/>
  <c r="J460" i="14"/>
  <c r="K460" i="14" s="1"/>
  <c r="J444" i="14"/>
  <c r="K444" i="14" s="1"/>
  <c r="J427" i="14"/>
  <c r="K427" i="14" s="1"/>
  <c r="J810" i="14"/>
  <c r="J834" i="14"/>
  <c r="L834" i="14" s="1"/>
  <c r="J879" i="14"/>
  <c r="K879" i="14" s="1"/>
  <c r="J958" i="14"/>
  <c r="L958" i="14" s="1"/>
  <c r="K1129" i="14"/>
  <c r="J715" i="14"/>
  <c r="K425" i="14"/>
  <c r="J373" i="14"/>
  <c r="K373" i="14" s="1"/>
  <c r="J365" i="14"/>
  <c r="J812" i="14"/>
  <c r="K812" i="14" s="1"/>
  <c r="J820" i="14"/>
  <c r="J833" i="14"/>
  <c r="L833" i="14" s="1"/>
  <c r="J847" i="14"/>
  <c r="J872" i="14"/>
  <c r="K872" i="14" s="1"/>
  <c r="J885" i="14"/>
  <c r="J893" i="14"/>
  <c r="J916" i="14"/>
  <c r="J946" i="14"/>
  <c r="J974" i="14"/>
  <c r="L974" i="14" s="1"/>
  <c r="K1168" i="14"/>
  <c r="K1152" i="14"/>
  <c r="K1136" i="14"/>
  <c r="K1128" i="14"/>
  <c r="K1120" i="14"/>
  <c r="K1104" i="14"/>
  <c r="J796" i="14"/>
  <c r="L796" i="14" s="1"/>
  <c r="J771" i="14"/>
  <c r="J740" i="14"/>
  <c r="J717" i="14"/>
  <c r="J688" i="14"/>
  <c r="J658" i="14"/>
  <c r="J611" i="14"/>
  <c r="K611" i="14" s="1"/>
  <c r="J565" i="14"/>
  <c r="K565" i="14" s="1"/>
  <c r="J527" i="14"/>
  <c r="K527" i="14" s="1"/>
  <c r="J478" i="14"/>
  <c r="K478" i="14" s="1"/>
  <c r="J461" i="14"/>
  <c r="K461" i="14" s="1"/>
  <c r="J437" i="14"/>
  <c r="K437" i="14" s="1"/>
  <c r="J412" i="14"/>
  <c r="K412" i="14" s="1"/>
  <c r="J367" i="14"/>
  <c r="J818" i="14"/>
  <c r="L818" i="14" s="1"/>
  <c r="J871" i="14"/>
  <c r="J904" i="14"/>
  <c r="J914" i="14"/>
  <c r="K914" i="14" s="1"/>
  <c r="J963" i="14"/>
  <c r="L963" i="14" s="1"/>
  <c r="K1162" i="14"/>
  <c r="K1130" i="14"/>
  <c r="J805" i="14"/>
  <c r="J778" i="14"/>
  <c r="J761" i="14"/>
  <c r="J677" i="14"/>
  <c r="J643" i="14"/>
  <c r="J600" i="14"/>
  <c r="K600" i="14" s="1"/>
  <c r="J537" i="14"/>
  <c r="K537" i="14" s="1"/>
  <c r="J928" i="14"/>
  <c r="K928" i="14" s="1"/>
  <c r="J985" i="14"/>
  <c r="K1121" i="14"/>
  <c r="K648" i="14"/>
  <c r="J786" i="14"/>
  <c r="K786" i="14" s="1"/>
  <c r="J769" i="14"/>
  <c r="J694" i="14"/>
  <c r="L694" i="14" s="1"/>
  <c r="J676" i="14"/>
  <c r="L676" i="14" s="1"/>
  <c r="J656" i="14"/>
  <c r="L656" i="14" s="1"/>
  <c r="J625" i="14"/>
  <c r="J599" i="14"/>
  <c r="K599" i="14" s="1"/>
  <c r="J573" i="14"/>
  <c r="K573" i="14" s="1"/>
  <c r="J545" i="14"/>
  <c r="K545" i="14" s="1"/>
  <c r="J524" i="14"/>
  <c r="K524" i="14" s="1"/>
  <c r="J492" i="14"/>
  <c r="K492" i="14" s="1"/>
  <c r="J476" i="14"/>
  <c r="K476" i="14" s="1"/>
  <c r="J459" i="14"/>
  <c r="K459" i="14" s="1"/>
  <c r="J443" i="14"/>
  <c r="K443" i="14" s="1"/>
  <c r="J401" i="14"/>
  <c r="K401" i="14" s="1"/>
  <c r="J767" i="14"/>
  <c r="J735" i="14"/>
  <c r="L735" i="14" s="1"/>
  <c r="J693" i="14"/>
  <c r="J598" i="14"/>
  <c r="K598" i="14" s="1"/>
  <c r="J523" i="14"/>
  <c r="K523" i="14" s="1"/>
  <c r="J491" i="14"/>
  <c r="K491" i="14" s="1"/>
  <c r="J475" i="14"/>
  <c r="K475" i="14" s="1"/>
  <c r="J458" i="14"/>
  <c r="K458" i="14" s="1"/>
  <c r="J442" i="14"/>
  <c r="K442" i="14" s="1"/>
  <c r="J837" i="14"/>
  <c r="J848" i="14"/>
  <c r="J864" i="14"/>
  <c r="K1135" i="14"/>
  <c r="K1127" i="14"/>
  <c r="J809" i="14"/>
  <c r="J800" i="14"/>
  <c r="K800" i="14" s="1"/>
  <c r="J791" i="14"/>
  <c r="L791" i="14" s="1"/>
  <c r="J783" i="14"/>
  <c r="K783" i="14" s="1"/>
  <c r="J765" i="14"/>
  <c r="L765" i="14" s="1"/>
  <c r="J756" i="14"/>
  <c r="J732" i="14"/>
  <c r="J722" i="14"/>
  <c r="L722" i="14" s="1"/>
  <c r="J710" i="14"/>
  <c r="J700" i="14"/>
  <c r="J691" i="14"/>
  <c r="K691" i="14" s="1"/>
  <c r="J683" i="14"/>
  <c r="L683" i="14" s="1"/>
  <c r="J671" i="14"/>
  <c r="J663" i="14"/>
  <c r="K663" i="14" s="1"/>
  <c r="J650" i="14"/>
  <c r="K650" i="14" s="1"/>
  <c r="J633" i="14"/>
  <c r="J620" i="14"/>
  <c r="K620" i="14" s="1"/>
  <c r="J605" i="14"/>
  <c r="K605" i="14" s="1"/>
  <c r="J594" i="14"/>
  <c r="K594" i="14" s="1"/>
  <c r="J582" i="14"/>
  <c r="J568" i="14"/>
  <c r="K568" i="14" s="1"/>
  <c r="J554" i="14"/>
  <c r="K554" i="14" s="1"/>
  <c r="J542" i="14"/>
  <c r="K542" i="14" s="1"/>
  <c r="J531" i="14"/>
  <c r="K531" i="14" s="1"/>
  <c r="J520" i="14"/>
  <c r="K520" i="14" s="1"/>
  <c r="J510" i="14"/>
  <c r="K510" i="14" s="1"/>
  <c r="J499" i="14"/>
  <c r="K499" i="14" s="1"/>
  <c r="J473" i="14"/>
  <c r="K473" i="14" s="1"/>
  <c r="J464" i="14"/>
  <c r="K464" i="14" s="1"/>
  <c r="J456" i="14"/>
  <c r="K456" i="14" s="1"/>
  <c r="J448" i="14"/>
  <c r="K448" i="14" s="1"/>
  <c r="J440" i="14"/>
  <c r="K440" i="14" s="1"/>
  <c r="J422" i="14"/>
  <c r="K422" i="14" s="1"/>
  <c r="J407" i="14"/>
  <c r="K407" i="14" s="1"/>
  <c r="J398" i="14"/>
  <c r="K398" i="14" s="1"/>
  <c r="J378" i="14"/>
  <c r="K378" i="14" s="1"/>
  <c r="J370" i="14"/>
  <c r="J788" i="14"/>
  <c r="K788" i="14" s="1"/>
  <c r="J762" i="14"/>
  <c r="L762" i="14" s="1"/>
  <c r="J679" i="14"/>
  <c r="J644" i="14"/>
  <c r="J579" i="14"/>
  <c r="K579" i="14" s="1"/>
  <c r="J515" i="14"/>
  <c r="K515" i="14" s="1"/>
  <c r="J486" i="14"/>
  <c r="K486" i="14" s="1"/>
  <c r="J453" i="14"/>
  <c r="K453" i="14" s="1"/>
  <c r="J418" i="14"/>
  <c r="K418" i="14" s="1"/>
  <c r="J858" i="14"/>
  <c r="K858" i="14" s="1"/>
  <c r="J890" i="14"/>
  <c r="J927" i="14"/>
  <c r="K1146" i="14"/>
  <c r="J787" i="14"/>
  <c r="J770" i="14"/>
  <c r="L770" i="14" s="1"/>
  <c r="J738" i="14"/>
  <c r="J706" i="14"/>
  <c r="K706" i="14" s="1"/>
  <c r="J687" i="14"/>
  <c r="L687" i="14" s="1"/>
  <c r="J657" i="14"/>
  <c r="J610" i="14"/>
  <c r="K610" i="14" s="1"/>
  <c r="J578" i="14"/>
  <c r="K578" i="14" s="1"/>
  <c r="J546" i="14"/>
  <c r="K546" i="14" s="1"/>
  <c r="J514" i="14"/>
  <c r="K514" i="14" s="1"/>
  <c r="J469" i="14"/>
  <c r="K469" i="14" s="1"/>
  <c r="J452" i="14"/>
  <c r="K452" i="14" s="1"/>
  <c r="J403" i="14"/>
  <c r="K403" i="14" s="1"/>
  <c r="J374" i="14"/>
  <c r="K374" i="14" s="1"/>
  <c r="J366" i="14"/>
  <c r="J819" i="14"/>
  <c r="K819" i="14" s="1"/>
  <c r="J860" i="14"/>
  <c r="K860" i="14" s="1"/>
  <c r="J891" i="14"/>
  <c r="K891" i="14" s="1"/>
  <c r="J915" i="14"/>
  <c r="J944" i="14"/>
  <c r="K944" i="14" s="1"/>
  <c r="K1137" i="14"/>
  <c r="J804" i="14"/>
  <c r="K804" i="14" s="1"/>
  <c r="J794" i="14"/>
  <c r="K794" i="14" s="1"/>
  <c r="J777" i="14"/>
  <c r="L777" i="14" s="1"/>
  <c r="J760" i="14"/>
  <c r="J737" i="14"/>
  <c r="K737" i="14" s="1"/>
  <c r="J686" i="14"/>
  <c r="J666" i="14"/>
  <c r="L666" i="14" s="1"/>
  <c r="J639" i="14"/>
  <c r="L639" i="14" s="1"/>
  <c r="J608" i="14"/>
  <c r="K608" i="14" s="1"/>
  <c r="J587" i="14"/>
  <c r="K587" i="14" s="1"/>
  <c r="J561" i="14"/>
  <c r="K561" i="14" s="1"/>
  <c r="J536" i="14"/>
  <c r="K536" i="14" s="1"/>
  <c r="J513" i="14"/>
  <c r="K513" i="14" s="1"/>
  <c r="J502" i="14"/>
  <c r="K502" i="14" s="1"/>
  <c r="J484" i="14"/>
  <c r="K484" i="14" s="1"/>
  <c r="J468" i="14"/>
  <c r="K468" i="14" s="1"/>
  <c r="J451" i="14"/>
  <c r="K451" i="14" s="1"/>
  <c r="J435" i="14"/>
  <c r="K435" i="14" s="1"/>
  <c r="J803" i="14"/>
  <c r="J785" i="14"/>
  <c r="K785" i="14" s="1"/>
  <c r="J759" i="14"/>
  <c r="J746" i="14"/>
  <c r="J725" i="14"/>
  <c r="L725" i="14" s="1"/>
  <c r="J712" i="14"/>
  <c r="J704" i="14"/>
  <c r="K704" i="14" s="1"/>
  <c r="J685" i="14"/>
  <c r="L685" i="14" s="1"/>
  <c r="J675" i="14"/>
  <c r="J665" i="14"/>
  <c r="L665" i="14" s="1"/>
  <c r="J654" i="14"/>
  <c r="J622" i="14"/>
  <c r="J607" i="14"/>
  <c r="K607" i="14" s="1"/>
  <c r="J586" i="14"/>
  <c r="K586" i="14" s="1"/>
  <c r="J544" i="14"/>
  <c r="K544" i="14" s="1"/>
  <c r="J534" i="14"/>
  <c r="K534" i="14" s="1"/>
  <c r="J512" i="14"/>
  <c r="K512" i="14" s="1"/>
  <c r="J501" i="14"/>
  <c r="K501" i="14" s="1"/>
  <c r="J483" i="14"/>
  <c r="K483" i="14" s="1"/>
  <c r="J467" i="14"/>
  <c r="K467" i="14" s="1"/>
  <c r="J450" i="14"/>
  <c r="K450" i="14" s="1"/>
  <c r="J409" i="14"/>
  <c r="K409" i="14" s="1"/>
  <c r="J400" i="14"/>
  <c r="K400" i="14" s="1"/>
  <c r="J380" i="14"/>
  <c r="K380" i="14" s="1"/>
  <c r="J372" i="14"/>
  <c r="J801" i="14"/>
  <c r="L801" i="14" s="1"/>
  <c r="J792" i="14"/>
  <c r="J784" i="14"/>
  <c r="J775" i="14"/>
  <c r="J766" i="14"/>
  <c r="K766" i="14" s="1"/>
  <c r="J757" i="14"/>
  <c r="J745" i="14"/>
  <c r="L745" i="14" s="1"/>
  <c r="J733" i="14"/>
  <c r="L733" i="14" s="1"/>
  <c r="J723" i="14"/>
  <c r="L723" i="14" s="1"/>
  <c r="J711" i="14"/>
  <c r="L711" i="14" s="1"/>
  <c r="J703" i="14"/>
  <c r="J692" i="14"/>
  <c r="L692" i="14" s="1"/>
  <c r="J684" i="14"/>
  <c r="L684" i="14" s="1"/>
  <c r="J673" i="14"/>
  <c r="J664" i="14"/>
  <c r="L664" i="14" s="1"/>
  <c r="J652" i="14"/>
  <c r="J621" i="14"/>
  <c r="L621" i="14" s="1"/>
  <c r="J606" i="14"/>
  <c r="K606" i="14" s="1"/>
  <c r="J597" i="14"/>
  <c r="K597" i="14" s="1"/>
  <c r="J569" i="14"/>
  <c r="K569" i="14" s="1"/>
  <c r="J555" i="14"/>
  <c r="K555" i="14" s="1"/>
  <c r="J543" i="14"/>
  <c r="K543" i="14" s="1"/>
  <c r="J533" i="14"/>
  <c r="K533" i="14" s="1"/>
  <c r="J522" i="14"/>
  <c r="K522" i="14" s="1"/>
  <c r="J511" i="14"/>
  <c r="K511" i="14" s="1"/>
  <c r="J490" i="14"/>
  <c r="K490" i="14" s="1"/>
  <c r="J482" i="14"/>
  <c r="K482" i="14" s="1"/>
  <c r="J474" i="14"/>
  <c r="K474" i="14" s="1"/>
  <c r="J465" i="14"/>
  <c r="K465" i="14" s="1"/>
  <c r="J457" i="14"/>
  <c r="K457" i="14" s="1"/>
  <c r="J449" i="14"/>
  <c r="K449" i="14" s="1"/>
  <c r="J441" i="14"/>
  <c r="K441" i="14" s="1"/>
  <c r="J433" i="14"/>
  <c r="K433" i="14" s="1"/>
  <c r="J423" i="14"/>
  <c r="K423" i="14" s="1"/>
  <c r="J408" i="14"/>
  <c r="K408" i="14" s="1"/>
  <c r="J399" i="14"/>
  <c r="K399" i="14" s="1"/>
  <c r="J379" i="14"/>
  <c r="K379" i="14" s="1"/>
  <c r="J371" i="14"/>
  <c r="K371" i="14" s="1"/>
  <c r="J814" i="14"/>
  <c r="L814" i="14" s="1"/>
  <c r="J829" i="14"/>
  <c r="L829" i="14" s="1"/>
  <c r="J838" i="14"/>
  <c r="J850" i="14"/>
  <c r="L850" i="14" s="1"/>
  <c r="J865" i="14"/>
  <c r="J997" i="14"/>
  <c r="L997" i="14" s="1"/>
  <c r="J881" i="14"/>
  <c r="K881" i="14" s="1"/>
  <c r="J900" i="14"/>
  <c r="J910" i="14"/>
  <c r="K910" i="14" s="1"/>
  <c r="J921" i="14"/>
  <c r="K921" i="14" s="1"/>
  <c r="J970" i="14"/>
  <c r="K970" i="14" s="1"/>
  <c r="J977" i="14"/>
  <c r="J991" i="14"/>
  <c r="K991" i="14" s="1"/>
  <c r="K1158" i="14"/>
  <c r="K1142" i="14"/>
  <c r="K1134" i="14"/>
  <c r="K1126" i="14"/>
  <c r="K1094" i="14"/>
  <c r="K925" i="14"/>
  <c r="L853" i="14"/>
  <c r="L742" i="14"/>
  <c r="L942" i="14"/>
  <c r="K961" i="14"/>
  <c r="K814" i="14"/>
  <c r="K883" i="14"/>
  <c r="L875" i="14"/>
  <c r="L379" i="14"/>
  <c r="L852" i="14"/>
  <c r="L766" i="14"/>
  <c r="K929" i="14"/>
  <c r="L893" i="14"/>
  <c r="K893" i="14"/>
  <c r="L910" i="14"/>
  <c r="K995" i="14"/>
  <c r="L650" i="14"/>
  <c r="K818" i="14"/>
  <c r="K631" i="14"/>
  <c r="K902" i="14"/>
  <c r="K638" i="14"/>
  <c r="L975" i="14"/>
  <c r="L373" i="14"/>
  <c r="K694" i="14"/>
  <c r="L920" i="14"/>
  <c r="L823" i="14"/>
  <c r="K823" i="14"/>
  <c r="L872" i="14"/>
  <c r="L909" i="14"/>
  <c r="K909" i="14"/>
  <c r="K829" i="14"/>
  <c r="K876" i="14"/>
  <c r="K892" i="14"/>
  <c r="K913" i="14"/>
  <c r="K770" i="14"/>
  <c r="K708" i="14"/>
  <c r="K841" i="14"/>
  <c r="K967" i="14"/>
  <c r="L856" i="14"/>
  <c r="K697" i="14"/>
  <c r="L691" i="14"/>
  <c r="K924" i="14"/>
  <c r="K949" i="14"/>
  <c r="L982" i="14"/>
  <c r="E38" i="34"/>
  <c r="C58" i="34" s="1"/>
  <c r="D58" i="34" s="1"/>
  <c r="I38" i="34"/>
  <c r="M38" i="34"/>
  <c r="F38" i="34"/>
  <c r="N38" i="34"/>
  <c r="L38" i="34"/>
  <c r="G38" i="34"/>
  <c r="K38" i="34"/>
  <c r="O38" i="34"/>
  <c r="J38" i="34"/>
  <c r="H38" i="34"/>
  <c r="G36" i="34"/>
  <c r="K36" i="34"/>
  <c r="O36" i="34"/>
  <c r="L36" i="34"/>
  <c r="J36" i="34"/>
  <c r="E36" i="34"/>
  <c r="C56" i="34" s="1"/>
  <c r="D56" i="34" s="1"/>
  <c r="I36" i="34"/>
  <c r="M36" i="34"/>
  <c r="H36" i="34"/>
  <c r="F36" i="34"/>
  <c r="N36" i="34"/>
  <c r="G34" i="34"/>
  <c r="K34" i="34"/>
  <c r="O34" i="34"/>
  <c r="J34" i="34"/>
  <c r="H34" i="34"/>
  <c r="E34" i="34"/>
  <c r="C54" i="34" s="1"/>
  <c r="D54" i="34" s="1"/>
  <c r="I34" i="34"/>
  <c r="M34" i="34"/>
  <c r="F34" i="34"/>
  <c r="N34" i="34"/>
  <c r="L34" i="34"/>
  <c r="G32" i="34"/>
  <c r="K32" i="34"/>
  <c r="O32" i="34"/>
  <c r="L32" i="34"/>
  <c r="J32" i="34"/>
  <c r="E32" i="34"/>
  <c r="C52" i="34" s="1"/>
  <c r="D52" i="34" s="1"/>
  <c r="I32" i="34"/>
  <c r="M32" i="34"/>
  <c r="H32" i="34"/>
  <c r="F32" i="34"/>
  <c r="N32" i="34"/>
  <c r="G30" i="34"/>
  <c r="K30" i="34"/>
  <c r="O30" i="34"/>
  <c r="J30" i="34"/>
  <c r="H30" i="34"/>
  <c r="E30" i="34"/>
  <c r="C50" i="34" s="1"/>
  <c r="D50" i="34" s="1"/>
  <c r="I30" i="34"/>
  <c r="M30" i="34"/>
  <c r="F30" i="34"/>
  <c r="N30" i="34"/>
  <c r="L30" i="34"/>
  <c r="G28" i="34"/>
  <c r="K28" i="34"/>
  <c r="O28" i="34"/>
  <c r="L28" i="34"/>
  <c r="J28" i="34"/>
  <c r="E28" i="34"/>
  <c r="C48" i="34" s="1"/>
  <c r="D48" i="34" s="1"/>
  <c r="I28" i="34"/>
  <c r="M28" i="34"/>
  <c r="H28" i="34"/>
  <c r="F28" i="34"/>
  <c r="N28" i="34"/>
  <c r="G26" i="34"/>
  <c r="K26" i="34"/>
  <c r="O26" i="34"/>
  <c r="J26" i="34"/>
  <c r="H26" i="34"/>
  <c r="E26" i="34"/>
  <c r="C46" i="34" s="1"/>
  <c r="D46" i="34" s="1"/>
  <c r="I26" i="34"/>
  <c r="M26" i="34"/>
  <c r="F26" i="34"/>
  <c r="N26" i="34"/>
  <c r="L26" i="34"/>
  <c r="F25" i="34"/>
  <c r="J25" i="34"/>
  <c r="N25" i="34"/>
  <c r="K25" i="34"/>
  <c r="E25" i="34"/>
  <c r="C45" i="34" s="1"/>
  <c r="D45" i="34" s="1"/>
  <c r="M25" i="34"/>
  <c r="H25" i="34"/>
  <c r="L25" i="34"/>
  <c r="G25" i="34"/>
  <c r="O25" i="34"/>
  <c r="I25" i="34"/>
  <c r="E40" i="34"/>
  <c r="C60" i="34" s="1"/>
  <c r="G40" i="34"/>
  <c r="K40" i="34"/>
  <c r="O40" i="34"/>
  <c r="L40" i="34"/>
  <c r="J40" i="34"/>
  <c r="I40" i="34"/>
  <c r="M40" i="34"/>
  <c r="H40" i="34"/>
  <c r="F40" i="34"/>
  <c r="N40" i="34"/>
  <c r="H39" i="34"/>
  <c r="L39" i="34"/>
  <c r="E39" i="34"/>
  <c r="C59" i="34" s="1"/>
  <c r="D59" i="34" s="1"/>
  <c r="M39" i="34"/>
  <c r="K39" i="34"/>
  <c r="F39" i="34"/>
  <c r="J39" i="34"/>
  <c r="N39" i="34"/>
  <c r="I39" i="34"/>
  <c r="G39" i="34"/>
  <c r="O39" i="34"/>
  <c r="F37" i="34"/>
  <c r="J37" i="34"/>
  <c r="N37" i="34"/>
  <c r="K37" i="34"/>
  <c r="E37" i="34"/>
  <c r="C57" i="34" s="1"/>
  <c r="D57" i="34" s="1"/>
  <c r="M37" i="34"/>
  <c r="H37" i="34"/>
  <c r="L37" i="34"/>
  <c r="G37" i="34"/>
  <c r="O37" i="34"/>
  <c r="I37" i="34"/>
  <c r="F35" i="34"/>
  <c r="J35" i="34"/>
  <c r="N35" i="34"/>
  <c r="I35" i="34"/>
  <c r="G35" i="34"/>
  <c r="O35" i="34"/>
  <c r="H35" i="34"/>
  <c r="L35" i="34"/>
  <c r="E35" i="34"/>
  <c r="C55" i="34" s="1"/>
  <c r="D55" i="34" s="1"/>
  <c r="M35" i="34"/>
  <c r="K35" i="34"/>
  <c r="F33" i="34"/>
  <c r="J33" i="34"/>
  <c r="N33" i="34"/>
  <c r="K33" i="34"/>
  <c r="E33" i="34"/>
  <c r="C53" i="34" s="1"/>
  <c r="D53" i="34" s="1"/>
  <c r="M33" i="34"/>
  <c r="H33" i="34"/>
  <c r="L33" i="34"/>
  <c r="G33" i="34"/>
  <c r="O33" i="34"/>
  <c r="I33" i="34"/>
  <c r="F31" i="34"/>
  <c r="J31" i="34"/>
  <c r="N31" i="34"/>
  <c r="I31" i="34"/>
  <c r="G31" i="34"/>
  <c r="O31" i="34"/>
  <c r="H31" i="34"/>
  <c r="L31" i="34"/>
  <c r="E31" i="34"/>
  <c r="C51" i="34" s="1"/>
  <c r="D51" i="34" s="1"/>
  <c r="M31" i="34"/>
  <c r="K31" i="34"/>
  <c r="F29" i="34"/>
  <c r="J29" i="34"/>
  <c r="N29" i="34"/>
  <c r="K29" i="34"/>
  <c r="E29" i="34"/>
  <c r="C49" i="34" s="1"/>
  <c r="D49" i="34" s="1"/>
  <c r="M29" i="34"/>
  <c r="H29" i="34"/>
  <c r="L29" i="34"/>
  <c r="G29" i="34"/>
  <c r="O29" i="34"/>
  <c r="I29" i="34"/>
  <c r="F27" i="34"/>
  <c r="J27" i="34"/>
  <c r="N27" i="34"/>
  <c r="I27" i="34"/>
  <c r="G27" i="34"/>
  <c r="O27" i="34"/>
  <c r="H27" i="34"/>
  <c r="L27" i="34"/>
  <c r="E27" i="34"/>
  <c r="C47" i="34" s="1"/>
  <c r="D47" i="34" s="1"/>
  <c r="M27" i="34"/>
  <c r="K27" i="34"/>
  <c r="F935" i="16"/>
  <c r="K958" i="14"/>
  <c r="K976" i="14"/>
  <c r="J832" i="14"/>
  <c r="J825" i="14"/>
  <c r="J851" i="14"/>
  <c r="J874" i="14"/>
  <c r="J903" i="14"/>
  <c r="K903" i="14" s="1"/>
  <c r="J907" i="14"/>
  <c r="K907" i="14" s="1"/>
  <c r="J937" i="14"/>
  <c r="K937" i="14" s="1"/>
  <c r="J1005" i="14"/>
  <c r="K1005" i="14" s="1"/>
  <c r="J1191" i="14"/>
  <c r="K1191" i="14" s="1"/>
  <c r="J1185" i="14"/>
  <c r="L1185" i="14" s="1"/>
  <c r="J1177" i="14"/>
  <c r="K1177" i="14" s="1"/>
  <c r="J1175" i="14"/>
  <c r="K1175" i="14" s="1"/>
  <c r="J1173" i="14"/>
  <c r="L1173" i="14" s="1"/>
  <c r="J1171" i="14"/>
  <c r="K1171" i="14" s="1"/>
  <c r="J1167" i="14"/>
  <c r="K1167" i="14" s="1"/>
  <c r="J1165" i="14"/>
  <c r="K1165" i="14" s="1"/>
  <c r="J1161" i="14"/>
  <c r="K1161" i="14" s="1"/>
  <c r="J1145" i="14"/>
  <c r="K1145" i="14" s="1"/>
  <c r="J1143" i="14"/>
  <c r="K1143" i="14" s="1"/>
  <c r="J1141" i="14"/>
  <c r="K1141" i="14" s="1"/>
  <c r="J1119" i="14"/>
  <c r="K1119" i="14" s="1"/>
  <c r="J1109" i="14"/>
  <c r="K1109" i="14" s="1"/>
  <c r="J1105" i="14"/>
  <c r="K1105" i="14" s="1"/>
  <c r="J1099" i="14"/>
  <c r="K1099" i="14" s="1"/>
  <c r="J1093" i="14"/>
  <c r="K1093" i="14" s="1"/>
  <c r="J1087" i="14"/>
  <c r="K1087" i="14" s="1"/>
  <c r="J1085" i="14"/>
  <c r="K1085" i="14" s="1"/>
  <c r="J1083" i="14"/>
  <c r="K1083" i="14" s="1"/>
  <c r="J1077" i="14"/>
  <c r="K1077" i="14" s="1"/>
  <c r="J1073" i="14"/>
  <c r="K1073" i="14" s="1"/>
  <c r="J1071" i="14"/>
  <c r="K1071" i="14" s="1"/>
  <c r="J1065" i="14"/>
  <c r="K1065" i="14" s="1"/>
  <c r="J1061" i="14"/>
  <c r="L1061" i="14" s="1"/>
  <c r="J1059" i="14"/>
  <c r="L1059" i="14" s="1"/>
  <c r="J1047" i="14"/>
  <c r="L1047" i="14" s="1"/>
  <c r="J1045" i="14"/>
  <c r="L1045" i="14" s="1"/>
  <c r="J1043" i="14"/>
  <c r="L1043" i="14" s="1"/>
  <c r="J1037" i="14"/>
  <c r="L1037" i="14" s="1"/>
  <c r="J1033" i="14"/>
  <c r="L1033" i="14" s="1"/>
  <c r="J1031" i="14"/>
  <c r="L1031" i="14" s="1"/>
  <c r="J1025" i="14"/>
  <c r="L1025" i="14" s="1"/>
  <c r="J1023" i="14"/>
  <c r="L1023" i="14" s="1"/>
  <c r="J1017" i="14"/>
  <c r="K1017" i="14" s="1"/>
  <c r="J1013" i="14"/>
  <c r="K1013" i="14" s="1"/>
  <c r="J1011" i="14"/>
  <c r="K1011" i="14" s="1"/>
  <c r="J1009" i="14"/>
  <c r="K1009" i="14" s="1"/>
  <c r="J1007" i="14"/>
  <c r="L1007" i="14" s="1"/>
  <c r="J300" i="14"/>
  <c r="J302" i="14"/>
  <c r="J304" i="14"/>
  <c r="J306" i="14"/>
  <c r="J308" i="14"/>
  <c r="J310" i="14"/>
  <c r="J312" i="14"/>
  <c r="J314" i="14"/>
  <c r="J316" i="14"/>
  <c r="J318" i="14"/>
  <c r="J320" i="14"/>
  <c r="J322" i="14"/>
  <c r="J324" i="14"/>
  <c r="J326" i="14"/>
  <c r="J328" i="14"/>
  <c r="J330" i="14"/>
  <c r="J332" i="14"/>
  <c r="J334" i="14"/>
  <c r="J336" i="14"/>
  <c r="J338" i="14"/>
  <c r="J340" i="14"/>
  <c r="J342" i="14"/>
  <c r="J344" i="14"/>
  <c r="J347" i="14"/>
  <c r="J349" i="14"/>
  <c r="J351" i="14"/>
  <c r="J354" i="14"/>
  <c r="J356" i="14"/>
  <c r="J358" i="14"/>
  <c r="J362" i="14"/>
  <c r="J2" i="14"/>
  <c r="J4" i="14"/>
  <c r="J6" i="14"/>
  <c r="J8" i="14"/>
  <c r="J10" i="14"/>
  <c r="J12" i="14"/>
  <c r="J14" i="14"/>
  <c r="J16" i="14"/>
  <c r="J18" i="14"/>
  <c r="J20" i="14"/>
  <c r="J22" i="14"/>
  <c r="J24" i="14"/>
  <c r="J26" i="14"/>
  <c r="J28" i="14"/>
  <c r="J30" i="14"/>
  <c r="J32" i="14"/>
  <c r="J34" i="14"/>
  <c r="J36" i="14"/>
  <c r="J38" i="14"/>
  <c r="J40" i="14"/>
  <c r="J42" i="14"/>
  <c r="J44" i="14"/>
  <c r="J46" i="14"/>
  <c r="J48" i="14"/>
  <c r="J50" i="14"/>
  <c r="J52" i="14"/>
  <c r="J54" i="14"/>
  <c r="J56" i="14"/>
  <c r="J58" i="14"/>
  <c r="J60" i="14"/>
  <c r="J63" i="14"/>
  <c r="J65" i="14"/>
  <c r="J67" i="14"/>
  <c r="J69" i="14"/>
  <c r="J71" i="14"/>
  <c r="J73" i="14"/>
  <c r="J75" i="14"/>
  <c r="J77" i="14"/>
  <c r="J79" i="14"/>
  <c r="J81" i="14"/>
  <c r="J83" i="14"/>
  <c r="J85" i="14"/>
  <c r="J87" i="14"/>
  <c r="J89" i="14"/>
  <c r="J91" i="14"/>
  <c r="J93" i="14"/>
  <c r="J95" i="14"/>
  <c r="J97" i="14"/>
  <c r="J99" i="14"/>
  <c r="J101" i="14"/>
  <c r="J103" i="14"/>
  <c r="J107" i="14"/>
  <c r="J109" i="14"/>
  <c r="J111" i="14"/>
  <c r="J113" i="14"/>
  <c r="J301" i="14"/>
  <c r="J305" i="14"/>
  <c r="J309" i="14"/>
  <c r="J313" i="14"/>
  <c r="J317" i="14"/>
  <c r="J321" i="14"/>
  <c r="J325" i="14"/>
  <c r="J329" i="14"/>
  <c r="J333" i="14"/>
  <c r="J337" i="14"/>
  <c r="J341" i="14"/>
  <c r="J346" i="14"/>
  <c r="J350" i="14"/>
  <c r="J355" i="14"/>
  <c r="J361" i="14"/>
  <c r="J3" i="14"/>
  <c r="J7" i="14"/>
  <c r="J11" i="14"/>
  <c r="J15" i="14"/>
  <c r="J19" i="14"/>
  <c r="J23" i="14"/>
  <c r="J27" i="14"/>
  <c r="J31" i="14"/>
  <c r="J35" i="14"/>
  <c r="J39" i="14"/>
  <c r="J43" i="14"/>
  <c r="J47" i="14"/>
  <c r="J51" i="14"/>
  <c r="J55" i="14"/>
  <c r="J59" i="14"/>
  <c r="J64" i="14"/>
  <c r="J68" i="14"/>
  <c r="J72" i="14"/>
  <c r="J76" i="14"/>
  <c r="J80" i="14"/>
  <c r="J84" i="14"/>
  <c r="J88" i="14"/>
  <c r="J92" i="14"/>
  <c r="J96" i="14"/>
  <c r="J100" i="14"/>
  <c r="J104" i="14"/>
  <c r="J110" i="14"/>
  <c r="J114" i="14"/>
  <c r="J116" i="14"/>
  <c r="J118" i="14"/>
  <c r="J120" i="14"/>
  <c r="J122" i="14"/>
  <c r="J124" i="14"/>
  <c r="J126" i="14"/>
  <c r="J128" i="14"/>
  <c r="J130" i="14"/>
  <c r="J132" i="14"/>
  <c r="J134" i="14"/>
  <c r="J136" i="14"/>
  <c r="J138" i="14"/>
  <c r="J140" i="14"/>
  <c r="J142" i="14"/>
  <c r="J144" i="14"/>
  <c r="J146" i="14"/>
  <c r="J148" i="14"/>
  <c r="J150" i="14"/>
  <c r="J152" i="14"/>
  <c r="J154" i="14"/>
  <c r="J156" i="14"/>
  <c r="J158" i="14"/>
  <c r="J160" i="14"/>
  <c r="J162" i="14"/>
  <c r="J172" i="14"/>
  <c r="J174" i="14"/>
  <c r="J176" i="14"/>
  <c r="J178" i="14"/>
  <c r="J180" i="14"/>
  <c r="J182" i="14"/>
  <c r="J184" i="14"/>
  <c r="J186" i="14"/>
  <c r="J188" i="14"/>
  <c r="J190" i="14"/>
  <c r="J192" i="14"/>
  <c r="J195" i="14"/>
  <c r="J197" i="14"/>
  <c r="J200" i="14"/>
  <c r="J202" i="14"/>
  <c r="J204" i="14"/>
  <c r="J206" i="14"/>
  <c r="J208" i="14"/>
  <c r="J210" i="14"/>
  <c r="J212" i="14"/>
  <c r="J214" i="14"/>
  <c r="J216" i="14"/>
  <c r="J218" i="14"/>
  <c r="J220" i="14"/>
  <c r="J222" i="14"/>
  <c r="J224" i="14"/>
  <c r="J226" i="14"/>
  <c r="J229" i="14"/>
  <c r="J231" i="14"/>
  <c r="J233" i="14"/>
  <c r="J235" i="14"/>
  <c r="J237" i="14"/>
  <c r="J239" i="14"/>
  <c r="J241" i="14"/>
  <c r="J243" i="14"/>
  <c r="J245" i="14"/>
  <c r="J247" i="14"/>
  <c r="J249" i="14"/>
  <c r="J251" i="14"/>
  <c r="J253" i="14"/>
  <c r="J255" i="14"/>
  <c r="J257" i="14"/>
  <c r="J259" i="14"/>
  <c r="J261" i="14"/>
  <c r="J263" i="14"/>
  <c r="J265" i="14"/>
  <c r="J267" i="14"/>
  <c r="J269" i="14"/>
  <c r="J271" i="14"/>
  <c r="J273" i="14"/>
  <c r="J275" i="14"/>
  <c r="J277" i="14"/>
  <c r="J279" i="14"/>
  <c r="J281" i="14"/>
  <c r="J283" i="14"/>
  <c r="J285" i="14"/>
  <c r="J287" i="14"/>
  <c r="J289" i="14"/>
  <c r="J291" i="14"/>
  <c r="J293" i="14"/>
  <c r="J295" i="14"/>
  <c r="J1147" i="14"/>
  <c r="K1147" i="14" s="1"/>
  <c r="J303" i="14"/>
  <c r="J307" i="14"/>
  <c r="J311" i="14"/>
  <c r="J315" i="14"/>
  <c r="J319" i="14"/>
  <c r="J323" i="14"/>
  <c r="J327" i="14"/>
  <c r="J331" i="14"/>
  <c r="J335" i="14"/>
  <c r="J339" i="14"/>
  <c r="J343" i="14"/>
  <c r="J348" i="14"/>
  <c r="J353" i="14"/>
  <c r="J357" i="14"/>
  <c r="J363" i="14"/>
  <c r="J5" i="14"/>
  <c r="J9" i="14"/>
  <c r="J13" i="14"/>
  <c r="J17" i="14"/>
  <c r="J21" i="14"/>
  <c r="J25" i="14"/>
  <c r="J29" i="14"/>
  <c r="J33" i="14"/>
  <c r="J37" i="14"/>
  <c r="J41" i="14"/>
  <c r="J45" i="14"/>
  <c r="J49" i="14"/>
  <c r="J53" i="14"/>
  <c r="J57" i="14"/>
  <c r="J62" i="14"/>
  <c r="J66" i="14"/>
  <c r="J70" i="14"/>
  <c r="J74" i="14"/>
  <c r="J78" i="14"/>
  <c r="J82" i="14"/>
  <c r="J86" i="14"/>
  <c r="J90" i="14"/>
  <c r="J94" i="14"/>
  <c r="J98" i="14"/>
  <c r="J102" i="14"/>
  <c r="J108" i="14"/>
  <c r="J112" i="14"/>
  <c r="J115" i="14"/>
  <c r="J117" i="14"/>
  <c r="J119" i="14"/>
  <c r="J121" i="14"/>
  <c r="J123" i="14"/>
  <c r="J125" i="14"/>
  <c r="J127" i="14"/>
  <c r="J129" i="14"/>
  <c r="J131" i="14"/>
  <c r="J133" i="14"/>
  <c r="J135" i="14"/>
  <c r="J137" i="14"/>
  <c r="J139" i="14"/>
  <c r="J141" i="14"/>
  <c r="J143" i="14"/>
  <c r="J145" i="14"/>
  <c r="J147" i="14"/>
  <c r="J149" i="14"/>
  <c r="J151" i="14"/>
  <c r="J153" i="14"/>
  <c r="J155" i="14"/>
  <c r="J157" i="14"/>
  <c r="J159" i="14"/>
  <c r="J161" i="14"/>
  <c r="J163" i="14"/>
  <c r="J173" i="14"/>
  <c r="J175" i="14"/>
  <c r="J177" i="14"/>
  <c r="J179" i="14"/>
  <c r="J181" i="14"/>
  <c r="J183" i="14"/>
  <c r="J185" i="14"/>
  <c r="J187" i="14"/>
  <c r="J189" i="14"/>
  <c r="J191" i="14"/>
  <c r="J193" i="14"/>
  <c r="J196" i="14"/>
  <c r="J199" i="14"/>
  <c r="J201" i="14"/>
  <c r="J203" i="14"/>
  <c r="J205" i="14"/>
  <c r="J207" i="14"/>
  <c r="J211" i="14"/>
  <c r="J215" i="14"/>
  <c r="J219" i="14"/>
  <c r="J223" i="14"/>
  <c r="J228" i="14"/>
  <c r="J232" i="14"/>
  <c r="J236" i="14"/>
  <c r="J240" i="14"/>
  <c r="J244" i="14"/>
  <c r="J248" i="14"/>
  <c r="J252" i="14"/>
  <c r="J256" i="14"/>
  <c r="J260" i="14"/>
  <c r="J264" i="14"/>
  <c r="J268" i="14"/>
  <c r="J272" i="14"/>
  <c r="J276" i="14"/>
  <c r="K276" i="14" s="1"/>
  <c r="J280" i="14"/>
  <c r="J284" i="14"/>
  <c r="J288" i="14"/>
  <c r="J292" i="14"/>
  <c r="J296" i="14"/>
  <c r="J209" i="14"/>
  <c r="J213" i="14"/>
  <c r="J217" i="14"/>
  <c r="J221" i="14"/>
  <c r="J225" i="14"/>
  <c r="J230" i="14"/>
  <c r="J234" i="14"/>
  <c r="J238" i="14"/>
  <c r="J242" i="14"/>
  <c r="J246" i="14"/>
  <c r="J250" i="14"/>
  <c r="J254" i="14"/>
  <c r="J258" i="14"/>
  <c r="J262" i="14"/>
  <c r="J266" i="14"/>
  <c r="J270" i="14"/>
  <c r="J274" i="14"/>
  <c r="J278" i="14"/>
  <c r="J282" i="14"/>
  <c r="J286" i="14"/>
  <c r="J290" i="14"/>
  <c r="J294" i="14"/>
  <c r="J1212" i="14"/>
  <c r="J1218" i="14"/>
  <c r="J1217" i="14"/>
  <c r="J1219" i="14"/>
  <c r="J1213" i="14"/>
  <c r="J1214" i="14"/>
  <c r="J1215" i="14"/>
  <c r="J1216" i="14"/>
  <c r="J1210" i="14"/>
  <c r="J1211" i="14"/>
  <c r="J1209" i="14"/>
  <c r="J1208" i="14"/>
  <c r="J1202" i="14"/>
  <c r="J1204" i="14"/>
  <c r="J1205" i="14"/>
  <c r="J1201" i="14"/>
  <c r="J1203" i="14"/>
  <c r="J1206" i="14"/>
  <c r="J1207" i="14"/>
  <c r="J1192" i="14"/>
  <c r="L1192" i="14" s="1"/>
  <c r="J1188" i="14"/>
  <c r="L1188" i="14" s="1"/>
  <c r="J1186" i="14"/>
  <c r="J1178" i="14"/>
  <c r="K1178" i="14" s="1"/>
  <c r="J1176" i="14"/>
  <c r="K1176" i="14" s="1"/>
  <c r="J1174" i="14"/>
  <c r="K1174" i="14" s="1"/>
  <c r="J1172" i="14"/>
  <c r="K1172" i="14" s="1"/>
  <c r="J1170" i="14"/>
  <c r="K1170" i="14" s="1"/>
  <c r="J1166" i="14"/>
  <c r="K1166" i="14" s="1"/>
  <c r="J1160" i="14"/>
  <c r="K1160" i="14" s="1"/>
  <c r="J1150" i="14"/>
  <c r="K1150" i="14" s="1"/>
  <c r="J1144" i="14"/>
  <c r="K1144" i="14" s="1"/>
  <c r="J1122" i="14"/>
  <c r="K1122" i="14" s="1"/>
  <c r="J1108" i="14"/>
  <c r="J1106" i="14"/>
  <c r="K1106" i="14" s="1"/>
  <c r="J1100" i="14"/>
  <c r="K1100" i="14" s="1"/>
  <c r="J1098" i="14"/>
  <c r="K1098" i="14" s="1"/>
  <c r="J1088" i="14"/>
  <c r="K1088" i="14" s="1"/>
  <c r="J1084" i="14"/>
  <c r="K1084" i="14" s="1"/>
  <c r="J1082" i="14"/>
  <c r="K1082" i="14" s="1"/>
  <c r="J1078" i="14"/>
  <c r="K1078" i="14" s="1"/>
  <c r="J1074" i="14"/>
  <c r="K1074" i="14" s="1"/>
  <c r="J1072" i="14"/>
  <c r="K1072" i="14" s="1"/>
  <c r="J1070" i="14"/>
  <c r="K1070" i="14" s="1"/>
  <c r="J1066" i="14"/>
  <c r="K1066" i="14" s="1"/>
  <c r="J1062" i="14"/>
  <c r="L1062" i="14" s="1"/>
  <c r="J1050" i="14"/>
  <c r="L1050" i="14" s="1"/>
  <c r="J1048" i="14"/>
  <c r="L1048" i="14" s="1"/>
  <c r="J1038" i="14"/>
  <c r="L1038" i="14" s="1"/>
  <c r="J1032" i="14"/>
  <c r="L1032" i="14" s="1"/>
  <c r="J1028" i="14"/>
  <c r="L1028" i="14" s="1"/>
  <c r="J1026" i="14"/>
  <c r="L1026" i="14" s="1"/>
  <c r="J1022" i="14"/>
  <c r="L1022" i="14" s="1"/>
  <c r="J1016" i="14"/>
  <c r="K1016" i="14" s="1"/>
  <c r="J1012" i="14"/>
  <c r="K1012" i="14" s="1"/>
  <c r="J1008" i="14"/>
  <c r="L1008" i="14" s="1"/>
  <c r="I14" i="29"/>
  <c r="I16" i="29"/>
  <c r="I18" i="29"/>
  <c r="I7" i="29"/>
  <c r="I12" i="29"/>
  <c r="I3" i="29"/>
  <c r="I20" i="29"/>
  <c r="I4" i="29"/>
  <c r="I10" i="29"/>
  <c r="I22" i="29"/>
  <c r="I11" i="29"/>
  <c r="I5" i="29"/>
  <c r="I15" i="29"/>
  <c r="I17" i="29"/>
  <c r="I21" i="29"/>
  <c r="I9" i="29"/>
  <c r="I19" i="29"/>
  <c r="I6" i="29"/>
  <c r="I23" i="29"/>
  <c r="I8" i="29"/>
  <c r="I13" i="29"/>
  <c r="L778" i="14"/>
  <c r="K778" i="14"/>
  <c r="K777" i="14"/>
  <c r="K723" i="14"/>
  <c r="K843" i="14"/>
  <c r="K936" i="14"/>
  <c r="L969" i="14"/>
  <c r="K986" i="14"/>
  <c r="L795" i="14"/>
  <c r="K795" i="14"/>
  <c r="K791" i="14"/>
  <c r="K789" i="14"/>
  <c r="K667" i="14"/>
  <c r="L667" i="14"/>
  <c r="K665" i="14"/>
  <c r="L663" i="14"/>
  <c r="K621" i="14"/>
  <c r="L788" i="14"/>
  <c r="K730" i="14"/>
  <c r="J707" i="14"/>
  <c r="B29" i="29"/>
  <c r="K666" i="14"/>
  <c r="K630" i="14"/>
  <c r="L630" i="14"/>
  <c r="L819" i="14"/>
  <c r="L878" i="14"/>
  <c r="L881" i="14"/>
  <c r="K908" i="14"/>
  <c r="K932" i="14"/>
  <c r="K947" i="14"/>
  <c r="L978" i="14"/>
  <c r="K806" i="14"/>
  <c r="L781" i="14"/>
  <c r="K781" i="14"/>
  <c r="K740" i="14"/>
  <c r="L740" i="14"/>
  <c r="K813" i="14"/>
  <c r="K833" i="14"/>
  <c r="K868" i="14"/>
  <c r="K808" i="14"/>
  <c r="K799" i="14"/>
  <c r="L689" i="14"/>
  <c r="K689" i="14"/>
  <c r="L921" i="14"/>
  <c r="K926" i="14"/>
  <c r="K931" i="14"/>
  <c r="K971" i="14"/>
  <c r="K963" i="14"/>
  <c r="L372" i="14"/>
  <c r="K372" i="14"/>
  <c r="K1169" i="14"/>
  <c r="L1169" i="14"/>
  <c r="K1163" i="14"/>
  <c r="L1163" i="14"/>
  <c r="K1159" i="14"/>
  <c r="L1159" i="14"/>
  <c r="K1157" i="14"/>
  <c r="L1157" i="14"/>
  <c r="K1155" i="14"/>
  <c r="L1155" i="14"/>
  <c r="K1153" i="14"/>
  <c r="L1153" i="14"/>
  <c r="K1151" i="14"/>
  <c r="L1151" i="14"/>
  <c r="K1149" i="14"/>
  <c r="L1149" i="14"/>
  <c r="L1088" i="14"/>
  <c r="L1094" i="14"/>
  <c r="L1104" i="14"/>
  <c r="L1120" i="14"/>
  <c r="L1121" i="14"/>
  <c r="L1123" i="14"/>
  <c r="L1124" i="14"/>
  <c r="L1125" i="14"/>
  <c r="L1126" i="14"/>
  <c r="L1127" i="14"/>
  <c r="L1128" i="14"/>
  <c r="L1129" i="14"/>
  <c r="L1130" i="14"/>
  <c r="L1131" i="14"/>
  <c r="L1132" i="14"/>
  <c r="L1133" i="14"/>
  <c r="L1134" i="14"/>
  <c r="L1135" i="14"/>
  <c r="L1136" i="14"/>
  <c r="L1137" i="14"/>
  <c r="L1138" i="14"/>
  <c r="L1139" i="14"/>
  <c r="L1140" i="14"/>
  <c r="L1142" i="14"/>
  <c r="L1146" i="14"/>
  <c r="L1148" i="14"/>
  <c r="L1152" i="14"/>
  <c r="L1154" i="14"/>
  <c r="L1156" i="14"/>
  <c r="L1158" i="14"/>
  <c r="L1162" i="14"/>
  <c r="L1164" i="14"/>
  <c r="L1168" i="14"/>
  <c r="L952" i="14" l="1"/>
  <c r="K952" i="14"/>
  <c r="L887" i="14"/>
  <c r="K887" i="14"/>
  <c r="L846" i="14"/>
  <c r="K846" i="14"/>
  <c r="L1087" i="14"/>
  <c r="L891" i="14"/>
  <c r="L782" i="14"/>
  <c r="L1145" i="14"/>
  <c r="K801" i="14"/>
  <c r="L786" i="14"/>
  <c r="L928" i="14"/>
  <c r="K997" i="14"/>
  <c r="L378" i="14"/>
  <c r="K727" i="14"/>
  <c r="L970" i="14"/>
  <c r="K845" i="14"/>
  <c r="K368" i="14"/>
  <c r="K699" i="14"/>
  <c r="L794" i="14"/>
  <c r="L804" i="14"/>
  <c r="L669" i="14"/>
  <c r="K661" i="14"/>
  <c r="L1174" i="14"/>
  <c r="L374" i="14"/>
  <c r="L858" i="14"/>
  <c r="L1073" i="14"/>
  <c r="K687" i="14"/>
  <c r="L721" i="14"/>
  <c r="K974" i="14"/>
  <c r="L860" i="14"/>
  <c r="L371" i="14"/>
  <c r="K954" i="14"/>
  <c r="L783" i="14"/>
  <c r="K796" i="14"/>
  <c r="L704" i="14"/>
  <c r="K940" i="14"/>
  <c r="L680" i="14"/>
  <c r="K684" i="14"/>
  <c r="K639" i="14"/>
  <c r="K735" i="14"/>
  <c r="K765" i="14"/>
  <c r="L798" i="14"/>
  <c r="K865" i="14"/>
  <c r="L865" i="14"/>
  <c r="K746" i="14"/>
  <c r="L746" i="14"/>
  <c r="K807" i="14"/>
  <c r="L807" i="14"/>
  <c r="L369" i="14"/>
  <c r="K369" i="14"/>
  <c r="L761" i="14"/>
  <c r="K761" i="14"/>
  <c r="K670" i="14"/>
  <c r="L670" i="14"/>
  <c r="K915" i="14"/>
  <c r="L915" i="14"/>
  <c r="L769" i="14"/>
  <c r="K769" i="14"/>
  <c r="L717" i="14"/>
  <c r="K717" i="14"/>
  <c r="K772" i="14"/>
  <c r="L772" i="14"/>
  <c r="K710" i="14"/>
  <c r="L710" i="14"/>
  <c r="K983" i="14"/>
  <c r="L983" i="14"/>
  <c r="K866" i="14"/>
  <c r="L866" i="14"/>
  <c r="K900" i="14"/>
  <c r="L900" i="14"/>
  <c r="K365" i="14"/>
  <c r="L365" i="14"/>
  <c r="K729" i="14"/>
  <c r="L729" i="14"/>
  <c r="L622" i="14"/>
  <c r="K622" i="14"/>
  <c r="L625" i="14"/>
  <c r="K625" i="14"/>
  <c r="L748" i="14"/>
  <c r="K748" i="14"/>
  <c r="K977" i="14"/>
  <c r="L977" i="14"/>
  <c r="L686" i="14"/>
  <c r="K686" i="14"/>
  <c r="L738" i="14"/>
  <c r="K738" i="14"/>
  <c r="L809" i="14"/>
  <c r="K809" i="14"/>
  <c r="K693" i="14"/>
  <c r="L693" i="14"/>
  <c r="L847" i="14"/>
  <c r="K847" i="14"/>
  <c r="K627" i="14"/>
  <c r="L627" i="14"/>
  <c r="L668" i="14"/>
  <c r="K668" i="14"/>
  <c r="K922" i="14"/>
  <c r="L922" i="14"/>
  <c r="K703" i="14"/>
  <c r="L703" i="14"/>
  <c r="K927" i="14"/>
  <c r="L927" i="14"/>
  <c r="L848" i="14"/>
  <c r="K848" i="14"/>
  <c r="K754" i="14"/>
  <c r="L754" i="14"/>
  <c r="K784" i="14"/>
  <c r="L784" i="14"/>
  <c r="L366" i="14"/>
  <c r="K366" i="14"/>
  <c r="K644" i="14"/>
  <c r="L644" i="14"/>
  <c r="K871" i="14"/>
  <c r="L871" i="14"/>
  <c r="K767" i="14"/>
  <c r="L767" i="14"/>
  <c r="L994" i="14"/>
  <c r="K994" i="14"/>
  <c r="L817" i="14"/>
  <c r="K817" i="14"/>
  <c r="L681" i="14"/>
  <c r="K681" i="14"/>
  <c r="K760" i="14"/>
  <c r="L760" i="14"/>
  <c r="L732" i="14"/>
  <c r="K732" i="14"/>
  <c r="K886" i="14"/>
  <c r="L944" i="14"/>
  <c r="K803" i="14"/>
  <c r="L803" i="14"/>
  <c r="L756" i="14"/>
  <c r="K756" i="14"/>
  <c r="L805" i="14"/>
  <c r="K805" i="14"/>
  <c r="K749" i="14"/>
  <c r="L749" i="14"/>
  <c r="L1074" i="14"/>
  <c r="L800" i="14"/>
  <c r="K676" i="14"/>
  <c r="L377" i="14"/>
  <c r="K692" i="14"/>
  <c r="L812" i="14"/>
  <c r="L712" i="14"/>
  <c r="K712" i="14"/>
  <c r="L837" i="14"/>
  <c r="K837" i="14"/>
  <c r="L643" i="14"/>
  <c r="K643" i="14"/>
  <c r="L904" i="14"/>
  <c r="K904" i="14"/>
  <c r="K820" i="14"/>
  <c r="L820" i="14"/>
  <c r="K715" i="14"/>
  <c r="L715" i="14"/>
  <c r="B28" i="29"/>
  <c r="L38" i="29" s="1"/>
  <c r="M38" i="29" s="1"/>
  <c r="K671" i="14"/>
  <c r="L671" i="14"/>
  <c r="L673" i="14"/>
  <c r="K673" i="14"/>
  <c r="K698" i="14"/>
  <c r="K719" i="14"/>
  <c r="K656" i="14"/>
  <c r="K370" i="14"/>
  <c r="L370" i="14"/>
  <c r="K885" i="14"/>
  <c r="L885" i="14"/>
  <c r="K810" i="14"/>
  <c r="L810" i="14"/>
  <c r="L628" i="14"/>
  <c r="K628" i="14"/>
  <c r="L764" i="14"/>
  <c r="K764" i="14"/>
  <c r="L380" i="14"/>
  <c r="L737" i="14"/>
  <c r="K683" i="14"/>
  <c r="K834" i="14"/>
  <c r="K850" i="14"/>
  <c r="K973" i="14"/>
  <c r="L660" i="14"/>
  <c r="K773" i="14"/>
  <c r="L773" i="14"/>
  <c r="K775" i="14"/>
  <c r="L775" i="14"/>
  <c r="K916" i="14"/>
  <c r="L916" i="14"/>
  <c r="L895" i="14"/>
  <c r="K790" i="14"/>
  <c r="K838" i="14"/>
  <c r="L838" i="14"/>
  <c r="L706" i="14"/>
  <c r="K733" i="14"/>
  <c r="K792" i="14"/>
  <c r="L792" i="14"/>
  <c r="K654" i="14"/>
  <c r="L654" i="14"/>
  <c r="K700" i="14"/>
  <c r="L700" i="14"/>
  <c r="L985" i="14"/>
  <c r="K985" i="14"/>
  <c r="K993" i="14"/>
  <c r="K725" i="14"/>
  <c r="L991" i="14"/>
  <c r="K941" i="14"/>
  <c r="L879" i="14"/>
  <c r="K745" i="14"/>
  <c r="L652" i="14"/>
  <c r="K652" i="14"/>
  <c r="L757" i="14"/>
  <c r="K757" i="14"/>
  <c r="K675" i="14"/>
  <c r="L675" i="14"/>
  <c r="L787" i="14"/>
  <c r="K787" i="14"/>
  <c r="K582" i="14"/>
  <c r="L582" i="14"/>
  <c r="L771" i="14"/>
  <c r="K771" i="14"/>
  <c r="L946" i="14"/>
  <c r="K946" i="14"/>
  <c r="K696" i="14"/>
  <c r="L696" i="14"/>
  <c r="K375" i="14"/>
  <c r="L375" i="14"/>
  <c r="K759" i="14"/>
  <c r="L759" i="14"/>
  <c r="L679" i="14"/>
  <c r="K679" i="14"/>
  <c r="L688" i="14"/>
  <c r="K688" i="14"/>
  <c r="L869" i="14"/>
  <c r="K869" i="14"/>
  <c r="K763" i="14"/>
  <c r="L763" i="14"/>
  <c r="K376" i="14"/>
  <c r="K664" i="14"/>
  <c r="K367" i="14"/>
  <c r="L367" i="14"/>
  <c r="L857" i="14"/>
  <c r="K857" i="14"/>
  <c r="K722" i="14"/>
  <c r="K981" i="14"/>
  <c r="L785" i="14"/>
  <c r="K1108" i="14"/>
  <c r="L1108" i="14"/>
  <c r="K890" i="14"/>
  <c r="L890" i="14"/>
  <c r="K633" i="14"/>
  <c r="L633" i="14"/>
  <c r="K677" i="14"/>
  <c r="L677" i="14"/>
  <c r="K1037" i="14"/>
  <c r="L743" i="14"/>
  <c r="K690" i="14"/>
  <c r="K685" i="14"/>
  <c r="K709" i="14"/>
  <c r="K1032" i="14"/>
  <c r="L1171" i="14"/>
  <c r="L914" i="14"/>
  <c r="K711" i="14"/>
  <c r="L1186" i="14"/>
  <c r="K1186" i="14"/>
  <c r="K762" i="14"/>
  <c r="K657" i="14"/>
  <c r="L657" i="14"/>
  <c r="K864" i="14"/>
  <c r="L864" i="14"/>
  <c r="L658" i="14"/>
  <c r="K658" i="14"/>
  <c r="K750" i="14"/>
  <c r="L750" i="14"/>
  <c r="K911" i="14"/>
  <c r="L911" i="14"/>
  <c r="L815" i="14"/>
  <c r="K815" i="14"/>
  <c r="L1177" i="14"/>
  <c r="L1016" i="14"/>
  <c r="L1012" i="14"/>
  <c r="L1084" i="14"/>
  <c r="K1188" i="14"/>
  <c r="K1045" i="14"/>
  <c r="K1043" i="14"/>
  <c r="K1038" i="14"/>
  <c r="L1176" i="14"/>
  <c r="L1119" i="14"/>
  <c r="L903" i="14"/>
  <c r="K1173" i="14"/>
  <c r="L1011" i="14"/>
  <c r="L1144" i="14"/>
  <c r="L1083" i="14"/>
  <c r="L1175" i="14"/>
  <c r="L1005" i="14"/>
  <c r="L1143" i="14"/>
  <c r="L1082" i="14"/>
  <c r="K1008" i="14"/>
  <c r="K1050" i="14"/>
  <c r="L1141" i="14"/>
  <c r="L1017" i="14"/>
  <c r="K1048" i="14"/>
  <c r="L1150" i="14"/>
  <c r="L1178" i="14"/>
  <c r="K1047" i="14"/>
  <c r="L1013" i="14"/>
  <c r="L1085" i="14"/>
  <c r="L1066" i="14"/>
  <c r="K1061" i="14"/>
  <c r="K1192" i="14"/>
  <c r="L1106" i="14"/>
  <c r="L1161" i="14"/>
  <c r="K1025" i="14"/>
  <c r="L1170" i="14"/>
  <c r="L1147" i="14"/>
  <c r="K1022" i="14"/>
  <c r="L1191" i="14"/>
  <c r="L1078" i="14"/>
  <c r="L1098" i="14"/>
  <c r="L1166" i="14"/>
  <c r="L1122" i="14"/>
  <c r="L1093" i="14"/>
  <c r="L1077" i="14"/>
  <c r="L1167" i="14"/>
  <c r="L937" i="14"/>
  <c r="L18" i="29"/>
  <c r="M18" i="29" s="1"/>
  <c r="K1059" i="14"/>
  <c r="K1033" i="14"/>
  <c r="L1172" i="14"/>
  <c r="L1109" i="14"/>
  <c r="L1065" i="14"/>
  <c r="L1105" i="14"/>
  <c r="L14" i="29"/>
  <c r="M14" i="29" s="1"/>
  <c r="K1185" i="14"/>
  <c r="L1072" i="14"/>
  <c r="L907" i="14"/>
  <c r="K1026" i="14"/>
  <c r="L1009" i="14"/>
  <c r="L1100" i="14"/>
  <c r="L1165" i="14"/>
  <c r="K1031" i="14"/>
  <c r="K1007" i="14"/>
  <c r="K1028" i="14"/>
  <c r="L1071" i="14"/>
  <c r="K1062" i="14"/>
  <c r="K1023" i="14"/>
  <c r="L1160" i="14"/>
  <c r="L1099" i="14"/>
  <c r="L1070" i="14"/>
  <c r="L8" i="29"/>
  <c r="M8" i="29" s="1"/>
  <c r="K1206" i="14"/>
  <c r="M1206" i="14"/>
  <c r="L1206" i="14"/>
  <c r="M1201" i="14"/>
  <c r="K1201" i="14"/>
  <c r="L1201" i="14"/>
  <c r="K1204" i="14"/>
  <c r="M1204" i="14"/>
  <c r="L1204" i="14"/>
  <c r="M1208" i="14"/>
  <c r="L1208" i="14"/>
  <c r="K1208" i="14"/>
  <c r="M1211" i="14"/>
  <c r="K1211" i="14"/>
  <c r="L1211" i="14"/>
  <c r="M1216" i="14"/>
  <c r="L1216" i="14"/>
  <c r="K1216" i="14"/>
  <c r="M1214" i="14"/>
  <c r="L1214" i="14"/>
  <c r="K1214" i="14"/>
  <c r="M1219" i="14"/>
  <c r="L1219" i="14"/>
  <c r="K1219" i="14"/>
  <c r="M1218" i="14"/>
  <c r="L1218" i="14"/>
  <c r="K1218" i="14"/>
  <c r="L851" i="14"/>
  <c r="K851" i="14"/>
  <c r="L832" i="14"/>
  <c r="K832" i="14"/>
  <c r="K1207" i="14"/>
  <c r="M1207" i="14"/>
  <c r="L1207" i="14"/>
  <c r="K1203" i="14"/>
  <c r="M1203" i="14"/>
  <c r="L1203" i="14"/>
  <c r="L1205" i="14"/>
  <c r="M1205" i="14"/>
  <c r="K1205" i="14"/>
  <c r="K1202" i="14"/>
  <c r="M1202" i="14"/>
  <c r="L1202" i="14"/>
  <c r="M1209" i="14"/>
  <c r="K1209" i="14"/>
  <c r="L1209" i="14"/>
  <c r="K1210" i="14"/>
  <c r="M1210" i="14"/>
  <c r="L1210" i="14"/>
  <c r="M1215" i="14"/>
  <c r="K1215" i="14"/>
  <c r="L1215" i="14"/>
  <c r="M1213" i="14"/>
  <c r="L1213" i="14"/>
  <c r="K1213" i="14"/>
  <c r="M1217" i="14"/>
  <c r="L1217" i="14"/>
  <c r="K1217" i="14"/>
  <c r="M1212" i="14"/>
  <c r="K1212" i="14"/>
  <c r="L1212" i="14"/>
  <c r="L874" i="14"/>
  <c r="K874" i="14"/>
  <c r="K825" i="14"/>
  <c r="L825" i="14"/>
  <c r="C61" i="34"/>
  <c r="D60" i="34"/>
  <c r="K707" i="14"/>
  <c r="L707" i="14"/>
  <c r="L3" i="29" l="1"/>
  <c r="M3" i="29" s="1"/>
  <c r="L26" i="29"/>
  <c r="M26" i="29" s="1"/>
  <c r="L16" i="29"/>
  <c r="M16" i="29" s="1"/>
  <c r="L4" i="29"/>
  <c r="M4" i="29" s="1"/>
  <c r="L11" i="29"/>
  <c r="M11" i="29" s="1"/>
  <c r="L6" i="29"/>
  <c r="M6" i="29" s="1"/>
  <c r="L12" i="29"/>
  <c r="M12" i="29" s="1"/>
  <c r="L31" i="29"/>
  <c r="M31" i="29" s="1"/>
  <c r="L32" i="29"/>
  <c r="M32" i="29" s="1"/>
  <c r="L35" i="29"/>
  <c r="M35" i="29" s="1"/>
  <c r="L10" i="29"/>
  <c r="M10" i="29" s="1"/>
  <c r="L20" i="29"/>
  <c r="M20" i="29" s="1"/>
  <c r="L24" i="29"/>
  <c r="M24" i="29" s="1"/>
  <c r="L21" i="29"/>
  <c r="M21" i="29" s="1"/>
  <c r="L44" i="29"/>
  <c r="M44" i="29" s="1"/>
  <c r="L19" i="29"/>
  <c r="M19" i="29" s="1"/>
  <c r="L33" i="29"/>
  <c r="M33" i="29" s="1"/>
  <c r="L42" i="29"/>
  <c r="M42" i="29" s="1"/>
  <c r="L45" i="29"/>
  <c r="M45" i="29" s="1"/>
  <c r="L29" i="29"/>
  <c r="M29" i="29" s="1"/>
  <c r="L30" i="29"/>
  <c r="M30" i="29" s="1"/>
  <c r="L25" i="29"/>
  <c r="M25" i="29" s="1"/>
  <c r="L27" i="29"/>
  <c r="M27" i="29" s="1"/>
  <c r="B30" i="29"/>
  <c r="B31" i="29" s="1"/>
  <c r="L37" i="29"/>
  <c r="M37" i="29" s="1"/>
  <c r="L39" i="29"/>
  <c r="M39" i="29" s="1"/>
  <c r="L43" i="29"/>
  <c r="M43" i="29" s="1"/>
  <c r="L41" i="29"/>
  <c r="M41" i="29" s="1"/>
  <c r="L7" i="29"/>
  <c r="M7" i="29" s="1"/>
  <c r="L9" i="29"/>
  <c r="M9" i="29" s="1"/>
  <c r="L15" i="29"/>
  <c r="M15" i="29" s="1"/>
  <c r="L13" i="29"/>
  <c r="M13" i="29" s="1"/>
  <c r="L46" i="29"/>
  <c r="M46" i="29" s="1"/>
  <c r="L40" i="29"/>
  <c r="M40" i="29" s="1"/>
  <c r="L22" i="29"/>
  <c r="M22" i="29" s="1"/>
  <c r="L36" i="29"/>
  <c r="M36" i="29" s="1"/>
  <c r="L23" i="29"/>
  <c r="M23" i="29" s="1"/>
  <c r="L28" i="29"/>
  <c r="M28" i="29" s="1"/>
  <c r="L34" i="29"/>
  <c r="M34" i="29" s="1"/>
  <c r="L5" i="29"/>
  <c r="M5" i="29" s="1"/>
  <c r="L17" i="29"/>
  <c r="M17" i="29" s="1"/>
  <c r="C62" i="34"/>
  <c r="D62" i="34" s="1"/>
  <c r="C63" i="34"/>
  <c r="D63" i="34" s="1"/>
  <c r="C65" i="34"/>
  <c r="D65" i="34" s="1"/>
  <c r="C67" i="34"/>
  <c r="D67" i="34" s="1"/>
  <c r="C69" i="34"/>
  <c r="D69" i="34" s="1"/>
  <c r="C71" i="34"/>
  <c r="D71" i="34" s="1"/>
  <c r="C73" i="34"/>
  <c r="D73" i="34" s="1"/>
  <c r="C75" i="34"/>
  <c r="D75" i="34" s="1"/>
  <c r="C77" i="34"/>
  <c r="D77" i="34" s="1"/>
  <c r="C79" i="34"/>
  <c r="C64" i="34"/>
  <c r="D64" i="34" s="1"/>
  <c r="C66" i="34"/>
  <c r="D66" i="34" s="1"/>
  <c r="C68" i="34"/>
  <c r="D68" i="34" s="1"/>
  <c r="C70" i="34"/>
  <c r="D70" i="34" s="1"/>
  <c r="C72" i="34"/>
  <c r="D72" i="34" s="1"/>
  <c r="C74" i="34"/>
  <c r="D74" i="34" s="1"/>
  <c r="C76" i="34"/>
  <c r="D76" i="34" s="1"/>
  <c r="C78" i="34"/>
  <c r="D78" i="34" s="1"/>
  <c r="D61" i="34"/>
  <c r="D79" i="34" l="1"/>
  <c r="C80" i="34"/>
  <c r="D80" i="34" l="1"/>
  <c r="C81" i="34"/>
  <c r="D81" i="34" s="1"/>
  <c r="C82" i="34"/>
  <c r="D82" i="34" s="1"/>
  <c r="C83" i="34"/>
  <c r="D83" i="34" s="1"/>
  <c r="C84" i="34"/>
  <c r="D84" i="34" s="1"/>
  <c r="C85" i="34"/>
  <c r="D85" i="34" s="1"/>
  <c r="C86" i="34"/>
  <c r="D86" i="34" s="1"/>
  <c r="C87" i="34"/>
  <c r="D87" i="34" s="1"/>
  <c r="C88" i="34"/>
  <c r="D88" i="34" s="1"/>
  <c r="C89" i="34"/>
  <c r="D89" i="34" s="1"/>
  <c r="C90" i="34"/>
  <c r="D90" i="34" s="1"/>
  <c r="C91" i="34"/>
  <c r="D91" i="34" s="1"/>
  <c r="C92" i="34"/>
  <c r="D92" i="34" s="1"/>
  <c r="C93" i="34"/>
  <c r="D93" i="34" s="1"/>
  <c r="C94" i="34"/>
  <c r="D94" i="34" s="1"/>
  <c r="C95" i="34"/>
  <c r="D95" i="34" s="1"/>
  <c r="C96" i="34"/>
  <c r="D96" i="34" s="1"/>
  <c r="C97" i="34"/>
  <c r="D97" i="34" s="1"/>
  <c r="C98" i="34"/>
  <c r="C99" i="34" l="1"/>
  <c r="D98" i="34"/>
  <c r="C100" i="34" l="1"/>
  <c r="D100" i="34" s="1"/>
  <c r="C101" i="34"/>
  <c r="D101" i="34" s="1"/>
  <c r="C103" i="34"/>
  <c r="D103" i="34" s="1"/>
  <c r="C105" i="34"/>
  <c r="D105" i="34" s="1"/>
  <c r="C107" i="34"/>
  <c r="D107" i="34" s="1"/>
  <c r="C109" i="34"/>
  <c r="D109" i="34" s="1"/>
  <c r="C111" i="34"/>
  <c r="D111" i="34" s="1"/>
  <c r="C113" i="34"/>
  <c r="D113" i="34" s="1"/>
  <c r="C115" i="34"/>
  <c r="D115" i="34" s="1"/>
  <c r="C117" i="34"/>
  <c r="C102" i="34"/>
  <c r="D102" i="34" s="1"/>
  <c r="C104" i="34"/>
  <c r="D104" i="34" s="1"/>
  <c r="C106" i="34"/>
  <c r="D106" i="34" s="1"/>
  <c r="C108" i="34"/>
  <c r="D108" i="34" s="1"/>
  <c r="C110" i="34"/>
  <c r="D110" i="34" s="1"/>
  <c r="C112" i="34"/>
  <c r="D112" i="34" s="1"/>
  <c r="C114" i="34"/>
  <c r="D114" i="34" s="1"/>
  <c r="C116" i="34"/>
  <c r="D116" i="34" s="1"/>
  <c r="D99" i="34"/>
  <c r="D117" i="34" l="1"/>
  <c r="C118" i="34"/>
  <c r="D118" i="34" l="1"/>
  <c r="C120" i="34"/>
  <c r="D120" i="34" s="1"/>
  <c r="C121" i="34"/>
  <c r="D121" i="34" s="1"/>
  <c r="C122" i="34"/>
  <c r="D122" i="34" s="1"/>
  <c r="C123" i="34"/>
  <c r="D123" i="34" s="1"/>
  <c r="C124" i="34"/>
  <c r="D124" i="34" s="1"/>
  <c r="C125" i="34"/>
  <c r="D125" i="34" s="1"/>
  <c r="C126" i="34"/>
  <c r="D126" i="34" s="1"/>
  <c r="C127" i="34"/>
  <c r="D127" i="34" s="1"/>
  <c r="C128" i="34"/>
  <c r="D128" i="34" s="1"/>
  <c r="C129" i="34"/>
  <c r="D129" i="34" s="1"/>
  <c r="C130" i="34"/>
  <c r="D130" i="34" s="1"/>
  <c r="C131" i="34"/>
  <c r="D131" i="34" s="1"/>
  <c r="C132" i="34"/>
  <c r="D132" i="34" s="1"/>
  <c r="C133" i="34"/>
  <c r="D133" i="34" s="1"/>
  <c r="C134" i="34"/>
  <c r="D134" i="34" s="1"/>
  <c r="C135" i="34"/>
  <c r="D135" i="34" s="1"/>
  <c r="C136" i="34"/>
  <c r="C119" i="34"/>
  <c r="D119" i="34" s="1"/>
  <c r="C137" i="34" l="1"/>
  <c r="D136" i="34"/>
  <c r="C138" i="34" l="1"/>
  <c r="D138" i="34" s="1"/>
  <c r="C139" i="34"/>
  <c r="D139" i="34" s="1"/>
  <c r="C143" i="34"/>
  <c r="D143" i="34" s="1"/>
  <c r="C147" i="34"/>
  <c r="D147" i="34" s="1"/>
  <c r="C151" i="34"/>
  <c r="D151" i="34" s="1"/>
  <c r="C155" i="34"/>
  <c r="C142" i="34"/>
  <c r="D142" i="34" s="1"/>
  <c r="C146" i="34"/>
  <c r="D146" i="34" s="1"/>
  <c r="C150" i="34"/>
  <c r="D150" i="34" s="1"/>
  <c r="C154" i="34"/>
  <c r="D154" i="34" s="1"/>
  <c r="D137" i="34"/>
  <c r="C141" i="34"/>
  <c r="D141" i="34" s="1"/>
  <c r="C145" i="34"/>
  <c r="D145" i="34" s="1"/>
  <c r="C149" i="34"/>
  <c r="D149" i="34" s="1"/>
  <c r="C153" i="34"/>
  <c r="D153" i="34" s="1"/>
  <c r="C140" i="34"/>
  <c r="D140" i="34" s="1"/>
  <c r="C144" i="34"/>
  <c r="D144" i="34" s="1"/>
  <c r="C148" i="34"/>
  <c r="D148" i="34" s="1"/>
  <c r="C152" i="34"/>
  <c r="D152" i="34" s="1"/>
  <c r="C156" i="34" l="1"/>
  <c r="D155" i="34"/>
  <c r="D156" i="34" l="1"/>
  <c r="C158" i="34"/>
  <c r="D158" i="34" s="1"/>
  <c r="C159" i="34"/>
  <c r="D159" i="34" s="1"/>
  <c r="C160" i="34"/>
  <c r="D160" i="34" s="1"/>
  <c r="C161" i="34"/>
  <c r="D161" i="34" s="1"/>
  <c r="C162" i="34"/>
  <c r="D162" i="34" s="1"/>
  <c r="C163" i="34"/>
  <c r="D163" i="34" s="1"/>
  <c r="C164" i="34"/>
  <c r="D164" i="34" s="1"/>
  <c r="C165" i="34"/>
  <c r="D165" i="34" s="1"/>
  <c r="C166" i="34"/>
  <c r="D166" i="34" s="1"/>
  <c r="C167" i="34"/>
  <c r="D167" i="34" s="1"/>
  <c r="C168" i="34"/>
  <c r="D168" i="34" s="1"/>
  <c r="C169" i="34"/>
  <c r="D169" i="34" s="1"/>
  <c r="C170" i="34"/>
  <c r="D170" i="34" s="1"/>
  <c r="C171" i="34"/>
  <c r="D171" i="34" s="1"/>
  <c r="C172" i="34"/>
  <c r="D172" i="34" s="1"/>
  <c r="C173" i="34"/>
  <c r="D173" i="34" s="1"/>
  <c r="C174" i="34"/>
  <c r="C157" i="34"/>
  <c r="D157" i="34" s="1"/>
  <c r="C175" i="34" l="1"/>
  <c r="D174" i="34"/>
  <c r="C177" i="34" l="1"/>
  <c r="D177" i="34" s="1"/>
  <c r="C181" i="34"/>
  <c r="D181" i="34" s="1"/>
  <c r="C185" i="34"/>
  <c r="D185" i="34" s="1"/>
  <c r="C189" i="34"/>
  <c r="D189" i="34" s="1"/>
  <c r="C193" i="34"/>
  <c r="C180" i="34"/>
  <c r="D180" i="34" s="1"/>
  <c r="C184" i="34"/>
  <c r="D184" i="34" s="1"/>
  <c r="C188" i="34"/>
  <c r="D188" i="34" s="1"/>
  <c r="C192" i="34"/>
  <c r="D192" i="34" s="1"/>
  <c r="D175" i="34"/>
  <c r="C176" i="34"/>
  <c r="D176" i="34" s="1"/>
  <c r="C179" i="34"/>
  <c r="D179" i="34" s="1"/>
  <c r="C183" i="34"/>
  <c r="D183" i="34" s="1"/>
  <c r="C187" i="34"/>
  <c r="D187" i="34" s="1"/>
  <c r="C191" i="34"/>
  <c r="D191" i="34" s="1"/>
  <c r="C178" i="34"/>
  <c r="D178" i="34" s="1"/>
  <c r="C182" i="34"/>
  <c r="D182" i="34" s="1"/>
  <c r="C186" i="34"/>
  <c r="D186" i="34" s="1"/>
  <c r="C190" i="34"/>
  <c r="D190" i="34" s="1"/>
  <c r="C194" i="34" l="1"/>
  <c r="D193" i="34"/>
  <c r="D194" i="34" l="1"/>
  <c r="C195" i="34"/>
  <c r="D195" i="34" s="1"/>
  <c r="C196" i="34"/>
  <c r="D196" i="34" s="1"/>
  <c r="C197" i="34"/>
  <c r="D197" i="34" s="1"/>
  <c r="C198" i="34"/>
  <c r="D198" i="34" s="1"/>
  <c r="C199" i="34"/>
  <c r="D199" i="34" s="1"/>
  <c r="C200" i="34"/>
  <c r="D200" i="34" s="1"/>
  <c r="C201" i="34"/>
  <c r="D201" i="34" s="1"/>
  <c r="C202" i="34"/>
  <c r="D202" i="34" s="1"/>
  <c r="C203" i="34"/>
  <c r="D203" i="34" s="1"/>
  <c r="C204" i="34"/>
  <c r="D204" i="34" s="1"/>
  <c r="C205" i="34"/>
  <c r="D205" i="34" s="1"/>
  <c r="C206" i="34"/>
  <c r="D206" i="34" s="1"/>
  <c r="C207" i="34"/>
  <c r="D207" i="34" s="1"/>
  <c r="C208" i="34"/>
  <c r="D208" i="34" s="1"/>
  <c r="C209" i="34"/>
  <c r="D209" i="34" s="1"/>
  <c r="C210" i="34"/>
  <c r="D210" i="34" s="1"/>
  <c r="C211" i="34"/>
  <c r="D211" i="34" s="1"/>
  <c r="C212" i="34"/>
  <c r="D212" i="34" l="1"/>
  <c r="C213" i="34"/>
  <c r="C214" i="34" l="1"/>
  <c r="D214" i="34" s="1"/>
  <c r="C217" i="34"/>
  <c r="D217" i="34" s="1"/>
  <c r="C221" i="34"/>
  <c r="D221" i="34" s="1"/>
  <c r="C225" i="34"/>
  <c r="D225" i="34" s="1"/>
  <c r="C229" i="34"/>
  <c r="D229" i="34" s="1"/>
  <c r="C216" i="34"/>
  <c r="D216" i="34" s="1"/>
  <c r="C220" i="34"/>
  <c r="D220" i="34" s="1"/>
  <c r="C224" i="34"/>
  <c r="D224" i="34" s="1"/>
  <c r="C228" i="34"/>
  <c r="D228" i="34" s="1"/>
  <c r="D213" i="34"/>
  <c r="C215" i="34"/>
  <c r="D215" i="34" s="1"/>
  <c r="C219" i="34"/>
  <c r="D219" i="34" s="1"/>
  <c r="C223" i="34"/>
  <c r="D223" i="34" s="1"/>
  <c r="C227" i="34"/>
  <c r="D227" i="34" s="1"/>
  <c r="C231" i="34"/>
  <c r="C218" i="34"/>
  <c r="D218" i="34" s="1"/>
  <c r="C222" i="34"/>
  <c r="D222" i="34" s="1"/>
  <c r="C226" i="34"/>
  <c r="D226" i="34" s="1"/>
  <c r="C230" i="34"/>
  <c r="D230" i="34" s="1"/>
  <c r="D231" i="34" l="1"/>
  <c r="C232" i="34"/>
  <c r="C233" i="34" l="1"/>
  <c r="D233" i="34" s="1"/>
  <c r="D232" i="34"/>
</calcChain>
</file>

<file path=xl/comments1.xml><?xml version="1.0" encoding="utf-8"?>
<comments xmlns="http://schemas.openxmlformats.org/spreadsheetml/2006/main">
  <authors>
    <author>tl</author>
    <author>S.C.R. - Sibelco</author>
    <author>Tonny Lemmens</author>
    <author>S.C.R. - SIBELCO</author>
    <author>Mr. Antonnio</author>
    <author xml:space="preserve"> </author>
  </authors>
  <commentList>
    <comment ref="B332" authorId="0">
      <text>
        <r>
          <rPr>
            <b/>
            <sz val="12"/>
            <color indexed="81"/>
            <rFont val="Tahoma"/>
            <family val="2"/>
          </rPr>
          <t>vermoedelijke afstand</t>
        </r>
      </text>
    </comment>
    <comment ref="H349" authorId="0">
      <text>
        <r>
          <rPr>
            <b/>
            <sz val="12"/>
            <color indexed="81"/>
            <rFont val="Tahoma"/>
            <family val="2"/>
          </rPr>
          <t>1ste Vabco training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351" authorId="0">
      <text>
        <r>
          <rPr>
            <sz val="10"/>
            <color indexed="81"/>
            <rFont val="Tahoma"/>
            <family val="2"/>
          </rPr>
          <t>Geschatte afstand adv HS</t>
        </r>
      </text>
    </comment>
    <comment ref="B409" authorId="1">
      <text>
        <r>
          <rPr>
            <b/>
            <sz val="10"/>
            <color indexed="81"/>
            <rFont val="Tahoma"/>
            <family val="2"/>
          </rPr>
          <t>Geschatte afstand adv HS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416" authorId="2">
      <text>
        <r>
          <rPr>
            <b/>
            <sz val="8"/>
            <color indexed="81"/>
            <rFont val="Tahoma"/>
          </rPr>
          <t>Tonny Lemmens:</t>
        </r>
        <r>
          <rPr>
            <sz val="8"/>
            <color indexed="81"/>
            <rFont val="Tahoma"/>
          </rPr>
          <t xml:space="preserve">
Geschatte kilometers</t>
        </r>
      </text>
    </comment>
    <comment ref="B417" authorId="2">
      <text>
        <r>
          <rPr>
            <b/>
            <sz val="8"/>
            <color indexed="81"/>
            <rFont val="Tahoma"/>
          </rPr>
          <t>Tonny Lemmens:</t>
        </r>
        <r>
          <rPr>
            <sz val="8"/>
            <color indexed="81"/>
            <rFont val="Tahoma"/>
          </rPr>
          <t xml:space="preserve">
geschatte kmrs</t>
        </r>
      </text>
    </comment>
    <comment ref="B441" authorId="2">
      <text>
        <r>
          <rPr>
            <b/>
            <sz val="8"/>
            <color indexed="81"/>
            <rFont val="Tahoma"/>
          </rPr>
          <t>Tonny Lemmens:</t>
        </r>
        <r>
          <rPr>
            <sz val="8"/>
            <color indexed="81"/>
            <rFont val="Tahoma"/>
          </rPr>
          <t xml:space="preserve">
geschatte afstand</t>
        </r>
      </text>
    </comment>
    <comment ref="H518" authorId="2">
      <text>
        <r>
          <rPr>
            <sz val="11"/>
            <color indexed="81"/>
            <rFont val="Tahoma"/>
            <family val="2"/>
          </rPr>
          <t>500: 1'25" / R1'30"
1000: 3'03" / R3'00"
1500: 4'34" / R4'00"
1000: 3'01" / R3'00"
1000: 2'59" / R3'00"
500: 1'22"</t>
        </r>
      </text>
    </comment>
    <comment ref="H525" authorId="2">
      <text>
        <r>
          <rPr>
            <sz val="11"/>
            <color indexed="81"/>
            <rFont val="Tahoma"/>
            <family val="2"/>
          </rPr>
          <t>3000: 6'22" / R4'
3000: 6'15" / R4'
1000: 3'03" / R2'30"
1000: 3'00" / R2'30"
1000: 3'01"</t>
        </r>
      </text>
    </comment>
    <comment ref="B527" authorId="2">
      <text>
        <r>
          <rPr>
            <b/>
            <sz val="8"/>
            <color indexed="81"/>
            <rFont val="Tahoma"/>
          </rPr>
          <t>Tonny Lemmens:</t>
        </r>
        <r>
          <rPr>
            <sz val="8"/>
            <color indexed="81"/>
            <rFont val="Tahoma"/>
          </rPr>
          <t xml:space="preserve">
geschatte afstand</t>
        </r>
      </text>
    </comment>
    <comment ref="H532" authorId="2">
      <text>
        <r>
          <rPr>
            <sz val="12"/>
            <color indexed="81"/>
            <rFont val="Tahoma"/>
            <family val="2"/>
          </rPr>
          <t>4 x 2000: 4'22" / R 4'</t>
        </r>
      </text>
    </comment>
    <comment ref="D538" authorId="2">
      <text>
        <r>
          <rPr>
            <sz val="12"/>
            <color indexed="81"/>
            <rFont val="Tahoma"/>
            <family val="2"/>
          </rPr>
          <t>geschatte tijd / afstand</t>
        </r>
      </text>
    </comment>
    <comment ref="H539" authorId="2">
      <text>
        <r>
          <rPr>
            <sz val="11"/>
            <color indexed="81"/>
            <rFont val="Tahoma"/>
            <family val="2"/>
          </rPr>
          <t>800 : 2'22" / R 1'30"
400: 1'05" / R 3'00"
800: 2'23" / R 1'30"
400: 1'07" / R 3'00
800: 2'20" / R 1'30"
400: 1'06"</t>
        </r>
      </text>
    </comment>
    <comment ref="H548" authorId="2">
      <text>
        <r>
          <rPr>
            <sz val="11"/>
            <color indexed="81"/>
            <rFont val="Tahoma"/>
            <family val="2"/>
          </rPr>
          <t>1000: 3'09" / R 2'
1000: 3'09" / R 2'
1000: 3'09" / R 2'
1000: 3'08" / R 2'
1000: 3'05" / R 2'
1000: 3'05" / R 2'
1000: 3'05" / R 2'
1000: 3'00"</t>
        </r>
      </text>
    </comment>
    <comment ref="H553" authorId="2">
      <text>
        <r>
          <rPr>
            <sz val="11"/>
            <color indexed="81"/>
            <rFont val="Tahoma"/>
            <family val="2"/>
          </rPr>
          <t>2000: 6'17" / R4
2000: 6'16" / R4
2000: 6'14" / R4
1000: 2'55" / R3'
400: 1"02"</t>
        </r>
      </text>
    </comment>
    <comment ref="B556" authorId="2">
      <text>
        <r>
          <rPr>
            <b/>
            <sz val="8"/>
            <color indexed="81"/>
            <rFont val="Tahoma"/>
          </rPr>
          <t>Tonny Lemmens:</t>
        </r>
        <r>
          <rPr>
            <sz val="8"/>
            <color indexed="81"/>
            <rFont val="Tahoma"/>
          </rPr>
          <t xml:space="preserve">
geschatte afstand
</t>
        </r>
      </text>
    </comment>
    <comment ref="H560" authorId="2">
      <text>
        <r>
          <rPr>
            <sz val="11"/>
            <color indexed="81"/>
            <rFont val="Tahoma"/>
            <family val="2"/>
          </rPr>
          <t xml:space="preserve">1000: 3'06" / R 1'
200: 33" / R 3'
1000: 3'06" / R 1'
200: 33" / R 3'
1000: 3'05" / R 1'
200: 34" / R 3'
1000: 3'04" / R 1'
200: 33" / R 3'
1000: 3'01" / R 1'
200: 31"
</t>
        </r>
      </text>
    </comment>
    <comment ref="H562" authorId="2">
      <text>
        <r>
          <rPr>
            <sz val="11"/>
            <color indexed="81"/>
            <rFont val="Tahoma"/>
            <family val="2"/>
          </rPr>
          <t>500: 1'28" / R 1'30"
1000: 3'05" / R 2'00"
1500: 4'41" / R 2'30"
2000: 6'21" / R 3'00"
1500: 4'38" / R 2'30"
1000: 3'01" / R 2'00"
500: 1'19"</t>
        </r>
      </text>
    </comment>
    <comment ref="H567" authorId="2">
      <text>
        <r>
          <rPr>
            <sz val="11"/>
            <color indexed="81"/>
            <rFont val="Tahoma"/>
            <family val="2"/>
          </rPr>
          <t>800: 2'24" / R 2'00"
800: 2'24" / R 2'00"
800: 2'22" / R 4'00"
600: 1'45" / R 1'30"
600: 1'44" / R 1'30"
600: 1'43" / R 4'00"
400: 1'06" / R 1'00"
400: 1'06" / R 1'00"
400: 1'03"</t>
        </r>
      </text>
    </comment>
    <comment ref="B574" authorId="0">
      <text>
        <r>
          <rPr>
            <sz val="14"/>
            <color indexed="81"/>
            <rFont val="Tahoma"/>
            <family val="2"/>
          </rPr>
          <t>gekwest</t>
        </r>
      </text>
    </comment>
    <comment ref="H581" authorId="2">
      <text>
        <r>
          <rPr>
            <sz val="11"/>
            <color indexed="81"/>
            <rFont val="Tahoma"/>
            <family val="2"/>
          </rPr>
          <t>800: 2'20" / R 3'00"
400: 1:04"</t>
        </r>
      </text>
    </comment>
    <comment ref="H586" authorId="2">
      <text>
        <r>
          <rPr>
            <b/>
            <sz val="18"/>
            <color indexed="81"/>
            <rFont val="Tahoma"/>
            <family val="2"/>
          </rPr>
          <t>Elite mannen: 16.00u</t>
        </r>
      </text>
    </comment>
    <comment ref="H588" authorId="0">
      <text>
        <r>
          <rPr>
            <b/>
            <sz val="12"/>
            <color indexed="81"/>
            <rFont val="Tahoma"/>
            <family val="2"/>
          </rPr>
          <t>8 x 1000</t>
        </r>
      </text>
    </comment>
    <comment ref="H595" authorId="0">
      <text>
        <r>
          <rPr>
            <sz val="10"/>
            <rFont val="Arial"/>
          </rPr>
          <t>2000: 6'28" / R 4'00"
2000: 6'28" / R 4'00"
2000: 6'31" / R 4'00"
1000: 3'05" / R 2'19"
200: 0'27"</t>
        </r>
      </text>
    </comment>
    <comment ref="H602" authorId="0">
      <text>
        <r>
          <rPr>
            <sz val="12"/>
            <color indexed="81"/>
            <rFont val="Tahoma"/>
            <family val="2"/>
          </rPr>
          <t>1000: 3'04"
200: 0'32 / R 
1000: 3'01" (170) / R 0'57"
200: 0'32" / R 3'
1000: 3'03" (171) / R 1'06"
200: 0'31" / R 3'
1000: 3'06" (171) / R 1'07"
200: 0'30" / R 3'
1000: 3'04" (171) / R 1'09"
200: 0'30" / R 3'
1000: 3'00" (173) / R 1'25"
200: 0'29"</t>
        </r>
      </text>
    </comment>
    <comment ref="H609" authorId="0">
      <text>
        <r>
          <rPr>
            <sz val="10"/>
            <rFont val="Arial"/>
          </rPr>
          <t>2000: 6'29" / R 5'00"
2000: 6'26" / R 5'00"
2000: 6'28" / R 5'00"
2000: 6'16"</t>
        </r>
      </text>
    </comment>
    <comment ref="H613" authorId="0">
      <text>
        <r>
          <rPr>
            <b/>
            <sz val="8"/>
            <color indexed="81"/>
            <rFont val="Tahoma"/>
          </rPr>
          <t>Gemidd HS: 176</t>
        </r>
      </text>
    </comment>
    <comment ref="H632" authorId="0">
      <text>
        <r>
          <rPr>
            <sz val="12"/>
            <color indexed="81"/>
            <rFont val="Arial"/>
            <family val="2"/>
          </rPr>
          <t>2000: 6'30" / R 4'00" (HS172)
2000: 6'30" / R 4'00" (HS177)
2000: 6'30" / R 4'00" (HS179)
1000: 3'12" / R 2' (HS176)
1000: 3'07" / R 2' (HS179)
400: 1'02"</t>
        </r>
      </text>
    </comment>
    <comment ref="H637" authorId="0">
      <text>
        <r>
          <rPr>
            <sz val="12"/>
            <color indexed="81"/>
            <rFont val="Tahoma"/>
            <family val="2"/>
          </rPr>
          <t>1000: 3'03" (170) / R 1'55" (149)
1000: 3'06" (170) / R 1'50" (150)
800: 2'21" (174) / R 1'30" (162)
600: 1'43" (175) / R 1'00" (171)
400: 1'04" (175) / R 0'30" (184)
200: 0'29" (188)</t>
        </r>
      </text>
    </comment>
    <comment ref="B638" authorId="0">
      <text>
        <r>
          <rPr>
            <b/>
            <sz val="11"/>
            <color indexed="81"/>
            <rFont val="Tahoma"/>
            <family val="2"/>
          </rPr>
          <t>Geschatte afstand</t>
        </r>
      </text>
    </comment>
    <comment ref="H646" authorId="0">
      <text>
        <r>
          <rPr>
            <sz val="12"/>
            <color indexed="81"/>
            <rFont val="Tahoma"/>
            <family val="2"/>
          </rPr>
          <t>1ste dokterbehandeling</t>
        </r>
      </text>
    </comment>
    <comment ref="H653" authorId="0">
      <text>
        <r>
          <rPr>
            <sz val="12"/>
            <color indexed="81"/>
            <rFont val="Tahoma"/>
            <family val="2"/>
          </rPr>
          <t>2de dokterbehandeling</t>
        </r>
      </text>
    </comment>
    <comment ref="H681" authorId="3">
      <text>
        <r>
          <rPr>
            <sz val="12"/>
            <color indexed="81"/>
            <rFont val="Tahoma"/>
            <family val="2"/>
          </rPr>
          <t>1000: 3'10" HS 170 / R 4'51" HS 151
1000: 3'14" HS 172 / R 4'42" HS 156
1000: 3'05" HS 176 / R 6'26" HS 157
1000: 3'06" HS 178 / R 4'44" HS 159
1000: 3'04" HS 179 / R 5'07" HS 159
1000: 3'03" HS 178</t>
        </r>
      </text>
    </comment>
    <comment ref="C683" authorId="3">
      <text>
        <r>
          <rPr>
            <sz val="14"/>
            <color indexed="81"/>
            <rFont val="Tahoma"/>
            <family val="2"/>
          </rPr>
          <t>vorig jaar : 54'36"</t>
        </r>
        <r>
          <rPr>
            <sz val="8"/>
            <color indexed="81"/>
            <rFont val="Tahoma"/>
          </rPr>
          <t xml:space="preserve">
</t>
        </r>
      </text>
    </comment>
    <comment ref="H693" authorId="3">
      <text>
        <r>
          <rPr>
            <sz val="10"/>
            <color indexed="81"/>
            <rFont val="Tahoma"/>
            <family val="2"/>
          </rPr>
          <t xml:space="preserve">Terrein Fc Witte Molen (baan kasterlee-retie) </t>
        </r>
      </text>
    </comment>
    <comment ref="H695" authorId="0">
      <text>
        <r>
          <rPr>
            <sz val="12"/>
            <color indexed="81"/>
            <rFont val="Tahoma"/>
            <family val="2"/>
          </rPr>
          <t>1000: 3'17" HS 169 / R 3' HS 141
1000: 3'12" HS 171 / R 3' HS 142
1000: 3'11" HS 174 / R 3' HS 147
1000: 3'09" HS 175 / R 3' HS 149
1000: 3'08" HS 188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300: 50.8s HS:150 / R 1'30" HS:143
300: 49.0s HS:151 / R 1'30" HS:149
300: 50.1s HS:153 / R 1'30" HS:151
300: 49.6s HS 155 / R 1'30" HS:154
300: 49.8s HS:157 / R 1'30" HS:154
250: 41.1s HS:158 / R 1'30" HS:155
250: 40.4s HS:158 / R 1'30" HS:156
250: 39.9s HS:160 / R 1'30" HS:158
250: 40.6s HS:159 / R 1'30" HS:157
250: 40.5s HS:158 / R 1'30" HS:158
200: 31.2s HS:157 / R 1'30" HS:159
200: 31.4s HS:158 / R 1'30" HS:161
200: 31.2s HS:157 / R 1'30" HS:161
200: 31.4s HS:159 / R 1'30" HS:161
200: 30.6s HS:161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3000: 10:41" HS 171 / R 5'
3000: 10'16" HS 176 / R 5'
3000: 10'14" HS 180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 xml:space="preserve">400: 1'09" HS 152 / R 2' HS 136
400: 1'09" HS 152 / R 2' HS 143
400: 1'07" HS 159 / R 2' HS 146
300: 49" HS 152 / R 90" HS 150
300: 49" HS 158 / R 90" HS 156
300: 49" HS 158 / R 90" HS 157
300: 48" HS 160 / R 90" HS 158
5 x 200: 31.8 / 30.9 / 30.1 / 31.2 / 30.7
5 x 100: 14.7 / 14.3 / 14.0 / 13.7 / 13.0
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500: 1'30" / R 2'
1000: 3'07" / R 3'
1500: 4'47" / R 4'
1000: 3'05" / R 3'
500: 1'23"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3000: 10:33" HS 171 R 3' HS 131
3000: 10'24" HS 172 R 3' HS 136 
3000: 10'11" HS 177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 xml:space="preserve">2000: 6'33" HS 169 / R 4' HS 133
2000: 6'32" HS 172 / R 4' HS 134
2000: 6'31" HS 173 / R 4' HS 134
2000: 6'23" 
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800: 2'30" HS 164 / R 90" HS 139
400: 1'05" HS 157 / R 2' HS 148
800: 2'27" HS 170 / R 90" HS 153
400: 1'06" HS 161 / R 2' HS 151
800: 2'29" HS 171 / R 90" HS 156
400: 1'04" HS 165 / R 2' HS 161
800: 2'25" HS 174 / R 90" HS 163
400: 1'01" HS 169 / R 2' HS 158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1000: 3'15" HS 162 / R 2' HS 139
1000: 3'15" HS 164 / R 2' HS 144
1000: 3'12" HS 167 / R 2' HS 143
1000: 3'11" HS 170 / R 2' HS 147
1000: 3'09" HS 171 / R 2' HS 150
1000: 3'01" HS 174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 xml:space="preserve">3000: 10'36" HS 168 / R 3' HS 130
3000: 10'52" HS 167 / R 3' HS 129
3000: 10'27" HS 177 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1000: 3'07" HS 169 / R 3' HS 139
1000: 3'03" HS 170 / R 3' HS 142
1000: 3'02" HS 172 / R 3' HS 148
1000: 2'57" HS 176 / R 3' HS 147</t>
        </r>
      </text>
    </comment>
    <comment ref="H747" authorId="0">
      <text>
        <r>
          <rPr>
            <sz val="11"/>
            <color indexed="81"/>
            <rFont val="Tahoma"/>
            <family val="2"/>
          </rPr>
          <t>500: 1'29" / R 90"
1000: 3'06" / R 2'
1500: 4'45" / R 3'
1000: 3'03" / R 2'
1000: 3'00" / R 2'
500: 1'19"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2000: 6'23" / R4'
2000: 6'27" / R4'
2000: 6'31" / R4'</t>
        </r>
      </text>
    </comment>
    <comment ref="H776" authorId="3">
      <text>
        <r>
          <rPr>
            <sz val="10"/>
            <color indexed="81"/>
            <rFont val="Tahoma"/>
            <family val="2"/>
          </rPr>
          <t>3 x 3000
laatste 10'28" HS 180</t>
        </r>
      </text>
    </comment>
    <comment ref="H780" authorId="4">
      <text>
        <r>
          <rPr>
            <b/>
            <sz val="8"/>
            <color indexed="81"/>
            <rFont val="Tahoma"/>
          </rPr>
          <t>3 x 3000</t>
        </r>
      </text>
    </comment>
    <comment ref="H821" authorId="5">
      <text>
        <r>
          <rPr>
            <b/>
            <sz val="8"/>
            <color indexed="81"/>
            <rFont val="Tahoma"/>
          </rPr>
          <t>1000: 3'11" / R2'
1000: 3'11" / R2'
1000: 3'06" / R2'
1000: 3'06" / R2'
1000: 2'53"</t>
        </r>
      </text>
    </comment>
    <comment ref="H825" authorId="4">
      <text>
        <r>
          <rPr>
            <sz val="14"/>
            <color indexed="81"/>
            <rFont val="Tahoma"/>
            <family val="2"/>
          </rPr>
          <t>14:15u  10km</t>
        </r>
      </text>
    </comment>
    <comment ref="H828" authorId="5">
      <text>
        <r>
          <rPr>
            <sz val="10"/>
            <color indexed="81"/>
            <rFont val="Tahoma"/>
            <family val="2"/>
          </rPr>
          <t>800: 2'27" HS 167 / R 1'30" HS 149
400: 1'05" HS 159 / R 3'00" HS 144
800: 2'24" HS 170 / R 1'30" HS 155
400: 1'06" HS 167 / R 3'00" HS 143
800: 2'23" HS 170 / R 1'30" HS 163
400: 1'02"</t>
        </r>
      </text>
    </comment>
    <comment ref="H835" authorId="5">
      <text>
        <r>
          <rPr>
            <sz val="10"/>
            <color indexed="81"/>
            <rFont val="Tahoma"/>
            <family val="2"/>
          </rPr>
          <t>2000: 6'28" HS 167 / R 5' HS 126
2000: 6'24" HS 169 / R 5' HS 126
2000: 6'21" HS 170 / R 5' HS 133
2000: 6'08" HS 173</t>
        </r>
      </text>
    </comment>
    <comment ref="H842" authorId="5">
      <text>
        <r>
          <rPr>
            <sz val="12"/>
            <color indexed="81"/>
            <rFont val="Tahoma"/>
            <family val="2"/>
          </rPr>
          <t>1000: 3'10" HS163 / R 52" HS 159
200  : 0'33" HS154 / R 3'    HS 133
1000: 3'07" HS165 / R 53" HS 163
200  : 0'33" HS157 / R 3'    HS 136
1000: 3'03" HS169 / R 59" HS 164
200  : 0'33" HS 159 / R 3'   HS 138
1000: 3'02" HS 169 / R 66" HS 165
200:   0'31" HS 160 / R 3'   HS 140
1000: 2'53" HS 172 / R 64" HS 171
200:   0'27" HS 164</t>
        </r>
      </text>
    </comment>
    <comment ref="H849" authorId="5">
      <text>
        <r>
          <rPr>
            <sz val="12"/>
            <color indexed="81"/>
            <rFont val="Tahoma"/>
            <family val="2"/>
          </rPr>
          <t xml:space="preserve">600: 1'47" / 90"
400: 1'11" / 90"
400: 1'08" / 90"
300: 51" / 90"
300: 48" / 90"
300: 48" / 90"
300: 47" / 90"
300: 46" / 90"
200: 29" / 90"
200: 30" / 90"
200: 29" / 90"
200: 29" / 90"
200: 28"
</t>
        </r>
      </text>
    </comment>
    <comment ref="H852" authorId="4">
      <text>
        <r>
          <rPr>
            <sz val="18"/>
            <color indexed="81"/>
            <rFont val="Tahoma"/>
            <family val="2"/>
          </rPr>
          <t>19u</t>
        </r>
      </text>
    </comment>
    <comment ref="H870" authorId="5">
      <text>
        <r>
          <rPr>
            <sz val="12"/>
            <color indexed="81"/>
            <rFont val="Tahoma"/>
            <family val="2"/>
          </rPr>
          <t>500: 1'28" HS 162 / R 1'30" HS 152
1000: 3'07" HS 172 / R 2'00" HS 148
1500: 4'43" HS 174 / R 3'00" HS 142
1000: 3'01" HS 173 / R 2'00" HS 153
1000: 2'55" HS 176 / R 2'00" HS 157
500: 1'18" HS 168</t>
        </r>
      </text>
    </comment>
    <comment ref="H877" authorId="5">
      <text>
        <r>
          <rPr>
            <sz val="11"/>
            <color indexed="81"/>
            <rFont val="Tahoma"/>
            <family val="2"/>
          </rPr>
          <t xml:space="preserve">1000: 3'12" HS 162 / R 2' HS 138
1000: 3'10" HS 164 / R 2' HS 144
1000: 3'10" HS 165 / R 2' HS 142
1000: 3'09" HS 167 / R 4' HS 133 </t>
        </r>
        <r>
          <rPr>
            <sz val="9"/>
            <color indexed="81"/>
            <rFont val="Tahoma"/>
            <family val="2"/>
          </rPr>
          <t>(potpauze)</t>
        </r>
        <r>
          <rPr>
            <sz val="11"/>
            <color indexed="81"/>
            <rFont val="Tahoma"/>
            <family val="2"/>
          </rPr>
          <t xml:space="preserve">
1000: 3'05" HS 171 / R 2' HS 147
1000: 3'04" HS 169 / R 2' HS 150
1000: 3'02" HS 173 / R 2' HS 154
1000: 2'55" HS 175</t>
        </r>
      </text>
    </comment>
    <comment ref="H898" authorId="5">
      <text>
        <r>
          <rPr>
            <b/>
            <sz val="12"/>
            <color indexed="81"/>
            <rFont val="Tahoma"/>
            <family val="2"/>
          </rPr>
          <t>2000: 6'18" HS 172 / R 4' HS 139
1500: 4'37" HS 174 / R 3' HS 144
1000: 2'58" HS 175 / R 2' HS 159
500: 1'22" HS 171</t>
        </r>
      </text>
    </comment>
    <comment ref="H905" authorId="5">
      <text>
        <r>
          <rPr>
            <sz val="11"/>
            <color indexed="81"/>
            <rFont val="Tahoma"/>
            <family val="2"/>
          </rPr>
          <t>1000: 3'09" / R49"
200: 32" / R3'
1000: 3'04" / R49"
200: 32" / R3'
1000: 3'02" / R53"
200: 31" / R3'
1000: 2'58" / R55"
200: 31" / R3'
1000: 2'55" / R57"
200: 29"</t>
        </r>
      </text>
    </comment>
    <comment ref="B911" authorId="5">
      <text>
        <r>
          <rPr>
            <b/>
            <sz val="8"/>
            <color indexed="81"/>
            <rFont val="Tahoma"/>
          </rPr>
          <t xml:space="preserve">2 x 3 km
</t>
        </r>
      </text>
    </comment>
    <comment ref="H933" authorId="5">
      <text>
        <r>
          <rPr>
            <b/>
            <sz val="8"/>
            <color indexed="81"/>
            <rFont val="Tahoma"/>
          </rPr>
          <t xml:space="preserve">10 x 1000
</t>
        </r>
      </text>
    </comment>
  </commentList>
</comments>
</file>

<file path=xl/sharedStrings.xml><?xml version="1.0" encoding="utf-8"?>
<sst xmlns="http://schemas.openxmlformats.org/spreadsheetml/2006/main" count="1787" uniqueCount="600">
  <si>
    <t>Datum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</si>
  <si>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</si>
  <si>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</si>
  <si>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</si>
  <si>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</si>
  <si>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</si>
  <si>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</si>
  <si>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</si>
  <si>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</si>
  <si>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</si>
  <si>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</si>
  <si>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</si>
  <si>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</si>
  <si>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</si>
  <si>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</si>
  <si>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 xml:space="preserve">Totaal </t>
  </si>
  <si>
    <t>afstand</t>
  </si>
  <si>
    <t>Totaal/km</t>
  </si>
  <si>
    <t>MAX</t>
  </si>
  <si>
    <t>Gemid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</si>
  <si>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</si>
  <si>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</si>
  <si>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</si>
  <si>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</si>
  <si>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</si>
  <si>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</si>
  <si>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</si>
  <si>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</si>
  <si>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</si>
  <si>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</si>
  <si>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</si>
  <si>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</si>
  <si>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</si>
  <si>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 xml:space="preserve"> </t>
  </si>
  <si>
    <t>km 1</t>
  </si>
  <si>
    <t>Eerste wegversmalling Sluisstraat</t>
  </si>
  <si>
    <t>km 2</t>
  </si>
  <si>
    <t>Diepestraat, midden platen kot Fik Smeyers</t>
  </si>
  <si>
    <t>km 3</t>
  </si>
  <si>
    <t>Mirramar, begin oprit na hoek/bocht Sibelco</t>
  </si>
  <si>
    <t>km 4</t>
  </si>
  <si>
    <t>Mirramar, Verlichtingspaal na huisnummer 37</t>
  </si>
  <si>
    <t>km 5</t>
  </si>
  <si>
    <t>Turnhoutsebaan, brug/uitrit van huisnummer 54, eerste wit huis na Runners Service</t>
  </si>
  <si>
    <t>km 6</t>
  </si>
  <si>
    <t>Turnhoutsebaan, begin stoep/klinkers auto's Eddy</t>
  </si>
  <si>
    <t>Totaal 6,35 km</t>
  </si>
  <si>
    <t>km 1</t>
  </si>
  <si>
    <t>Schuin voor Tegelidee</t>
  </si>
  <si>
    <t>km 2</t>
  </si>
  <si>
    <t>Voor nieuwe villa Miramar</t>
  </si>
  <si>
    <t>km 3</t>
  </si>
  <si>
    <t>Mirramar Nr.83 (nieuwe boompjes)</t>
  </si>
  <si>
    <t>km 4</t>
  </si>
  <si>
    <t>Achter dubbelle bocht (3de wei-paal)</t>
  </si>
  <si>
    <t>km 5</t>
  </si>
  <si>
    <t>Telefoonkot</t>
  </si>
  <si>
    <t>km 6</t>
  </si>
  <si>
    <t>Einde parking Luc Put</t>
  </si>
  <si>
    <t>km 7</t>
  </si>
  <si>
    <t>Eerste boompje Kapellestraat</t>
  </si>
  <si>
    <t>km 8</t>
  </si>
  <si>
    <t>Galbergen nr 15 (eerste wit huis aan linkerkant)</t>
  </si>
  <si>
    <t>km 9</t>
  </si>
  <si>
    <t>Kruispunt in bos aan SV Mol</t>
  </si>
  <si>
    <t>km 10</t>
  </si>
  <si>
    <t>Sluis aan bord 70 km/uur</t>
  </si>
  <si>
    <t>Totaal 10,25</t>
  </si>
  <si>
    <t>DatumTijd</t>
  </si>
  <si>
    <t>Tijden</t>
  </si>
  <si>
    <t>HartSlag</t>
  </si>
  <si>
    <t>GemHartSlag</t>
  </si>
  <si>
    <t>Kilometer</t>
  </si>
  <si>
    <t>AVG</t>
  </si>
  <si>
    <t>AFSTAND</t>
  </si>
  <si>
    <t>TIJD</t>
  </si>
  <si>
    <t>Gemid / km</t>
  </si>
  <si>
    <t>km/u</t>
  </si>
  <si>
    <t>HF</t>
  </si>
  <si>
    <t>min/km</t>
  </si>
  <si>
    <t>Jogging Schoorhei</t>
  </si>
  <si>
    <t>Km/u</t>
  </si>
  <si>
    <t>meter</t>
  </si>
  <si>
    <t>13:6/2001 18:42</t>
  </si>
  <si>
    <t>Jogging Wezel</t>
  </si>
  <si>
    <t>(+interval)</t>
  </si>
  <si>
    <t>---</t>
  </si>
  <si>
    <t>(test)</t>
  </si>
  <si>
    <t>----</t>
  </si>
  <si>
    <t>Jogging Olmen (gemid 4:07 ??)</t>
  </si>
  <si>
    <t>Time</t>
  </si>
  <si>
    <t>(interval)</t>
  </si>
  <si>
    <t>jogging Meerhout</t>
  </si>
  <si>
    <t>jogging Schoorhei</t>
  </si>
  <si>
    <t>te warm (42°C in de zon)</t>
  </si>
  <si>
    <t>te snel vertrokken (HS164)</t>
  </si>
  <si>
    <t>interval 5x1000 (goed gevoel)</t>
  </si>
  <si>
    <t>jogging Oud-Turnhout</t>
  </si>
  <si>
    <t>jogging Mol-Centrum</t>
  </si>
  <si>
    <t>T2 = T1 x (D2/D1)^1.06</t>
  </si>
  <si>
    <t>D2</t>
  </si>
  <si>
    <t>T2 (berekend)</t>
  </si>
  <si>
    <t>EINDTIJD CALCULATOR</t>
  </si>
  <si>
    <t>max</t>
  </si>
  <si>
    <t>rust</t>
  </si>
  <si>
    <t>LSD</t>
  </si>
  <si>
    <t>EXT</t>
  </si>
  <si>
    <t>INT</t>
  </si>
  <si>
    <t>2 + 1km (3'02")</t>
  </si>
  <si>
    <t>Recu</t>
  </si>
  <si>
    <t>Tempo</t>
  </si>
  <si>
    <t>RUST</t>
  </si>
  <si>
    <t>3x3km (3'29", 3'27", 3'38")</t>
  </si>
  <si>
    <t>verkort vanwege slechte weer</t>
  </si>
  <si>
    <t>(afstand geschat)</t>
  </si>
  <si>
    <t>jogging Olen</t>
  </si>
  <si>
    <t>D1 (afstand)</t>
  </si>
  <si>
    <t>T1 (tijd)</t>
  </si>
  <si>
    <t>8x1000m (p=3min)</t>
  </si>
  <si>
    <t>jogging Geel Stelen</t>
  </si>
  <si>
    <t>jogging Balen</t>
  </si>
  <si>
    <t>Gegevens verloren door computer crash</t>
  </si>
  <si>
    <t>jogging Westerlo</t>
  </si>
  <si>
    <t>8x1000</t>
  </si>
  <si>
    <t>jogging Zilvermeer</t>
  </si>
  <si>
    <t>7x1000 (3'25"  R2'00")</t>
  </si>
  <si>
    <t>jogging Heultje (12km)</t>
  </si>
  <si>
    <t>(ardennen)</t>
  </si>
  <si>
    <t>nieuwe schoenen</t>
  </si>
  <si>
    <t>Cross Wezel (veel wind-af)</t>
  </si>
  <si>
    <t>1ste verlichtingspaal  op de brug van Mol-Donk</t>
  </si>
  <si>
    <t>paadje naar weide achter lang smal bos achter 1ste boerderij</t>
  </si>
  <si>
    <t>km 15</t>
  </si>
  <si>
    <t>Coax box Frankfurtlaan nr 7 Nieuwe beige villa Europese Wijk</t>
  </si>
  <si>
    <t>km 20</t>
  </si>
  <si>
    <t>Poort Visvervoer Postelarenweg. 20m voor 1ste kruispunt</t>
  </si>
  <si>
    <t>Totaal 24,66 km</t>
  </si>
  <si>
    <t>Hoekse Sport</t>
  </si>
  <si>
    <t>Lopen in de corner driehoeken en voor de goalen</t>
  </si>
  <si>
    <t>km</t>
  </si>
  <si>
    <t>1 ronde</t>
  </si>
  <si>
    <t>voeten</t>
  </si>
  <si>
    <t>1 voet</t>
  </si>
  <si>
    <t>cm</t>
  </si>
  <si>
    <t>978 voeten</t>
  </si>
  <si>
    <t>m</t>
  </si>
  <si>
    <t>Van 1 tot 2</t>
  </si>
  <si>
    <t>Van 2 tot 3</t>
  </si>
  <si>
    <t>Van 3 to 4</t>
  </si>
  <si>
    <t>Van 4 to 5</t>
  </si>
  <si>
    <t>Van 5 tot 6</t>
  </si>
  <si>
    <t>Van 6 tot 1</t>
  </si>
  <si>
    <t>VIAD test</t>
  </si>
  <si>
    <t>tot voet</t>
  </si>
  <si>
    <t>tijden voor een bepaalde snelheid (km/u)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</si>
  <si>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</si>
  <si>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</si>
  <si>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</si>
  <si>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</si>
  <si>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</si>
  <si>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</si>
  <si>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</si>
  <si>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</si>
  <si>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</si>
  <si>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</si>
  <si>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Na rust 1</t>
  </si>
  <si>
    <t>Rust</t>
  </si>
  <si>
    <t>Na rust 2</t>
  </si>
  <si>
    <t>rust 4</t>
  </si>
  <si>
    <t>rust 3</t>
  </si>
  <si>
    <t>rust 5</t>
  </si>
  <si>
    <t>rust 6</t>
  </si>
  <si>
    <t>rust 7</t>
  </si>
  <si>
    <t>rust 8</t>
  </si>
  <si>
    <t>rust 9</t>
  </si>
  <si>
    <t>RONDE 1</t>
  </si>
  <si>
    <t>RONDE 2</t>
  </si>
  <si>
    <t>Einde test 1 = 6:39.0</t>
  </si>
  <si>
    <t>RONDE 3</t>
  </si>
  <si>
    <t>Einde rust 1 = 7:39.7</t>
  </si>
  <si>
    <t>Rust 1</t>
  </si>
  <si>
    <t>Rust 2</t>
  </si>
  <si>
    <t>Einde test 2 = 13:47.3</t>
  </si>
  <si>
    <t>Einde rust 2 = 14:50.1</t>
  </si>
  <si>
    <t>Niet gelopen</t>
  </si>
  <si>
    <t>start ronde 2</t>
  </si>
  <si>
    <t>Einde test 3 = 20:31.6</t>
  </si>
  <si>
    <t>Einde rust 3 = 21:31.8</t>
  </si>
  <si>
    <t>Rust 3</t>
  </si>
  <si>
    <t>RONDE1</t>
  </si>
  <si>
    <t>Einde test 4 = 26:53.1</t>
  </si>
  <si>
    <t>Rust 4</t>
  </si>
  <si>
    <t>Einde rust 4 = 27:53.0</t>
  </si>
  <si>
    <t>Rust 5</t>
  </si>
  <si>
    <t>Einde test 5 = 32:55.3</t>
  </si>
  <si>
    <t>Einde rust 5 = 33:55.2</t>
  </si>
  <si>
    <t>Rust 6</t>
  </si>
  <si>
    <t>Einde test 6 = 38:39.8</t>
  </si>
  <si>
    <t>Einde rust 6 = 39:41.4</t>
  </si>
  <si>
    <t>Rust 7</t>
  </si>
  <si>
    <t>Einde test 7 = 44:10.2</t>
  </si>
  <si>
    <t>Einde rust 7 = 45:10.1</t>
  </si>
  <si>
    <t>Rust 8</t>
  </si>
  <si>
    <t>Einde test 8 = 49:25.6</t>
  </si>
  <si>
    <t>Rust 9</t>
  </si>
  <si>
    <t>Einde rust 8 = 50:25.6</t>
  </si>
  <si>
    <t>Einde test 9 = 54:28.6</t>
  </si>
  <si>
    <t>Rust 10</t>
  </si>
  <si>
    <t>Einde rust 9 = 55:28.8</t>
  </si>
  <si>
    <t>Einde test 10 = 59:20.5</t>
  </si>
  <si>
    <t>Einde rust 10 = 1:00:20</t>
  </si>
  <si>
    <t>viad test</t>
  </si>
  <si>
    <t>test</t>
  </si>
  <si>
    <t>6 x 1000</t>
  </si>
  <si>
    <t>eindtijd</t>
  </si>
  <si>
    <t>min / km</t>
  </si>
  <si>
    <t>jogging Wezel (n. schoenen)</t>
  </si>
  <si>
    <t>km / u</t>
  </si>
  <si>
    <t>jogging Lille (n. Schoenen)</t>
  </si>
  <si>
    <t>jogging Olmen</t>
  </si>
  <si>
    <t>Ventoux Benny</t>
  </si>
  <si>
    <t>Mont Ventoux</t>
  </si>
  <si>
    <t>geschatte km adv hartslag</t>
  </si>
  <si>
    <t>jogging Herselt</t>
  </si>
  <si>
    <t>jogging Schoonbroek</t>
  </si>
  <si>
    <t>HS</t>
  </si>
  <si>
    <t>Ri.Co</t>
  </si>
  <si>
    <t>Nul punt</t>
  </si>
  <si>
    <t>Instel HS</t>
  </si>
  <si>
    <t>geschatte tijd</t>
  </si>
  <si>
    <t>jogging OLV Olen</t>
  </si>
  <si>
    <t>6 x 1000 / 3'25" / R2'00"</t>
  </si>
  <si>
    <t>6 x 1000 / 3'35"(3'40") / R1'10"</t>
  </si>
  <si>
    <t>--</t>
  </si>
  <si>
    <t>6 x 1000 / 3'30 / R1'20"</t>
  </si>
  <si>
    <t>10 x 600 / 3'20" / R 2'00"</t>
  </si>
  <si>
    <t>jogging Prinsenpark</t>
  </si>
  <si>
    <t>5 x 1000 / 3'10" / R 3'</t>
  </si>
  <si>
    <t>gemid</t>
  </si>
  <si>
    <t>5x1000/3'08 / 5x200/32" / R3'</t>
  </si>
  <si>
    <t>3x1000 / 5x200</t>
  </si>
  <si>
    <t>500/1000/1500/1000/500</t>
  </si>
  <si>
    <t>Fartlek</t>
  </si>
  <si>
    <t>GRIEP</t>
  </si>
  <si>
    <t>n. schoenen</t>
  </si>
  <si>
    <t>Ardennen</t>
  </si>
  <si>
    <t>18:55.0</t>
  </si>
  <si>
    <t>jogging wezel</t>
  </si>
  <si>
    <t>veldloop Betekom</t>
  </si>
  <si>
    <t>veldloop Vosselaar</t>
  </si>
  <si>
    <t>veldloop Herentals</t>
  </si>
  <si>
    <t>8  x ( R1 + I1)</t>
  </si>
  <si>
    <t>RiCO</t>
  </si>
  <si>
    <t>Snijpunt</t>
  </si>
  <si>
    <t>Gemid. Snijpt.</t>
  </si>
  <si>
    <t>Gemid. RiCo</t>
  </si>
  <si>
    <t>10km</t>
  </si>
  <si>
    <t>21.1km</t>
  </si>
  <si>
    <t>5x300, 5x250, 5x200</t>
  </si>
  <si>
    <t>PK Kessel</t>
  </si>
  <si>
    <t>2x400, 5x300, 5x250, 5x200</t>
  </si>
  <si>
    <t>Run Bike Run</t>
  </si>
  <si>
    <t>Bel</t>
  </si>
  <si>
    <t>Afstand</t>
  </si>
  <si>
    <t>Halve Marathon St. Jozef Olen</t>
  </si>
  <si>
    <t>20km Paasjogging Olmen</t>
  </si>
  <si>
    <t>Halve Marathon Mol</t>
  </si>
  <si>
    <t>15 km Mol Wezel</t>
  </si>
  <si>
    <t>15 km Balen Centrum</t>
  </si>
  <si>
    <t>interval</t>
  </si>
  <si>
    <t>Lenteloop Lommel</t>
  </si>
  <si>
    <t>interclub</t>
  </si>
  <si>
    <t>n. Schoenen / interval</t>
  </si>
  <si>
    <t>HM westerlo</t>
  </si>
  <si>
    <t>gemiddelde verbetering</t>
  </si>
  <si>
    <t>periode</t>
  </si>
  <si>
    <t>Snijpt</t>
  </si>
  <si>
    <t>datum1</t>
  </si>
  <si>
    <t>datum2</t>
  </si>
  <si>
    <t>HM1</t>
  </si>
  <si>
    <t>HM2</t>
  </si>
  <si>
    <t>verschil HM</t>
  </si>
  <si>
    <t>verschil /km</t>
  </si>
  <si>
    <t>verschil dagen</t>
  </si>
  <si>
    <t>verschil / km / maand</t>
  </si>
  <si>
    <t>Kermisjogging Geel Punt</t>
  </si>
  <si>
    <t>Galbergen Jogging</t>
  </si>
  <si>
    <t>10 EM</t>
  </si>
  <si>
    <t>16 km dwars door Kasterlee</t>
  </si>
  <si>
    <t>n. Schoenen</t>
  </si>
  <si>
    <t>ardennen</t>
  </si>
  <si>
    <t>jogging Kasterlee</t>
  </si>
  <si>
    <t>Road Race cross festival</t>
  </si>
  <si>
    <t>duathlon Olen</t>
  </si>
  <si>
    <t>4:58  142</t>
  </si>
  <si>
    <t>veldloop Arendonk</t>
  </si>
  <si>
    <t>veldloop Lille - Gierle</t>
  </si>
  <si>
    <t>ardennnen</t>
  </si>
  <si>
    <t>Zilvermeer</t>
  </si>
  <si>
    <t>CC Mol</t>
  </si>
  <si>
    <t>Keiheuvel</t>
  </si>
  <si>
    <t>Paasjogging</t>
  </si>
  <si>
    <t>HM St. Jozef Olen</t>
  </si>
  <si>
    <t>Run bike run</t>
  </si>
  <si>
    <t>Rozenberg jogging</t>
  </si>
  <si>
    <t>Galbergenjogging</t>
  </si>
  <si>
    <t>HM Mol Centrum</t>
  </si>
  <si>
    <t>R</t>
  </si>
  <si>
    <t>Trainingschema halve marathon in 1hr10'</t>
  </si>
  <si>
    <t xml:space="preserve">. </t>
  </si>
  <si>
    <t>ma</t>
  </si>
  <si>
    <t>di</t>
  </si>
  <si>
    <t>wo</t>
  </si>
  <si>
    <t>do</t>
  </si>
  <si>
    <t>vr</t>
  </si>
  <si>
    <t>za</t>
  </si>
  <si>
    <t>zo</t>
  </si>
  <si>
    <t>20 km in 1hr20'(4'00" /km)</t>
  </si>
  <si>
    <t>12 km in 41' , (3'25" / km)</t>
  </si>
  <si>
    <t>15 km in 1h08'(4'30" / km)</t>
  </si>
  <si>
    <t>8 x 1 km in 3'15", dribbelpauze 2'</t>
  </si>
  <si>
    <t>20 km in 1h20'(4'00" / km)</t>
  </si>
  <si>
    <t>25 km in 2hr18' (5'30" / km)</t>
  </si>
  <si>
    <t>10 km in 37'30"(3'45" / km)</t>
  </si>
  <si>
    <t>20 x 300 m in 1'01", dribbelpauze 30"</t>
  </si>
  <si>
    <t>10 km in 45' (4'30" / km)</t>
  </si>
  <si>
    <t>10 km in 32'30"(3'15" / km)</t>
  </si>
  <si>
    <t>15 km in 1h08' (4'30" / km)</t>
  </si>
  <si>
    <t>15 x 1 km in 3'30", dribbelpauze 1'</t>
  </si>
  <si>
    <t xml:space="preserve">25 km in 1h44'(4'10" / km) </t>
  </si>
  <si>
    <t>15 km in 58'45"(3'55" / km)</t>
  </si>
  <si>
    <t>3 x 3 km in 10'15", dribbelpauze 5'</t>
  </si>
  <si>
    <t>20 km in 1h20'  (4'00" / km)</t>
  </si>
  <si>
    <t>20 km in 1h28'  (4'00" / km)</t>
  </si>
  <si>
    <t>8 x 1 km in 3'12", dribbelpauze 2'</t>
  </si>
  <si>
    <t>13 km in 44'25" (3'25" / km)</t>
  </si>
  <si>
    <t>25 km in 2h18'  (5'30" / km)</t>
  </si>
  <si>
    <t>25 km in 1h44' (4'10" / km)</t>
  </si>
  <si>
    <t>15 km in 58'45"(3'55" /km)</t>
  </si>
  <si>
    <t>1h30' loslopen</t>
  </si>
  <si>
    <t>20 x 300 m in 1'01", dribbelpauze 1'</t>
  </si>
  <si>
    <t>10 km in 45' , (4'30" / km)</t>
  </si>
  <si>
    <t>10 km in 32'30" (3'15" / km)</t>
  </si>
  <si>
    <t>15 x 1 km in 3'35", dribbelpauze 1'</t>
  </si>
  <si>
    <t>25 km in 1h44'(4'10" / km)</t>
  </si>
  <si>
    <t xml:space="preserve">20 km in 1h20'  (4'00" / km) </t>
  </si>
  <si>
    <t>25 km in 1h44'  (4'10" / km)</t>
  </si>
  <si>
    <t>13 km in 44'25", (3'25" / km)</t>
  </si>
  <si>
    <t>15 km in 1hr08' (4'30" / km)</t>
  </si>
  <si>
    <t>10 x 1 km in 3'15", dribbelpauze 2'</t>
  </si>
  <si>
    <t>25 km in 2h18'(5'30" / km)</t>
  </si>
  <si>
    <t>15 x 100 m in 20", dribbelpauze 30",10 x 200 m in 41" p:30", 5 x 400 m in 1'16" P:1'30"</t>
  </si>
  <si>
    <t>15 km in 58'45", (3'55" / km)</t>
  </si>
  <si>
    <t>10 km in 45'(4'30" / km)</t>
  </si>
  <si>
    <t>15 km in 50'  (3'20" / km)</t>
  </si>
  <si>
    <t xml:space="preserve">1h30' loslopen         </t>
  </si>
  <si>
    <t>15 x 1 km in 3'35", pauze 1'</t>
  </si>
  <si>
    <t>Zo : 20 km in 1h20'  (4'00" / km)</t>
  </si>
  <si>
    <t>20 km in 1h30'(4'30" / km)</t>
  </si>
  <si>
    <t>10 x 1 km in 3'12", dribbelpauze 2'</t>
  </si>
  <si>
    <t>10 x 300 m in 50", dribbelpauze 1'</t>
  </si>
  <si>
    <t>10 km in 32'(3'12" / km)</t>
  </si>
  <si>
    <t>25 km in 1h53'(4'30" / km)</t>
  </si>
  <si>
    <t>20 km in 1h30' (4'30" / km)</t>
  </si>
  <si>
    <t>20 km in 1h20" (4'00" / km)</t>
  </si>
  <si>
    <t>1hr30' loslopen</t>
  </si>
  <si>
    <t>10 x 200 m in 34", dribbelpauze 30" 2 series P : 5'</t>
  </si>
  <si>
    <t>25 km in 1hr53' (4'30" / km)</t>
  </si>
  <si>
    <t>20 km in 1h20'(4'00"/km)</t>
  </si>
  <si>
    <t>20 km in 1h20' (4'00" / km)</t>
  </si>
  <si>
    <t>13 km in 44'25"(3'25" / km)</t>
  </si>
  <si>
    <t>20 km in 1hr20' (4'00" / km)</t>
  </si>
  <si>
    <t>16 km : 4 km in 20'40" (5'10"/km),4 km in 16'40" (4'10"/km), 4 km in 15'40" (3'55"/km), 4 km in 13'40" (3'25"/km)</t>
  </si>
  <si>
    <t>2 x 5 km in 16'35", dribbelpauze 1'</t>
  </si>
  <si>
    <t>27 km in 2h02'(4'30" / km)</t>
  </si>
  <si>
    <t>10x 1 km in 3'15", dribbelpauze 2'</t>
  </si>
  <si>
    <t>10 km speelse loop</t>
  </si>
  <si>
    <t xml:space="preserve">10 km in 45'  (4'30" / km)  </t>
  </si>
  <si>
    <t>10 km in 33'10"(3'19" / km)</t>
  </si>
  <si>
    <t>15 km, 4'30"/km , na 30' 2 km in 6'40"</t>
  </si>
  <si>
    <t>1/2 marathon in 1hr10' (3'19" /km)</t>
  </si>
  <si>
    <t>Ma : 24 km in 1h48' (4'30" /km)</t>
  </si>
  <si>
    <t>Di : 8 x 1 km in 3'10", dribbelpauze 2'</t>
  </si>
  <si>
    <t>Wo : 20 km in 1h20'  (4'00" / km)</t>
  </si>
  <si>
    <t>Do : 1hr30' lopen</t>
  </si>
  <si>
    <t>Za : 25 km in 1h44' (4'10" / km)</t>
  </si>
  <si>
    <t>Zo : 12 km in 41'00"  (3'25" / km)</t>
  </si>
  <si>
    <t xml:space="preserve">VW 10 km in 32'00/120 tot 150 km per week in 7 trainingen </t>
  </si>
  <si>
    <t>10 km in 32'</t>
  </si>
  <si>
    <t>Di : 20 km uur 1hr30' (4'30" / km)</t>
  </si>
  <si>
    <t>Wo : 22 km in 2hr01' (5'30" / km)</t>
  </si>
  <si>
    <t>Do : 20 km in 1hr20' (4'00" / km)</t>
  </si>
  <si>
    <t>Vr : 10 km in 37'30"(3'45" / km)</t>
  </si>
  <si>
    <t>Za : 15 km in 1hr08'(4'30" / km)</t>
  </si>
  <si>
    <t>Zo : TEST 5 km in 16'00" (3'12" / km)</t>
  </si>
  <si>
    <t>VR : R</t>
  </si>
  <si>
    <t>Ma : 15 km in 1hr08' (4'30" / km)</t>
  </si>
  <si>
    <t>Di : 20 km in 1hr20' (4'00" / km)</t>
  </si>
  <si>
    <t>Wo : 3 x 3 km in 10'15", dribbelpauze 4'</t>
  </si>
  <si>
    <t>Do : 15 km in 1hr08' (4'30" / km)</t>
  </si>
  <si>
    <t>Vr : 15 km in 58'45" (3'55" / km)</t>
  </si>
  <si>
    <t>Za : 22 km in 2h01'(5'30" / km)</t>
  </si>
  <si>
    <t>Ma : 15 km in 1hr08'(4'30" /km)</t>
  </si>
  <si>
    <t>Di : 10 x 1 km in 3'10"  , dribbelpauze 2'</t>
  </si>
  <si>
    <t>Wo : 20 km in 1hr20' (4'00" / km)</t>
  </si>
  <si>
    <t>Vr : 20 km in 1hr30' (4'30" / km)</t>
  </si>
  <si>
    <t>Za : 25 km in 1hr44' (4'10" / km)</t>
  </si>
  <si>
    <t>Zo : 12 km in 41'  (3'25" / km)</t>
  </si>
  <si>
    <t>Di : 20 km in 1hr30'  (4'30" / km)</t>
  </si>
  <si>
    <t>Wo : 15 km in 58'45" (3'55" / km)</t>
  </si>
  <si>
    <t>Do : 22 km in 2h01'  (5'30" / km)</t>
  </si>
  <si>
    <t>Vr : 18 km in 1h12' (4'00" / km)</t>
  </si>
  <si>
    <t>Zo : TEST 5 km in 15'55" (3'11" / km)</t>
  </si>
  <si>
    <t>Ma : 15 km in 1hr08'(4'30" / km)</t>
  </si>
  <si>
    <t>Wo : 3 x 3 km in 10'15" , dribbelpauze 4'</t>
  </si>
  <si>
    <t>Do : 20 km in 1h50'  (5'30" / km)</t>
  </si>
  <si>
    <t>Vr : 20 x 1 km in 3'35", dribbelpauze 1'</t>
  </si>
  <si>
    <t>Za : 25 km in 1h44'(4'10" / km)</t>
  </si>
  <si>
    <t>Zo : 20 km in 1h'20' (4'00" / km)</t>
  </si>
  <si>
    <t>Ma : 15 km in 58'45"(3'55" /km)</t>
  </si>
  <si>
    <t>Di : 10x 1 km in 3'10"   dribbelpauze 2'</t>
  </si>
  <si>
    <t>Wo : 20 km in 1h20' , (4'00" / km)</t>
  </si>
  <si>
    <t>Di : 25 km in 1h44' (4'10" / km)</t>
  </si>
  <si>
    <t>Za : 20 km in 1hr15' (4'30" / km)</t>
  </si>
  <si>
    <t>Wo : 22 km in 2h01'  (5'30" / km)</t>
  </si>
  <si>
    <t>Zo : TEST 5 km in 15'50" (3'10" / km)</t>
  </si>
  <si>
    <t>Ma : 20 km in 1h30' (4'30" / km)</t>
  </si>
  <si>
    <t>Wo : 3 x 3 km in 10'15" ,dribbelpauze 4'</t>
  </si>
  <si>
    <t>Do : 20 km in 1hr50'  (5'30" / km)</t>
  </si>
  <si>
    <t>Vr : 20  km in 1hr50' (5'30" / km)</t>
  </si>
  <si>
    <t>Za : 20 km in 1h20'  (4'00" / km)</t>
  </si>
  <si>
    <t>Zo : 20 x 1 km in 3'30", dribbelpauze 1'</t>
  </si>
  <si>
    <t>Di : 10x 1 km in 3'05"  , dribbelpauze 2'</t>
  </si>
  <si>
    <t>Wo : 25 km in 1h44'  (4'10" / km)</t>
  </si>
  <si>
    <t>Vr : 20 km in 1h30'  (4'30" / km)</t>
  </si>
  <si>
    <t>Za : 12 km in 40' (3'20" / km)</t>
  </si>
  <si>
    <t>Zo : 25 km in 1hr44"  (4'10" / km)</t>
  </si>
  <si>
    <t>Ma : 25 x 200 m in 41', dribbelpauze 40'</t>
  </si>
  <si>
    <t>Di : 25 km in 1h44'  (4'10" / km)</t>
  </si>
  <si>
    <t>Wo : 10x 1 km in 3'05", dribbelpauze 2'</t>
  </si>
  <si>
    <t>Do : 15 km in 58'45" (3'55" / km)</t>
  </si>
  <si>
    <t>Vr : 20 km in 1hr30'(4'30" / km)</t>
  </si>
  <si>
    <t>Za : 30' m speelse loop</t>
  </si>
  <si>
    <t>Zo : 25 km in 1hr24'30" (3'23" / km)</t>
  </si>
  <si>
    <t>Di : 20 km in 1hr30' (4'30" / km)</t>
  </si>
  <si>
    <t>Wo : 20 km in 1h50'  (5'30" / km)</t>
  </si>
  <si>
    <t>Do : 25 km  in 1hr44' (4'10" / km )</t>
  </si>
  <si>
    <t>Vr : 6 x 300 m in 50'  , dribbelpauze 50"</t>
  </si>
  <si>
    <t>Za : 20 km in 1hr20' (4'00" / km)</t>
  </si>
  <si>
    <t>Zo : 25 km  km in 1hr44' (4'10" / km)</t>
  </si>
  <si>
    <t>Ma : 10 x 400 m in 1'18", dribbelpauze 50"</t>
  </si>
  <si>
    <t>Di : 30 km in 2h05'  (4'10" / km)</t>
  </si>
  <si>
    <t>Wo : 3  x 1 km  in 2'55" dribbelpauze 12'</t>
  </si>
  <si>
    <t>Do : 25 km in 2h18' (5'30" / km)</t>
  </si>
  <si>
    <t>Za : 20 km in 1hr20'(4'00" / km)</t>
  </si>
  <si>
    <t>Zo : 1h20' lopen</t>
  </si>
  <si>
    <t>Ma : 10 km in 37'30" (3'45" / km)</t>
  </si>
  <si>
    <t>Di : 5 x 2 km in 6'20" , dribbelpauze 4'</t>
  </si>
  <si>
    <t>Wo : 20 km in 1hr30' (4'30" / km )</t>
  </si>
  <si>
    <t>Do : 10 x 300 m in 50" , dribbelpauze 1'</t>
  </si>
  <si>
    <t>Za : 30'  speelse loop</t>
  </si>
  <si>
    <t>Zo : TEST 5 km in 15'40" (3'08" / km)</t>
  </si>
  <si>
    <t>Ma : 10 km in 45'00" (4'30" / km)</t>
  </si>
  <si>
    <t>Di : 16 km(4 km:22',4 km:19'40",4 km :16'40", 4 km:13'20")geen pauze</t>
  </si>
  <si>
    <t>Wo : 18 km  in 1hr12', (4'00" / km )</t>
  </si>
  <si>
    <t>Do : 10 x 1 km in 3'30"(1' pauze), 4 x 1 km in 3'05" (2' pauze)</t>
  </si>
  <si>
    <t>Vr : 14 km in 46'40" (3'20" / km)</t>
  </si>
  <si>
    <t>Za : 22 km in 1hr32' (4'10" / km)</t>
  </si>
  <si>
    <t>Ma : 5 x 2 km in 6'20" , dribbelpauze 3'</t>
  </si>
  <si>
    <t>Wo : 16 km in 1hr03' (3'55" / km)</t>
  </si>
  <si>
    <t>Do : 10 x 400 m in 1'16" , dribbelpauze 50"</t>
  </si>
  <si>
    <t>Za : 40' speelse loop</t>
  </si>
  <si>
    <t>Zo : 10 km in 32'  (3'12" / km)</t>
  </si>
  <si>
    <t>jogging Leopoldsburg</t>
  </si>
  <si>
    <t xml:space="preserve">jogging </t>
  </si>
  <si>
    <t>Z</t>
  </si>
  <si>
    <t>jogging Hijgend hert</t>
  </si>
  <si>
    <t>jogging Wechelderzande</t>
  </si>
  <si>
    <r>
      <t>Rust</t>
    </r>
    <r>
      <rPr>
        <sz val="14"/>
        <color indexed="8"/>
        <rFont val="Verdana"/>
        <family val="2"/>
      </rPr>
      <t>: minder dan 135 slagen per minuut</t>
    </r>
  </si>
  <si>
    <r>
      <t>Warming-up</t>
    </r>
    <r>
      <rPr>
        <sz val="14"/>
        <color indexed="8"/>
        <rFont val="Verdana"/>
        <family val="2"/>
      </rPr>
      <t>: tussen de 121 en de 149 slagen per minuut</t>
    </r>
  </si>
  <si>
    <r>
      <t>Rustig hardlopen</t>
    </r>
    <r>
      <rPr>
        <sz val="14"/>
        <color indexed="8"/>
        <rFont val="Verdana"/>
        <family val="2"/>
      </rPr>
      <t>: tussen de 135 en de 149 slagen per minuut</t>
    </r>
  </si>
  <si>
    <r>
      <t>Hardlopen</t>
    </r>
    <r>
      <rPr>
        <sz val="14"/>
        <color indexed="8"/>
        <rFont val="Verdana"/>
        <family val="2"/>
      </rPr>
      <t>: tussen de 149 en de 169 slagen per minuut</t>
    </r>
  </si>
  <si>
    <r>
      <t>Hoog tempo</t>
    </r>
    <r>
      <rPr>
        <sz val="14"/>
        <color indexed="8"/>
        <rFont val="Verdana"/>
        <family val="2"/>
      </rPr>
      <t>: tussen de 156 en de 176 slagen per minuut</t>
    </r>
  </si>
  <si>
    <r>
      <t>Interval / fartlek</t>
    </r>
    <r>
      <rPr>
        <sz val="14"/>
        <color indexed="8"/>
        <rFont val="Verdana"/>
        <family val="2"/>
      </rPr>
      <t>: tussen de 156 en de 190 slagen per minuut</t>
    </r>
  </si>
  <si>
    <r>
      <t>Interval / fartlek</t>
    </r>
    <r>
      <rPr>
        <sz val="14"/>
        <color indexed="8"/>
        <rFont val="Verdana"/>
        <family val="2"/>
      </rPr>
      <t>: tussen de 160 en de 195 slagen per minuut</t>
    </r>
  </si>
  <si>
    <t>Hartslagzones ASICS</t>
  </si>
  <si>
    <t>Punt 1</t>
  </si>
  <si>
    <t>Punt 2</t>
  </si>
  <si>
    <t>Punt 3</t>
  </si>
  <si>
    <t>Punt 4</t>
  </si>
  <si>
    <t>Punt 5</t>
  </si>
  <si>
    <t>Punt 6</t>
  </si>
  <si>
    <t>over 4 ronden</t>
  </si>
  <si>
    <t>Test 01/07/2005</t>
  </si>
  <si>
    <t>Snelheid run 1 = 14.6 km/u</t>
  </si>
  <si>
    <t>Snelheid run 2 = 15.12 km/u</t>
  </si>
  <si>
    <t>Snelheid run 3 = 15.64 km/u</t>
  </si>
  <si>
    <t>Snelheid run 4 = 16.16 km/u</t>
  </si>
  <si>
    <t>Snelheid run 5 = 16.68 km/u</t>
  </si>
  <si>
    <t>Snelheid run 6 = 17.2 km/u</t>
  </si>
  <si>
    <t>Snelheid run 7 = 17.72 km/u</t>
  </si>
  <si>
    <t>viad</t>
  </si>
  <si>
    <t>nieuwe CF = 965</t>
  </si>
  <si>
    <t>aankoop Polar S625x</t>
  </si>
  <si>
    <t>Ribben geblesseerd</t>
  </si>
  <si>
    <t>1kg body fat equals 7.727kCal.</t>
  </si>
  <si>
    <t>oude cf = 666, nieuwe cf = 673</t>
  </si>
  <si>
    <t>Tijd</t>
  </si>
  <si>
    <t>loopband</t>
  </si>
  <si>
    <t>slechte afstandsmeting</t>
  </si>
  <si>
    <t>grote blaar op hiel</t>
  </si>
  <si>
    <t>Duathlon Borsbeek</t>
  </si>
  <si>
    <t/>
  </si>
  <si>
    <t>HSmeter vergeten</t>
  </si>
  <si>
    <t>Zilvermeerjogging</t>
  </si>
  <si>
    <t>1/2 Marathon Kasterlee</t>
  </si>
  <si>
    <t>42.2km</t>
  </si>
  <si>
    <t>Hardlopen</t>
  </si>
  <si>
    <t>zo, 4 sep 2011 16:04</t>
  </si>
  <si>
    <t>vr, 2 sep 2011 14:15</t>
  </si>
  <si>
    <t>wo, 31 aug 2011 20:59</t>
  </si>
  <si>
    <t>di, 30 aug 2011 20:41</t>
  </si>
  <si>
    <t>zo, 28 aug 2011 13:24</t>
  </si>
  <si>
    <t>za, 27 aug 2011 19:13</t>
  </si>
  <si>
    <t>za, 27 aug 2011 18:32</t>
  </si>
  <si>
    <t>vr, 26 aug 2011 20:32</t>
  </si>
  <si>
    <t>za, 20 aug 2011 12:04</t>
  </si>
  <si>
    <t>vr, 19 aug 2011 19:00</t>
  </si>
  <si>
    <t>vr, 19 aug 2011 18:36</t>
  </si>
  <si>
    <t>wo, 17 aug 2011 20:54</t>
  </si>
  <si>
    <t>ma, 15 aug 2011 19:45</t>
  </si>
  <si>
    <t>zo, 14 aug 2011 12:45</t>
  </si>
  <si>
    <t>ma, 8 aug 2011 20:32</t>
  </si>
  <si>
    <t>zo, 7 aug 2011 17:41</t>
  </si>
  <si>
    <t>vr, 5 aug 2011 19:30</t>
  </si>
  <si>
    <t>wo, 3 aug 2011 20:33</t>
  </si>
  <si>
    <t>di, 2 aug 2011 20:34</t>
  </si>
  <si>
    <t>Naamloos</t>
  </si>
  <si>
    <t>za, 16 jun 2012 16:33</t>
  </si>
  <si>
    <t>za, 16 jun 2012 16:02</t>
  </si>
  <si>
    <t>do, 7 jun 2012 19:59</t>
  </si>
  <si>
    <t>zo, 22 apr 2012 12:13</t>
  </si>
  <si>
    <t>ma, 9 apr 2012 13:03</t>
  </si>
  <si>
    <t>:28</t>
  </si>
  <si>
    <t>--:--</t>
  </si>
  <si>
    <t>zo, 11 mrt 2012 15:00</t>
  </si>
  <si>
    <t>zo, 11 mrt 2012 12:30</t>
  </si>
  <si>
    <t>zo, 11 mrt 2012 9:30</t>
  </si>
  <si>
    <t>zo, 4 mrt 2012 9:51</t>
  </si>
  <si>
    <t>di, 28 feb 2012 18:33</t>
  </si>
  <si>
    <t>:03</t>
  </si>
  <si>
    <t>di, 28 feb 2012 18:29</t>
  </si>
  <si>
    <t>:29</t>
  </si>
  <si>
    <t>zo, 26 feb 2012 15:44</t>
  </si>
  <si>
    <t>zo, 26 feb 2012 15:27</t>
  </si>
  <si>
    <t>zo, 26 feb 2012 15:18</t>
  </si>
  <si>
    <t>:22</t>
  </si>
  <si>
    <t>zo, 26 feb 2012 15:15</t>
  </si>
  <si>
    <t>zo, 26 feb 2012 15:00</t>
  </si>
  <si>
    <t>za, 25 feb 2012 15:36</t>
  </si>
  <si>
    <t>di, 21 feb 2012 18:31</t>
  </si>
  <si>
    <t>:40</t>
  </si>
  <si>
    <t>za, 18 feb 2012 18:04</t>
  </si>
  <si>
    <t>Naam activiteit</t>
  </si>
  <si>
    <t>Type activiteit</t>
  </si>
  <si>
    <t>Start</t>
  </si>
  <si>
    <t>Winst hoogte</t>
  </si>
  <si>
    <t>Gem. snelheid(Gem. tempo)</t>
  </si>
  <si>
    <t>Max. snelheid(Beste tempo)</t>
  </si>
  <si>
    <t>Gem. HS</t>
  </si>
  <si>
    <t>Max. HS</t>
  </si>
  <si>
    <t>Calorieën</t>
  </si>
  <si>
    <t>Totaal slagen</t>
  </si>
  <si>
    <t>Gemiddelde slagen</t>
  </si>
  <si>
    <t>Minmum slagen</t>
  </si>
  <si>
    <t>Gemiddelde SWOLF</t>
  </si>
  <si>
    <t>Beste SWOLF</t>
  </si>
  <si>
    <t>Beste efficiency</t>
  </si>
  <si>
    <t>Training Effect</t>
  </si>
  <si>
    <t>Gemiddelde efficiency</t>
  </si>
  <si>
    <t>za, 18 feb 2012 17:25</t>
  </si>
  <si>
    <t>za, 18 feb 2012 17:18</t>
  </si>
  <si>
    <t>wo, 15 feb 2012 20:32</t>
  </si>
  <si>
    <t>wo, 15 feb 2012 20:20</t>
  </si>
  <si>
    <t>wo, 15 feb 2012 20:10</t>
  </si>
  <si>
    <t>wo, 15 feb 2012 20:02</t>
  </si>
  <si>
    <t>wo, 15 feb 2012 20:00</t>
  </si>
  <si>
    <t>wo, 15 feb 2012 18:57</t>
  </si>
  <si>
    <t>wo, 15 feb 2012 18:46</t>
  </si>
  <si>
    <t>:44</t>
  </si>
  <si>
    <t>wo, 15 feb 2012 18:31</t>
  </si>
  <si>
    <t>wo, 15 feb 2012 18:27</t>
  </si>
  <si>
    <t>:19</t>
  </si>
  <si>
    <t>di, 14 feb 2012 21:08</t>
  </si>
  <si>
    <t>di, 14 feb 2012 20:54</t>
  </si>
  <si>
    <t>di, 7 feb 2012 18:35</t>
  </si>
  <si>
    <t>:50</t>
  </si>
  <si>
    <t>CAL</t>
  </si>
  <si>
    <t>c/km</t>
  </si>
  <si>
    <t>c/h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</si>
</sst>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0.000"/>
    <numFmt numFmtId="165" formatCode="0.0"/>
    <numFmt numFmtId="166" formatCode="h:mm:ss.0"/>
    <numFmt numFmtId="167" formatCode="d/m/yy"/>
    <numFmt numFmtId="168" formatCode="ddd\ dd/mm/yyyy"/>
    <numFmt numFmtId="169" formatCode="mm:ss.00"/>
    <numFmt numFmtId="170" formatCode="[$-F400]h:mm:ss\ AM/PM"/>
    <numFmt numFmtId="171" formatCode="0.00000"/>
    <numFmt numFmtId="172" formatCode="d/mm/yy;@"/>
    <numFmt numFmtId="173" formatCode="h:mm:ss.00"/>
    <numFmt numFmtId="174" formatCode="hh:mm:ss;@"/>
    <numFmt numFmtId="175" formatCode="ddd\ d/mm/yyyy"/>
  </numFmts>
  <fonts count="68">
    <font>
      <sz val="10"/>
      <name val="Arial"/>
    </font>
    <font>
      <sz val="10"/>
      <color indexed="9"/>
      <name val="Arial"/>
      <family val="2"/>
    </font>
    <font>
      <sz val="12"/>
      <color indexed="9"/>
      <name val="Arial"/>
    </font>
    <font>
      <sz val="10"/>
      <color indexed="8"/>
      <name val="Arial"/>
    </font>
    <font>
      <sz val="10"/>
      <color indexed="16"/>
      <name val="Arial"/>
      <family val="2"/>
    </font>
    <font>
      <b/>
      <sz val="7"/>
      <color indexed="8"/>
      <name val="Arial"/>
      <family val="2"/>
    </font>
    <font>
      <sz val="7"/>
      <name val="Arial"/>
      <family val="2"/>
    </font>
    <font>
      <sz val="7"/>
      <color indexed="9"/>
      <name val="Arial"/>
      <family val="2"/>
    </font>
    <font>
      <b/>
      <sz val="10"/>
      <name val="Arial"/>
      <family val="2"/>
    </font>
    <font>
      <sz val="10"/>
      <color indexed="9"/>
      <name val="Tahoma"/>
      <family val="2"/>
    </font>
    <font>
      <sz val="10"/>
      <name val="Arial"/>
      <family val="2"/>
    </font>
    <font>
      <sz val="16"/>
      <name val="Arial"/>
    </font>
    <font>
      <b/>
      <sz val="10"/>
      <color indexed="8"/>
      <name val="Eras Ultra ITC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name val="Arial"/>
      <family val="2"/>
    </font>
    <font>
      <sz val="10"/>
      <name val="Courier New"/>
    </font>
    <font>
      <sz val="10"/>
      <name val="Courier New"/>
      <family val="3"/>
    </font>
    <font>
      <sz val="8"/>
      <name val="Courier New"/>
    </font>
    <font>
      <sz val="8"/>
      <name val="Arial"/>
    </font>
    <font>
      <b/>
      <sz val="10"/>
      <color indexed="13"/>
      <name val="Arial"/>
      <family val="2"/>
    </font>
    <font>
      <b/>
      <sz val="16"/>
      <color indexed="8"/>
      <name val="Arial"/>
    </font>
    <font>
      <i/>
      <sz val="10"/>
      <color indexed="9"/>
      <name val="Tahoma"/>
      <family val="2"/>
    </font>
    <font>
      <i/>
      <sz val="10"/>
      <color indexed="9"/>
      <name val="Arial"/>
      <family val="2"/>
    </font>
    <font>
      <b/>
      <sz val="12"/>
      <color indexed="81"/>
      <name val="Tahoma"/>
      <family val="2"/>
    </font>
    <font>
      <sz val="16"/>
      <color indexed="8"/>
      <name val="Arial"/>
    </font>
    <font>
      <sz val="11"/>
      <name val="Courier New"/>
      <family val="3"/>
    </font>
    <font>
      <b/>
      <sz val="11"/>
      <name val="Courier New"/>
      <family val="3"/>
    </font>
    <font>
      <sz val="12"/>
      <color indexed="81"/>
      <name val="Tahoma"/>
      <family val="2"/>
    </font>
    <font>
      <sz val="10"/>
      <color indexed="81"/>
      <name val="Tahoma"/>
      <family val="2"/>
    </font>
    <font>
      <b/>
      <sz val="11"/>
      <color indexed="56"/>
      <name val="Verdana"/>
      <family val="2"/>
    </font>
    <font>
      <b/>
      <sz val="14"/>
      <color indexed="13"/>
      <name val="Arial"/>
      <family val="2"/>
    </font>
    <font>
      <sz val="14"/>
      <color indexed="13"/>
      <name val="Arial"/>
      <family val="2"/>
    </font>
    <font>
      <b/>
      <sz val="10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sz val="11"/>
      <color indexed="81"/>
      <name val="Tahoma"/>
      <family val="2"/>
    </font>
    <font>
      <b/>
      <sz val="18"/>
      <color indexed="81"/>
      <name val="Tahoma"/>
      <family val="2"/>
    </font>
    <font>
      <sz val="14"/>
      <color indexed="81"/>
      <name val="Tahoma"/>
      <family val="2"/>
    </font>
    <font>
      <strike/>
      <sz val="10"/>
      <color indexed="9"/>
      <name val="Arial"/>
      <family val="2"/>
    </font>
    <font>
      <sz val="12"/>
      <color indexed="81"/>
      <name val="Arial"/>
      <family val="2"/>
    </font>
    <font>
      <b/>
      <sz val="11"/>
      <color indexed="81"/>
      <name val="Tahoma"/>
      <family val="2"/>
    </font>
    <font>
      <sz val="18"/>
      <color indexed="81"/>
      <name val="Tahoma"/>
      <family val="2"/>
    </font>
    <font>
      <sz val="9"/>
      <color indexed="9"/>
      <name val="Tahoma"/>
      <family val="2"/>
    </font>
    <font>
      <i/>
      <sz val="9"/>
      <color indexed="9"/>
      <name val="Tahoma"/>
      <family val="2"/>
    </font>
    <font>
      <b/>
      <sz val="9"/>
      <color indexed="9"/>
      <name val="Tahoma"/>
      <family val="2"/>
    </font>
    <font>
      <sz val="12"/>
      <name val="Times New Roman"/>
      <family val="1"/>
    </font>
    <font>
      <b/>
      <sz val="10"/>
      <color indexed="10"/>
      <name val="Courier New"/>
      <family val="3"/>
    </font>
    <font>
      <b/>
      <sz val="10"/>
      <name val="Courier New"/>
      <family val="3"/>
    </font>
    <font>
      <sz val="9"/>
      <color indexed="81"/>
      <name val="Tahoma"/>
      <family val="2"/>
    </font>
    <font>
      <b/>
      <sz val="14"/>
      <color indexed="8"/>
      <name val="Verdana"/>
      <family val="2"/>
    </font>
    <font>
      <sz val="14"/>
      <color indexed="8"/>
      <name val="Verdana"/>
      <family val="2"/>
    </font>
    <font>
      <sz val="14"/>
      <name val="Arial"/>
    </font>
    <font>
      <sz val="12"/>
      <name val="Arial"/>
    </font>
    <font>
      <sz val="9"/>
      <color indexed="9"/>
      <name val="Arial"/>
      <family val="2"/>
    </font>
    <font>
      <b/>
      <sz val="10"/>
      <color indexed="9"/>
      <name val="Tahoma"/>
      <family val="2"/>
    </font>
    <font>
      <sz val="14"/>
      <color indexed="9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rgb="FF3B73C4"/>
      <name val="Arial"/>
      <family val="2"/>
    </font>
    <font>
      <sz val="9"/>
      <name val="Tahoma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1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8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3F4FF"/>
        <bgColor indexed="64"/>
      </patternFill>
    </fill>
    <fill>
      <patternFill patternType="solid">
        <fgColor rgb="FFECF4FE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ill="0" applyBorder="0" applyAlignment="0" applyProtection="0"/>
  </cellStyleXfs>
  <cellXfs count="446">
    <xf numFmtId="0" fontId="0" fillId="0" borderId="0" xfId="0"/>
    <xf numFmtId="0" fontId="2" fillId="0" borderId="0" xfId="0" applyFont="1"/>
    <xf numFmtId="0" fontId="4" fillId="2" borderId="1" xfId="1" applyFont="1" applyFill="1" applyBorder="1" applyAlignment="1">
      <alignment horizontal="center"/>
    </xf>
    <xf numFmtId="21" fontId="4" fillId="2" borderId="1" xfId="1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 wrapText="1"/>
    </xf>
    <xf numFmtId="21" fontId="4" fillId="0" borderId="2" xfId="1" applyNumberFormat="1" applyFont="1" applyFill="1" applyBorder="1" applyAlignment="1">
      <alignment horizontal="center" wrapText="1"/>
    </xf>
    <xf numFmtId="0" fontId="4" fillId="0" borderId="2" xfId="1" applyFont="1" applyFill="1" applyBorder="1" applyAlignment="1">
      <alignment horizontal="center" wrapText="1"/>
    </xf>
    <xf numFmtId="47" fontId="4" fillId="0" borderId="0" xfId="0" applyNumberFormat="1" applyFont="1" applyAlignment="1">
      <alignment horizontal="center"/>
    </xf>
    <xf numFmtId="0" fontId="4" fillId="0" borderId="0" xfId="2" applyFont="1" applyFill="1" applyBorder="1" applyAlignment="1">
      <alignment horizontal="center" wrapText="1"/>
    </xf>
    <xf numFmtId="21" fontId="4" fillId="0" borderId="0" xfId="1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 wrapText="1"/>
    </xf>
    <xf numFmtId="21" fontId="4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21" fontId="6" fillId="0" borderId="0" xfId="0" applyNumberFormat="1" applyFont="1" applyAlignment="1">
      <alignment horizontal="center"/>
    </xf>
    <xf numFmtId="45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21" fontId="5" fillId="3" borderId="3" xfId="0" applyNumberFormat="1" applyFont="1" applyFill="1" applyBorder="1" applyAlignment="1">
      <alignment horizontal="center"/>
    </xf>
    <xf numFmtId="45" fontId="7" fillId="4" borderId="3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21" fontId="7" fillId="4" borderId="3" xfId="0" applyNumberFormat="1" applyFont="1" applyFill="1" applyBorder="1" applyAlignment="1">
      <alignment horizontal="center"/>
    </xf>
    <xf numFmtId="0" fontId="1" fillId="2" borderId="1" xfId="3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4" fillId="0" borderId="0" xfId="0" applyNumberFormat="1" applyFont="1"/>
    <xf numFmtId="0" fontId="0" fillId="0" borderId="0" xfId="0" applyNumberFormat="1"/>
    <xf numFmtId="165" fontId="0" fillId="0" borderId="0" xfId="0" applyNumberFormat="1"/>
    <xf numFmtId="47" fontId="0" fillId="0" borderId="0" xfId="0" applyNumberFormat="1"/>
    <xf numFmtId="166" fontId="0" fillId="0" borderId="0" xfId="0" applyNumberFormat="1" applyAlignment="1">
      <alignment horizontal="center"/>
    </xf>
    <xf numFmtId="0" fontId="4" fillId="2" borderId="0" xfId="2" applyFont="1" applyFill="1" applyBorder="1" applyAlignment="1">
      <alignment horizontal="center"/>
    </xf>
    <xf numFmtId="0" fontId="1" fillId="0" borderId="2" xfId="3" applyNumberFormat="1" applyFont="1" applyFill="1" applyBorder="1" applyAlignment="1">
      <alignment horizontal="center" wrapText="1"/>
    </xf>
    <xf numFmtId="47" fontId="0" fillId="0" borderId="0" xfId="0" applyNumberFormat="1" applyAlignment="1">
      <alignment horizontal="center"/>
    </xf>
    <xf numFmtId="21" fontId="4" fillId="0" borderId="4" xfId="1" applyNumberFormat="1" applyFont="1" applyFill="1" applyBorder="1" applyAlignment="1">
      <alignment horizontal="center" wrapText="1"/>
    </xf>
    <xf numFmtId="21" fontId="4" fillId="0" borderId="5" xfId="1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1" fontId="4" fillId="0" borderId="8" xfId="1" applyNumberFormat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2" fontId="1" fillId="0" borderId="2" xfId="3" applyNumberFormat="1" applyFont="1" applyFill="1" applyBorder="1" applyAlignment="1">
      <alignment horizontal="center" wrapText="1"/>
    </xf>
    <xf numFmtId="2" fontId="1" fillId="0" borderId="0" xfId="0" applyNumberFormat="1" applyFont="1" applyAlignment="1">
      <alignment horizontal="center"/>
    </xf>
    <xf numFmtId="165" fontId="4" fillId="2" borderId="1" xfId="2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7" fontId="8" fillId="0" borderId="0" xfId="0" applyNumberFormat="1" applyFont="1"/>
    <xf numFmtId="0" fontId="0" fillId="0" borderId="0" xfId="0" quotePrefix="1" applyAlignment="1">
      <alignment horizontal="center"/>
    </xf>
    <xf numFmtId="21" fontId="9" fillId="0" borderId="0" xfId="0" applyNumberFormat="1" applyFont="1" applyAlignment="1">
      <alignment horizontal="center"/>
    </xf>
    <xf numFmtId="167" fontId="5" fillId="3" borderId="3" xfId="0" applyNumberFormat="1" applyFont="1" applyFill="1" applyBorder="1" applyAlignment="1">
      <alignment horizontal="center"/>
    </xf>
    <xf numFmtId="167" fontId="7" fillId="4" borderId="3" xfId="0" applyNumberFormat="1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21" fontId="0" fillId="0" borderId="0" xfId="0" applyNumberFormat="1"/>
    <xf numFmtId="0" fontId="8" fillId="0" borderId="3" xfId="0" applyFont="1" applyBorder="1" applyAlignment="1">
      <alignment horizontal="center"/>
    </xf>
    <xf numFmtId="47" fontId="10" fillId="0" borderId="0" xfId="0" applyNumberFormat="1" applyFont="1"/>
    <xf numFmtId="0" fontId="9" fillId="2" borderId="1" xfId="3" applyFont="1" applyFill="1" applyBorder="1" applyAlignment="1">
      <alignment horizontal="center"/>
    </xf>
    <xf numFmtId="0" fontId="9" fillId="0" borderId="2" xfId="3" applyFont="1" applyFill="1" applyBorder="1" applyAlignment="1">
      <alignment horizontal="center" wrapText="1"/>
    </xf>
    <xf numFmtId="0" fontId="9" fillId="0" borderId="0" xfId="0" applyFont="1" applyBorder="1" applyAlignment="1">
      <alignment horizontal="center"/>
    </xf>
    <xf numFmtId="0" fontId="9" fillId="0" borderId="0" xfId="3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168" fontId="9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47" fontId="11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9" fillId="0" borderId="1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0" borderId="0" xfId="0" applyFont="1" applyFill="1"/>
    <xf numFmtId="21" fontId="10" fillId="0" borderId="0" xfId="0" applyNumberFormat="1" applyFont="1"/>
    <xf numFmtId="9" fontId="0" fillId="0" borderId="0" xfId="0" applyNumberFormat="1"/>
    <xf numFmtId="16" fontId="0" fillId="0" borderId="0" xfId="0" applyNumberFormat="1"/>
    <xf numFmtId="169" fontId="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9" fontId="0" fillId="0" borderId="0" xfId="0" applyNumberFormat="1"/>
    <xf numFmtId="0" fontId="0" fillId="0" borderId="0" xfId="0" applyNumberFormat="1" applyAlignment="1">
      <alignment horizontal="left"/>
    </xf>
    <xf numFmtId="0" fontId="20" fillId="0" borderId="0" xfId="0" applyFont="1"/>
    <xf numFmtId="0" fontId="0" fillId="0" borderId="12" xfId="0" applyBorder="1"/>
    <xf numFmtId="47" fontId="0" fillId="0" borderId="10" xfId="0" applyNumberFormat="1" applyBorder="1"/>
    <xf numFmtId="0" fontId="0" fillId="0" borderId="10" xfId="0" applyBorder="1"/>
    <xf numFmtId="0" fontId="0" fillId="0" borderId="6" xfId="0" applyBorder="1"/>
    <xf numFmtId="0" fontId="0" fillId="0" borderId="13" xfId="0" applyBorder="1"/>
    <xf numFmtId="47" fontId="0" fillId="0" borderId="0" xfId="0" applyNumberFormat="1" applyBorder="1"/>
    <xf numFmtId="0" fontId="0" fillId="0" borderId="0" xfId="0" applyBorder="1"/>
    <xf numFmtId="0" fontId="0" fillId="0" borderId="7" xfId="0" applyBorder="1"/>
    <xf numFmtId="0" fontId="0" fillId="0" borderId="14" xfId="0" applyBorder="1"/>
    <xf numFmtId="47" fontId="0" fillId="0" borderId="11" xfId="0" applyNumberFormat="1" applyBorder="1"/>
    <xf numFmtId="0" fontId="0" fillId="0" borderId="11" xfId="0" applyBorder="1"/>
    <xf numFmtId="0" fontId="0" fillId="0" borderId="9" xfId="0" applyBorder="1"/>
    <xf numFmtId="0" fontId="0" fillId="0" borderId="0" xfId="0" applyFill="1" applyBorder="1"/>
    <xf numFmtId="0" fontId="0" fillId="0" borderId="10" xfId="0" applyFill="1" applyBorder="1"/>
    <xf numFmtId="0" fontId="0" fillId="0" borderId="14" xfId="0" applyFill="1" applyBorder="1"/>
    <xf numFmtId="0" fontId="0" fillId="0" borderId="11" xfId="0" applyFill="1" applyBorder="1"/>
    <xf numFmtId="47" fontId="0" fillId="0" borderId="10" xfId="0" quotePrefix="1" applyNumberFormat="1" applyBorder="1"/>
    <xf numFmtId="0" fontId="0" fillId="0" borderId="0" xfId="0" quotePrefix="1" applyBorder="1" applyAlignment="1">
      <alignment horizontal="center"/>
    </xf>
    <xf numFmtId="21" fontId="0" fillId="0" borderId="11" xfId="0" applyNumberFormat="1" applyBorder="1"/>
    <xf numFmtId="1" fontId="13" fillId="0" borderId="0" xfId="0" applyNumberFormat="1" applyFont="1"/>
    <xf numFmtId="166" fontId="11" fillId="0" borderId="0" xfId="0" applyNumberFormat="1" applyFont="1" applyAlignment="1">
      <alignment horizontal="center"/>
    </xf>
    <xf numFmtId="46" fontId="11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3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21" fontId="26" fillId="0" borderId="0" xfId="0" applyNumberFormat="1" applyFont="1"/>
    <xf numFmtId="164" fontId="26" fillId="0" borderId="0" xfId="0" applyNumberFormat="1" applyFont="1"/>
    <xf numFmtId="170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30" fillId="0" borderId="0" xfId="0" applyFont="1" applyAlignment="1">
      <alignment horizontal="left" indent="1"/>
    </xf>
    <xf numFmtId="45" fontId="11" fillId="0" borderId="0" xfId="0" applyNumberFormat="1" applyFont="1"/>
    <xf numFmtId="0" fontId="31" fillId="0" borderId="0" xfId="0" applyFont="1" applyAlignment="1">
      <alignment horizontal="center"/>
    </xf>
    <xf numFmtId="45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45" fontId="32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1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21" fontId="14" fillId="0" borderId="0" xfId="0" applyNumberFormat="1" applyFont="1" applyAlignment="1">
      <alignment horizontal="center"/>
    </xf>
    <xf numFmtId="21" fontId="15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0" fillId="0" borderId="0" xfId="0" applyNumberFormat="1"/>
    <xf numFmtId="0" fontId="10" fillId="0" borderId="0" xfId="0" applyFont="1"/>
    <xf numFmtId="170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1" fillId="0" borderId="0" xfId="0" applyNumberFormat="1" applyFont="1" applyAlignment="1">
      <alignment horizontal="center"/>
    </xf>
    <xf numFmtId="45" fontId="1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21" fontId="11" fillId="0" borderId="0" xfId="0" applyNumberFormat="1" applyFont="1"/>
    <xf numFmtId="0" fontId="9" fillId="5" borderId="15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2" fontId="1" fillId="5" borderId="15" xfId="0" applyNumberFormat="1" applyFont="1" applyFill="1" applyBorder="1" applyAlignment="1">
      <alignment horizontal="center"/>
    </xf>
    <xf numFmtId="0" fontId="1" fillId="5" borderId="15" xfId="0" applyFont="1" applyFill="1" applyBorder="1"/>
    <xf numFmtId="0" fontId="9" fillId="5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2" fontId="1" fillId="5" borderId="16" xfId="0" applyNumberFormat="1" applyFont="1" applyFill="1" applyBorder="1" applyAlignment="1">
      <alignment horizontal="center"/>
    </xf>
    <xf numFmtId="0" fontId="1" fillId="5" borderId="16" xfId="0" applyFont="1" applyFill="1" applyBorder="1"/>
    <xf numFmtId="0" fontId="9" fillId="5" borderId="1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2" fontId="1" fillId="5" borderId="17" xfId="0" applyNumberFormat="1" applyFont="1" applyFill="1" applyBorder="1" applyAlignment="1">
      <alignment horizontal="center"/>
    </xf>
    <xf numFmtId="0" fontId="1" fillId="5" borderId="17" xfId="0" applyFont="1" applyFill="1" applyBorder="1"/>
    <xf numFmtId="0" fontId="9" fillId="6" borderId="17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2" fontId="1" fillId="6" borderId="17" xfId="0" applyNumberFormat="1" applyFont="1" applyFill="1" applyBorder="1" applyAlignment="1">
      <alignment horizontal="center"/>
    </xf>
    <xf numFmtId="0" fontId="1" fillId="6" borderId="17" xfId="0" applyFont="1" applyFill="1" applyBorder="1"/>
    <xf numFmtId="0" fontId="9" fillId="6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2" fontId="1" fillId="6" borderId="15" xfId="0" applyNumberFormat="1" applyFont="1" applyFill="1" applyBorder="1" applyAlignment="1">
      <alignment horizontal="center"/>
    </xf>
    <xf numFmtId="0" fontId="1" fillId="6" borderId="15" xfId="0" applyFont="1" applyFill="1" applyBorder="1"/>
    <xf numFmtId="0" fontId="9" fillId="6" borderId="18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2" fontId="1" fillId="6" borderId="18" xfId="0" applyNumberFormat="1" applyFont="1" applyFill="1" applyBorder="1" applyAlignment="1">
      <alignment horizontal="center"/>
    </xf>
    <xf numFmtId="0" fontId="1" fillId="6" borderId="18" xfId="0" applyFont="1" applyFill="1" applyBorder="1"/>
    <xf numFmtId="165" fontId="43" fillId="0" borderId="0" xfId="0" applyNumberFormat="1" applyFont="1" applyAlignment="1">
      <alignment horizontal="center"/>
    </xf>
    <xf numFmtId="0" fontId="43" fillId="0" borderId="0" xfId="0" quotePrefix="1" applyFont="1" applyAlignment="1">
      <alignment horizontal="center"/>
    </xf>
    <xf numFmtId="0" fontId="43" fillId="5" borderId="15" xfId="0" applyFont="1" applyFill="1" applyBorder="1" applyAlignment="1">
      <alignment horizontal="center"/>
    </xf>
    <xf numFmtId="21" fontId="43" fillId="2" borderId="1" xfId="3" applyNumberFormat="1" applyFont="1" applyFill="1" applyBorder="1" applyAlignment="1">
      <alignment horizontal="center"/>
    </xf>
    <xf numFmtId="21" fontId="43" fillId="0" borderId="2" xfId="3" applyNumberFormat="1" applyFont="1" applyFill="1" applyBorder="1" applyAlignment="1">
      <alignment horizontal="center" wrapText="1"/>
    </xf>
    <xf numFmtId="21" fontId="43" fillId="0" borderId="0" xfId="0" applyNumberFormat="1" applyFont="1" applyBorder="1" applyAlignment="1">
      <alignment horizontal="center"/>
    </xf>
    <xf numFmtId="21" fontId="43" fillId="0" borderId="0" xfId="3" applyNumberFormat="1" applyFont="1" applyFill="1" applyBorder="1" applyAlignment="1">
      <alignment horizontal="center" wrapText="1"/>
    </xf>
    <xf numFmtId="21" fontId="43" fillId="0" borderId="0" xfId="0" applyNumberFormat="1" applyFont="1" applyAlignment="1">
      <alignment horizontal="center"/>
    </xf>
    <xf numFmtId="21" fontId="43" fillId="0" borderId="0" xfId="0" quotePrefix="1" applyNumberFormat="1" applyFont="1" applyAlignment="1">
      <alignment horizontal="center"/>
    </xf>
    <xf numFmtId="21" fontId="43" fillId="5" borderId="15" xfId="0" applyNumberFormat="1" applyFont="1" applyFill="1" applyBorder="1" applyAlignment="1">
      <alignment horizontal="center"/>
    </xf>
    <xf numFmtId="21" fontId="43" fillId="0" borderId="4" xfId="3" applyNumberFormat="1" applyFont="1" applyFill="1" applyBorder="1" applyAlignment="1">
      <alignment horizontal="center" wrapText="1"/>
    </xf>
    <xf numFmtId="21" fontId="43" fillId="0" borderId="5" xfId="3" applyNumberFormat="1" applyFont="1" applyFill="1" applyBorder="1" applyAlignment="1">
      <alignment horizontal="center" wrapText="1"/>
    </xf>
    <xf numFmtId="21" fontId="43" fillId="0" borderId="8" xfId="3" applyNumberFormat="1" applyFont="1" applyFill="1" applyBorder="1" applyAlignment="1">
      <alignment horizontal="center" wrapText="1"/>
    </xf>
    <xf numFmtId="21" fontId="43" fillId="0" borderId="23" xfId="3" applyNumberFormat="1" applyFont="1" applyFill="1" applyBorder="1" applyAlignment="1">
      <alignment horizontal="center" wrapText="1"/>
    </xf>
    <xf numFmtId="21" fontId="45" fillId="0" borderId="2" xfId="3" applyNumberFormat="1" applyFont="1" applyFill="1" applyBorder="1" applyAlignment="1">
      <alignment horizontal="center" wrapText="1"/>
    </xf>
    <xf numFmtId="21" fontId="44" fillId="0" borderId="2" xfId="3" applyNumberFormat="1" applyFont="1" applyFill="1" applyBorder="1" applyAlignment="1">
      <alignment horizontal="center" wrapText="1"/>
    </xf>
    <xf numFmtId="21" fontId="43" fillId="7" borderId="17" xfId="3" applyNumberFormat="1" applyFont="1" applyFill="1" applyBorder="1" applyAlignment="1">
      <alignment horizontal="center" wrapText="1"/>
    </xf>
    <xf numFmtId="21" fontId="43" fillId="7" borderId="15" xfId="3" applyNumberFormat="1" applyFont="1" applyFill="1" applyBorder="1" applyAlignment="1">
      <alignment horizontal="center" wrapText="1"/>
    </xf>
    <xf numFmtId="21" fontId="43" fillId="7" borderId="16" xfId="3" applyNumberFormat="1" applyFont="1" applyFill="1" applyBorder="1" applyAlignment="1">
      <alignment horizontal="center" wrapText="1"/>
    </xf>
    <xf numFmtId="21" fontId="43" fillId="8" borderId="17" xfId="3" applyNumberFormat="1" applyFont="1" applyFill="1" applyBorder="1" applyAlignment="1">
      <alignment horizontal="center" wrapText="1"/>
    </xf>
    <xf numFmtId="21" fontId="43" fillId="8" borderId="15" xfId="3" applyNumberFormat="1" applyFont="1" applyFill="1" applyBorder="1" applyAlignment="1">
      <alignment horizontal="center" wrapText="1"/>
    </xf>
    <xf numFmtId="21" fontId="43" fillId="8" borderId="18" xfId="3" applyNumberFormat="1" applyFont="1" applyFill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21" fontId="2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2" fontId="1" fillId="6" borderId="16" xfId="0" applyNumberFormat="1" applyFont="1" applyFill="1" applyBorder="1" applyAlignment="1">
      <alignment horizontal="center"/>
    </xf>
    <xf numFmtId="2" fontId="1" fillId="5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48" fillId="0" borderId="0" xfId="0" applyFont="1" applyAlignment="1">
      <alignment horizontal="center" vertical="center" wrapText="1"/>
    </xf>
    <xf numFmtId="14" fontId="17" fillId="0" borderId="12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vertical="center" wrapText="1"/>
    </xf>
    <xf numFmtId="0" fontId="17" fillId="0" borderId="6" xfId="0" applyFont="1" applyBorder="1" applyAlignment="1">
      <alignment vertical="center"/>
    </xf>
    <xf numFmtId="14" fontId="17" fillId="0" borderId="13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 wrapText="1"/>
    </xf>
    <xf numFmtId="0" fontId="17" fillId="0" borderId="7" xfId="0" applyFont="1" applyBorder="1" applyAlignment="1">
      <alignment vertical="center"/>
    </xf>
    <xf numFmtId="14" fontId="17" fillId="0" borderId="14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vertical="center" wrapText="1"/>
    </xf>
    <xf numFmtId="0" fontId="17" fillId="0" borderId="9" xfId="0" applyFont="1" applyBorder="1" applyAlignment="1">
      <alignment vertical="center"/>
    </xf>
    <xf numFmtId="0" fontId="17" fillId="0" borderId="6" xfId="0" applyFont="1" applyBorder="1"/>
    <xf numFmtId="0" fontId="17" fillId="0" borderId="7" xfId="0" applyFont="1" applyBorder="1"/>
    <xf numFmtId="0" fontId="17" fillId="0" borderId="9" xfId="0" applyFont="1" applyBorder="1"/>
    <xf numFmtId="0" fontId="46" fillId="0" borderId="9" xfId="0" applyFont="1" applyBorder="1"/>
    <xf numFmtId="0" fontId="50" fillId="0" borderId="0" xfId="0" applyFont="1" applyAlignment="1">
      <alignment horizontal="left" indent="1"/>
    </xf>
    <xf numFmtId="0" fontId="52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171" fontId="0" fillId="0" borderId="0" xfId="0" applyNumberFormat="1"/>
    <xf numFmtId="20" fontId="4" fillId="0" borderId="0" xfId="0" applyNumberFormat="1" applyFont="1"/>
    <xf numFmtId="46" fontId="4" fillId="0" borderId="0" xfId="0" applyNumberFormat="1" applyFont="1"/>
    <xf numFmtId="21" fontId="4" fillId="0" borderId="0" xfId="0" applyNumberFormat="1" applyFont="1"/>
    <xf numFmtId="47" fontId="4" fillId="0" borderId="0" xfId="0" applyNumberFormat="1" applyFont="1"/>
    <xf numFmtId="0" fontId="53" fillId="0" borderId="0" xfId="0" applyFont="1"/>
    <xf numFmtId="0" fontId="11" fillId="0" borderId="0" xfId="0" applyFont="1" applyAlignment="1">
      <alignment horizontal="left"/>
    </xf>
    <xf numFmtId="165" fontId="43" fillId="6" borderId="15" xfId="0" applyNumberFormat="1" applyFont="1" applyFill="1" applyBorder="1" applyAlignment="1">
      <alignment horizontal="center"/>
    </xf>
    <xf numFmtId="0" fontId="9" fillId="6" borderId="15" xfId="0" applyNumberFormat="1" applyFont="1" applyFill="1" applyBorder="1" applyAlignment="1">
      <alignment horizontal="center"/>
    </xf>
    <xf numFmtId="1" fontId="9" fillId="5" borderId="16" xfId="0" applyNumberFormat="1" applyFont="1" applyFill="1" applyBorder="1" applyAlignment="1">
      <alignment horizontal="center"/>
    </xf>
    <xf numFmtId="2" fontId="9" fillId="6" borderId="15" xfId="0" applyNumberFormat="1" applyFont="1" applyFill="1" applyBorder="1" applyAlignment="1">
      <alignment horizontal="center"/>
    </xf>
    <xf numFmtId="1" fontId="9" fillId="6" borderId="15" xfId="0" applyNumberFormat="1" applyFont="1" applyFill="1" applyBorder="1" applyAlignment="1">
      <alignment horizontal="center"/>
    </xf>
    <xf numFmtId="1" fontId="9" fillId="5" borderId="15" xfId="0" applyNumberFormat="1" applyFont="1" applyFill="1" applyBorder="1" applyAlignment="1">
      <alignment horizontal="center"/>
    </xf>
    <xf numFmtId="0" fontId="55" fillId="5" borderId="15" xfId="0" applyFont="1" applyFill="1" applyBorder="1" applyAlignment="1">
      <alignment horizontal="center"/>
    </xf>
    <xf numFmtId="21" fontId="43" fillId="7" borderId="24" xfId="3" applyNumberFormat="1" applyFont="1" applyFill="1" applyBorder="1" applyAlignment="1">
      <alignment horizontal="center" wrapText="1"/>
    </xf>
    <xf numFmtId="0" fontId="9" fillId="5" borderId="24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4" xfId="0" applyFont="1" applyFill="1" applyBorder="1"/>
    <xf numFmtId="47" fontId="11" fillId="0" borderId="0" xfId="0" applyNumberFormat="1" applyFont="1"/>
    <xf numFmtId="21" fontId="56" fillId="0" borderId="0" xfId="0" applyNumberFormat="1" applyFont="1" applyAlignment="1">
      <alignment horizontal="center"/>
    </xf>
    <xf numFmtId="0" fontId="11" fillId="0" borderId="0" xfId="0" applyNumberFormat="1" applyFont="1"/>
    <xf numFmtId="0" fontId="10" fillId="9" borderId="3" xfId="0" applyFont="1" applyFill="1" applyBorder="1" applyAlignment="1">
      <alignment horizontal="center"/>
    </xf>
    <xf numFmtId="2" fontId="10" fillId="9" borderId="3" xfId="0" applyNumberFormat="1" applyFont="1" applyFill="1" applyBorder="1" applyAlignment="1">
      <alignment horizontal="center"/>
    </xf>
    <xf numFmtId="0" fontId="58" fillId="9" borderId="3" xfId="0" applyFont="1" applyFill="1" applyBorder="1" applyAlignment="1">
      <alignment horizontal="center"/>
    </xf>
    <xf numFmtId="2" fontId="10" fillId="9" borderId="3" xfId="0" applyNumberFormat="1" applyFont="1" applyFill="1" applyBorder="1" applyAlignment="1">
      <alignment horizontal="center"/>
    </xf>
    <xf numFmtId="0" fontId="58" fillId="10" borderId="3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58" fillId="10" borderId="31" xfId="0" applyFont="1" applyFill="1" applyBorder="1" applyAlignment="1">
      <alignment horizontal="center"/>
    </xf>
    <xf numFmtId="0" fontId="58" fillId="9" borderId="32" xfId="0" applyFont="1" applyFill="1" applyBorder="1" applyAlignment="1">
      <alignment horizontal="center"/>
    </xf>
    <xf numFmtId="0" fontId="58" fillId="10" borderId="32" xfId="0" applyFont="1" applyFill="1" applyBorder="1" applyAlignment="1">
      <alignment horizontal="center"/>
    </xf>
    <xf numFmtId="21" fontId="58" fillId="11" borderId="3" xfId="3" applyNumberFormat="1" applyFont="1" applyFill="1" applyBorder="1" applyAlignment="1">
      <alignment horizontal="center" wrapText="1"/>
    </xf>
    <xf numFmtId="0" fontId="59" fillId="10" borderId="32" xfId="0" applyFont="1" applyFill="1" applyBorder="1" applyAlignment="1">
      <alignment horizontal="center"/>
    </xf>
    <xf numFmtId="0" fontId="59" fillId="9" borderId="3" xfId="0" applyFont="1" applyFill="1" applyBorder="1" applyAlignment="1">
      <alignment horizontal="center"/>
    </xf>
    <xf numFmtId="0" fontId="58" fillId="9" borderId="31" xfId="0" applyFont="1" applyFill="1" applyBorder="1" applyAlignment="1">
      <alignment horizontal="center"/>
    </xf>
    <xf numFmtId="0" fontId="58" fillId="0" borderId="35" xfId="0" applyNumberFormat="1" applyFont="1" applyFill="1" applyBorder="1" applyAlignment="1">
      <alignment horizontal="center"/>
    </xf>
    <xf numFmtId="0" fontId="58" fillId="0" borderId="3" xfId="0" applyNumberFormat="1" applyFont="1" applyFill="1" applyBorder="1" applyAlignment="1">
      <alignment horizontal="center"/>
    </xf>
    <xf numFmtId="0" fontId="58" fillId="10" borderId="32" xfId="0" applyFont="1" applyFill="1" applyBorder="1" applyAlignment="1">
      <alignment horizontal="center" vertical="center"/>
    </xf>
    <xf numFmtId="0" fontId="58" fillId="10" borderId="31" xfId="0" applyFont="1" applyFill="1" applyBorder="1" applyAlignment="1">
      <alignment horizontal="center" vertical="center"/>
    </xf>
    <xf numFmtId="174" fontId="23" fillId="0" borderId="0" xfId="0" applyNumberFormat="1" applyFont="1" applyAlignment="1">
      <alignment horizontal="center"/>
    </xf>
    <xf numFmtId="174" fontId="1" fillId="5" borderId="15" xfId="0" applyNumberFormat="1" applyFont="1" applyFill="1" applyBorder="1" applyAlignment="1">
      <alignment horizontal="center"/>
    </xf>
    <xf numFmtId="174" fontId="1" fillId="5" borderId="17" xfId="0" applyNumberFormat="1" applyFont="1" applyFill="1" applyBorder="1" applyAlignment="1">
      <alignment horizontal="center"/>
    </xf>
    <xf numFmtId="174" fontId="1" fillId="5" borderId="16" xfId="0" applyNumberFormat="1" applyFont="1" applyFill="1" applyBorder="1" applyAlignment="1">
      <alignment horizontal="center"/>
    </xf>
    <xf numFmtId="174" fontId="1" fillId="6" borderId="17" xfId="0" applyNumberFormat="1" applyFont="1" applyFill="1" applyBorder="1" applyAlignment="1">
      <alignment horizontal="center"/>
    </xf>
    <xf numFmtId="174" fontId="1" fillId="6" borderId="15" xfId="0" applyNumberFormat="1" applyFont="1" applyFill="1" applyBorder="1" applyAlignment="1">
      <alignment horizontal="center"/>
    </xf>
    <xf numFmtId="174" fontId="1" fillId="6" borderId="16" xfId="0" applyNumberFormat="1" applyFont="1" applyFill="1" applyBorder="1" applyAlignment="1">
      <alignment horizontal="center"/>
    </xf>
    <xf numFmtId="174" fontId="1" fillId="6" borderId="18" xfId="0" applyNumberFormat="1" applyFont="1" applyFill="1" applyBorder="1" applyAlignment="1">
      <alignment horizontal="center"/>
    </xf>
    <xf numFmtId="174" fontId="1" fillId="5" borderId="24" xfId="0" applyNumberFormat="1" applyFont="1" applyFill="1" applyBorder="1" applyAlignment="1">
      <alignment horizontal="center"/>
    </xf>
    <xf numFmtId="174" fontId="10" fillId="9" borderId="3" xfId="0" applyNumberFormat="1" applyFont="1" applyFill="1" applyBorder="1" applyAlignment="1">
      <alignment horizontal="center"/>
    </xf>
    <xf numFmtId="21" fontId="58" fillId="11" borderId="31" xfId="3" applyNumberFormat="1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2" fontId="1" fillId="5" borderId="36" xfId="0" applyNumberFormat="1" applyFont="1" applyFill="1" applyBorder="1" applyAlignment="1">
      <alignment horizontal="center"/>
    </xf>
    <xf numFmtId="174" fontId="1" fillId="5" borderId="36" xfId="0" applyNumberFormat="1" applyFont="1" applyFill="1" applyBorder="1" applyAlignment="1">
      <alignment horizontal="center"/>
    </xf>
    <xf numFmtId="0" fontId="1" fillId="0" borderId="11" xfId="0" applyFont="1" applyBorder="1"/>
    <xf numFmtId="165" fontId="43" fillId="0" borderId="2" xfId="3" applyNumberFormat="1" applyFont="1" applyFill="1" applyBorder="1" applyAlignment="1">
      <alignment horizontal="center" wrapText="1"/>
    </xf>
    <xf numFmtId="165" fontId="43" fillId="0" borderId="0" xfId="0" applyNumberFormat="1" applyFont="1" applyBorder="1" applyAlignment="1">
      <alignment horizontal="center"/>
    </xf>
    <xf numFmtId="165" fontId="43" fillId="0" borderId="0" xfId="3" applyNumberFormat="1" applyFont="1" applyFill="1" applyBorder="1" applyAlignment="1">
      <alignment horizontal="center" wrapText="1"/>
    </xf>
    <xf numFmtId="165" fontId="44" fillId="0" borderId="0" xfId="0" applyNumberFormat="1" applyFont="1" applyAlignment="1">
      <alignment horizontal="center"/>
    </xf>
    <xf numFmtId="165" fontId="43" fillId="0" borderId="0" xfId="0" quotePrefix="1" applyNumberFormat="1" applyFont="1" applyAlignment="1">
      <alignment horizontal="center"/>
    </xf>
    <xf numFmtId="165" fontId="43" fillId="5" borderId="17" xfId="0" applyNumberFormat="1" applyFont="1" applyFill="1" applyBorder="1" applyAlignment="1">
      <alignment horizontal="center"/>
    </xf>
    <xf numFmtId="165" fontId="43" fillId="5" borderId="15" xfId="0" applyNumberFormat="1" applyFont="1" applyFill="1" applyBorder="1" applyAlignment="1">
      <alignment horizontal="center"/>
    </xf>
    <xf numFmtId="165" fontId="43" fillId="5" borderId="16" xfId="0" applyNumberFormat="1" applyFont="1" applyFill="1" applyBorder="1" applyAlignment="1">
      <alignment horizontal="center"/>
    </xf>
    <xf numFmtId="165" fontId="43" fillId="6" borderId="17" xfId="0" applyNumberFormat="1" applyFont="1" applyFill="1" applyBorder="1" applyAlignment="1">
      <alignment horizontal="center"/>
    </xf>
    <xf numFmtId="165" fontId="43" fillId="6" borderId="18" xfId="0" applyNumberFormat="1" applyFont="1" applyFill="1" applyBorder="1" applyAlignment="1">
      <alignment horizontal="center"/>
    </xf>
    <xf numFmtId="165" fontId="54" fillId="6" borderId="15" xfId="0" applyNumberFormat="1" applyFont="1" applyFill="1" applyBorder="1" applyAlignment="1">
      <alignment horizontal="center"/>
    </xf>
    <xf numFmtId="165" fontId="43" fillId="5" borderId="24" xfId="0" applyNumberFormat="1" applyFont="1" applyFill="1" applyBorder="1" applyAlignment="1">
      <alignment horizontal="center"/>
    </xf>
    <xf numFmtId="165" fontId="43" fillId="0" borderId="11" xfId="0" applyNumberFormat="1" applyFont="1" applyBorder="1" applyAlignment="1">
      <alignment horizontal="center"/>
    </xf>
    <xf numFmtId="0" fontId="6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21" fontId="43" fillId="8" borderId="21" xfId="3" applyNumberFormat="1" applyFont="1" applyFill="1" applyBorder="1" applyAlignment="1">
      <alignment horizontal="center" vertical="center" wrapText="1"/>
    </xf>
    <xf numFmtId="21" fontId="43" fillId="8" borderId="30" xfId="3" applyNumberFormat="1" applyFont="1" applyFill="1" applyBorder="1" applyAlignment="1">
      <alignment horizontal="center" vertical="center" wrapText="1"/>
    </xf>
    <xf numFmtId="0" fontId="0" fillId="12" borderId="0" xfId="0" applyFill="1"/>
    <xf numFmtId="0" fontId="60" fillId="12" borderId="37" xfId="4" applyFill="1" applyBorder="1" applyAlignment="1">
      <alignment horizontal="left" vertical="center"/>
    </xf>
    <xf numFmtId="0" fontId="62" fillId="12" borderId="37" xfId="0" applyFont="1" applyFill="1" applyBorder="1" applyAlignment="1">
      <alignment horizontal="left" vertical="center"/>
    </xf>
    <xf numFmtId="0" fontId="62" fillId="12" borderId="37" xfId="0" applyFont="1" applyFill="1" applyBorder="1" applyAlignment="1">
      <alignment horizontal="right" vertical="center"/>
    </xf>
    <xf numFmtId="20" fontId="62" fillId="12" borderId="37" xfId="0" applyNumberFormat="1" applyFont="1" applyFill="1" applyBorder="1" applyAlignment="1">
      <alignment horizontal="right" vertical="center"/>
    </xf>
    <xf numFmtId="0" fontId="63" fillId="12" borderId="38" xfId="0" applyFont="1" applyFill="1" applyBorder="1" applyAlignment="1">
      <alignment vertical="center" wrapText="1"/>
    </xf>
    <xf numFmtId="0" fontId="62" fillId="13" borderId="37" xfId="0" applyFont="1" applyFill="1" applyBorder="1" applyAlignment="1">
      <alignment vertical="center"/>
    </xf>
    <xf numFmtId="0" fontId="64" fillId="13" borderId="37" xfId="0" applyFont="1" applyFill="1" applyBorder="1" applyAlignment="1">
      <alignment horizontal="left" vertical="center" wrapText="1"/>
    </xf>
    <xf numFmtId="0" fontId="60" fillId="13" borderId="37" xfId="4" applyFill="1" applyBorder="1" applyAlignment="1">
      <alignment horizontal="left" vertical="center"/>
    </xf>
    <xf numFmtId="0" fontId="62" fillId="13" borderId="37" xfId="0" applyFont="1" applyFill="1" applyBorder="1" applyAlignment="1">
      <alignment horizontal="left" vertical="center"/>
    </xf>
    <xf numFmtId="0" fontId="62" fillId="13" borderId="37" xfId="0" applyFont="1" applyFill="1" applyBorder="1" applyAlignment="1">
      <alignment horizontal="right" vertical="center"/>
    </xf>
    <xf numFmtId="46" fontId="62" fillId="13" borderId="37" xfId="0" applyNumberFormat="1" applyFont="1" applyFill="1" applyBorder="1" applyAlignment="1">
      <alignment horizontal="right" vertical="center"/>
    </xf>
    <xf numFmtId="20" fontId="62" fillId="13" borderId="37" xfId="0" applyNumberFormat="1" applyFont="1" applyFill="1" applyBorder="1" applyAlignment="1">
      <alignment horizontal="right" vertical="center"/>
    </xf>
    <xf numFmtId="0" fontId="63" fillId="13" borderId="38" xfId="0" applyFont="1" applyFill="1" applyBorder="1" applyAlignment="1">
      <alignment vertical="center" wrapText="1"/>
    </xf>
    <xf numFmtId="0" fontId="62" fillId="12" borderId="37" xfId="0" applyFont="1" applyFill="1" applyBorder="1" applyAlignment="1">
      <alignment vertical="center"/>
    </xf>
    <xf numFmtId="0" fontId="64" fillId="12" borderId="37" xfId="0" applyFont="1" applyFill="1" applyBorder="1" applyAlignment="1">
      <alignment horizontal="left" vertical="center" wrapText="1"/>
    </xf>
    <xf numFmtId="46" fontId="62" fillId="12" borderId="37" xfId="0" applyNumberFormat="1" applyFont="1" applyFill="1" applyBorder="1" applyAlignment="1">
      <alignment horizontal="right" vertical="center"/>
    </xf>
    <xf numFmtId="21" fontId="62" fillId="13" borderId="37" xfId="0" applyNumberFormat="1" applyFont="1" applyFill="1" applyBorder="1" applyAlignment="1">
      <alignment horizontal="right" vertical="center"/>
    </xf>
    <xf numFmtId="21" fontId="62" fillId="12" borderId="37" xfId="0" applyNumberFormat="1" applyFont="1" applyFill="1" applyBorder="1" applyAlignment="1">
      <alignment horizontal="right" vertical="center"/>
    </xf>
    <xf numFmtId="0" fontId="62" fillId="14" borderId="37" xfId="0" applyFont="1" applyFill="1" applyBorder="1" applyAlignment="1">
      <alignment vertical="center"/>
    </xf>
    <xf numFmtId="0" fontId="64" fillId="14" borderId="37" xfId="0" applyFont="1" applyFill="1" applyBorder="1" applyAlignment="1">
      <alignment horizontal="left" vertical="center" wrapText="1"/>
    </xf>
    <xf numFmtId="0" fontId="60" fillId="14" borderId="37" xfId="4" applyFill="1" applyBorder="1" applyAlignment="1">
      <alignment horizontal="left" vertical="center"/>
    </xf>
    <xf numFmtId="0" fontId="62" fillId="14" borderId="37" xfId="0" applyFont="1" applyFill="1" applyBorder="1" applyAlignment="1">
      <alignment horizontal="left" vertical="center"/>
    </xf>
    <xf numFmtId="0" fontId="62" fillId="14" borderId="37" xfId="0" applyFont="1" applyFill="1" applyBorder="1" applyAlignment="1">
      <alignment horizontal="right" vertical="center"/>
    </xf>
    <xf numFmtId="20" fontId="62" fillId="14" borderId="37" xfId="0" applyNumberFormat="1" applyFont="1" applyFill="1" applyBorder="1" applyAlignment="1">
      <alignment horizontal="right" vertical="center"/>
    </xf>
    <xf numFmtId="0" fontId="10" fillId="12" borderId="38" xfId="0" applyFont="1" applyFill="1" applyBorder="1" applyAlignment="1">
      <alignment vertical="center" wrapText="1"/>
    </xf>
    <xf numFmtId="0" fontId="10" fillId="13" borderId="38" xfId="0" applyFont="1" applyFill="1" applyBorder="1" applyAlignment="1">
      <alignment vertical="center" wrapText="1"/>
    </xf>
    <xf numFmtId="2" fontId="43" fillId="2" borderId="1" xfId="3" applyNumberFormat="1" applyFont="1" applyFill="1" applyBorder="1" applyAlignment="1">
      <alignment horizontal="center"/>
    </xf>
    <xf numFmtId="0" fontId="62" fillId="12" borderId="37" xfId="0" applyFont="1" applyFill="1" applyBorder="1" applyAlignment="1">
      <alignment horizontal="center" vertical="center"/>
    </xf>
    <xf numFmtId="0" fontId="62" fillId="13" borderId="37" xfId="0" applyFont="1" applyFill="1" applyBorder="1" applyAlignment="1">
      <alignment horizontal="center" vertical="center"/>
    </xf>
    <xf numFmtId="0" fontId="62" fillId="14" borderId="37" xfId="0" applyFont="1" applyFill="1" applyBorder="1" applyAlignment="1">
      <alignment horizontal="center" vertical="center"/>
    </xf>
    <xf numFmtId="175" fontId="65" fillId="9" borderId="3" xfId="0" applyNumberFormat="1" applyFont="1" applyFill="1" applyBorder="1" applyAlignment="1">
      <alignment horizontal="center"/>
    </xf>
    <xf numFmtId="175" fontId="65" fillId="9" borderId="32" xfId="0" applyNumberFormat="1" applyFont="1" applyFill="1" applyBorder="1" applyAlignment="1">
      <alignment horizontal="center"/>
    </xf>
    <xf numFmtId="175" fontId="65" fillId="10" borderId="31" xfId="0" applyNumberFormat="1" applyFont="1" applyFill="1" applyBorder="1" applyAlignment="1">
      <alignment horizontal="center"/>
    </xf>
    <xf numFmtId="175" fontId="65" fillId="10" borderId="3" xfId="0" applyNumberFormat="1" applyFont="1" applyFill="1" applyBorder="1" applyAlignment="1">
      <alignment horizontal="center"/>
    </xf>
    <xf numFmtId="175" fontId="65" fillId="10" borderId="32" xfId="0" applyNumberFormat="1" applyFont="1" applyFill="1" applyBorder="1" applyAlignment="1">
      <alignment horizontal="center"/>
    </xf>
    <xf numFmtId="175" fontId="65" fillId="9" borderId="31" xfId="0" applyNumberFormat="1" applyFont="1" applyFill="1" applyBorder="1" applyAlignment="1">
      <alignment horizontal="center"/>
    </xf>
    <xf numFmtId="175" fontId="65" fillId="10" borderId="32" xfId="0" applyNumberFormat="1" applyFont="1" applyFill="1" applyBorder="1" applyAlignment="1">
      <alignment horizontal="center" vertical="center"/>
    </xf>
    <xf numFmtId="175" fontId="65" fillId="10" borderId="3" xfId="0" applyNumberFormat="1" applyFont="1" applyFill="1" applyBorder="1" applyAlignment="1">
      <alignment horizontal="center" vertical="center"/>
    </xf>
    <xf numFmtId="165" fontId="65" fillId="9" borderId="3" xfId="0" applyNumberFormat="1" applyFont="1" applyFill="1" applyBorder="1" applyAlignment="1">
      <alignment horizontal="center"/>
    </xf>
    <xf numFmtId="165" fontId="65" fillId="9" borderId="32" xfId="0" applyNumberFormat="1" applyFont="1" applyFill="1" applyBorder="1" applyAlignment="1">
      <alignment horizontal="center"/>
    </xf>
    <xf numFmtId="165" fontId="65" fillId="10" borderId="31" xfId="0" applyNumberFormat="1" applyFont="1" applyFill="1" applyBorder="1" applyAlignment="1">
      <alignment horizontal="center"/>
    </xf>
    <xf numFmtId="165" fontId="65" fillId="10" borderId="3" xfId="0" applyNumberFormat="1" applyFont="1" applyFill="1" applyBorder="1" applyAlignment="1">
      <alignment horizontal="center"/>
    </xf>
    <xf numFmtId="165" fontId="65" fillId="10" borderId="32" xfId="0" applyNumberFormat="1" applyFont="1" applyFill="1" applyBorder="1" applyAlignment="1">
      <alignment horizontal="center"/>
    </xf>
    <xf numFmtId="165" fontId="66" fillId="0" borderId="0" xfId="0" applyNumberFormat="1" applyFont="1" applyAlignment="1">
      <alignment horizontal="center"/>
    </xf>
    <xf numFmtId="165" fontId="66" fillId="10" borderId="3" xfId="0" applyNumberFormat="1" applyFont="1" applyFill="1" applyBorder="1" applyAlignment="1">
      <alignment horizontal="center"/>
    </xf>
    <xf numFmtId="165" fontId="65" fillId="9" borderId="31" xfId="0" applyNumberFormat="1" applyFont="1" applyFill="1" applyBorder="1" applyAlignment="1">
      <alignment horizontal="center"/>
    </xf>
    <xf numFmtId="165" fontId="65" fillId="10" borderId="32" xfId="0" applyNumberFormat="1" applyFont="1" applyFill="1" applyBorder="1" applyAlignment="1">
      <alignment horizontal="center" vertical="center"/>
    </xf>
    <xf numFmtId="165" fontId="65" fillId="10" borderId="31" xfId="0" applyNumberFormat="1" applyFont="1" applyFill="1" applyBorder="1" applyAlignment="1">
      <alignment horizontal="center" vertical="center"/>
    </xf>
    <xf numFmtId="165" fontId="65" fillId="0" borderId="35" xfId="0" applyNumberFormat="1" applyFont="1" applyFill="1" applyBorder="1" applyAlignment="1">
      <alignment horizontal="center"/>
    </xf>
    <xf numFmtId="165" fontId="65" fillId="0" borderId="3" xfId="0" applyNumberFormat="1" applyFont="1" applyFill="1" applyBorder="1" applyAlignment="1">
      <alignment horizontal="center"/>
    </xf>
    <xf numFmtId="165" fontId="66" fillId="9" borderId="3" xfId="0" applyNumberFormat="1" applyFont="1" applyFill="1" applyBorder="1" applyAlignment="1">
      <alignment horizontal="center"/>
    </xf>
    <xf numFmtId="2" fontId="66" fillId="0" borderId="0" xfId="0" applyNumberFormat="1" applyFont="1" applyAlignment="1">
      <alignment horizontal="center" vertical="center"/>
    </xf>
    <xf numFmtId="0" fontId="67" fillId="12" borderId="37" xfId="0" applyFont="1" applyFill="1" applyBorder="1" applyAlignment="1">
      <alignment horizontal="center" vertical="center"/>
    </xf>
    <xf numFmtId="0" fontId="67" fillId="13" borderId="37" xfId="0" applyFont="1" applyFill="1" applyBorder="1" applyAlignment="1">
      <alignment horizontal="center" vertical="center"/>
    </xf>
    <xf numFmtId="0" fontId="67" fillId="14" borderId="37" xfId="0" applyFont="1" applyFill="1" applyBorder="1" applyAlignment="1">
      <alignment horizontal="center" vertical="center"/>
    </xf>
    <xf numFmtId="0" fontId="54" fillId="0" borderId="0" xfId="0" applyFont="1" applyAlignment="1">
      <alignment horizontal="center"/>
    </xf>
    <xf numFmtId="174" fontId="43" fillId="0" borderId="2" xfId="3" applyNumberFormat="1" applyFont="1" applyFill="1" applyBorder="1" applyAlignment="1">
      <alignment horizontal="center" wrapText="1"/>
    </xf>
    <xf numFmtId="174" fontId="43" fillId="0" borderId="0" xfId="0" applyNumberFormat="1" applyFont="1" applyBorder="1" applyAlignment="1">
      <alignment horizontal="center"/>
    </xf>
    <xf numFmtId="174" fontId="43" fillId="0" borderId="0" xfId="3" applyNumberFormat="1" applyFont="1" applyFill="1" applyBorder="1" applyAlignment="1">
      <alignment horizontal="center" wrapText="1"/>
    </xf>
    <xf numFmtId="174" fontId="43" fillId="0" borderId="0" xfId="0" applyNumberFormat="1" applyFont="1" applyAlignment="1">
      <alignment horizontal="center"/>
    </xf>
    <xf numFmtId="174" fontId="43" fillId="0" borderId="12" xfId="0" applyNumberFormat="1" applyFont="1" applyBorder="1" applyAlignment="1">
      <alignment horizontal="center"/>
    </xf>
    <xf numFmtId="174" fontId="43" fillId="0" borderId="13" xfId="0" applyNumberFormat="1" applyFont="1" applyBorder="1" applyAlignment="1">
      <alignment horizontal="center"/>
    </xf>
    <xf numFmtId="174" fontId="43" fillId="0" borderId="14" xfId="0" applyNumberFormat="1" applyFont="1" applyBorder="1" applyAlignment="1">
      <alignment horizontal="center"/>
    </xf>
    <xf numFmtId="174" fontId="44" fillId="0" borderId="0" xfId="0" applyNumberFormat="1" applyFont="1" applyAlignment="1">
      <alignment horizontal="center"/>
    </xf>
    <xf numFmtId="174" fontId="43" fillId="0" borderId="0" xfId="0" quotePrefix="1" applyNumberFormat="1" applyFont="1" applyAlignment="1">
      <alignment horizontal="center"/>
    </xf>
    <xf numFmtId="174" fontId="43" fillId="5" borderId="17" xfId="0" applyNumberFormat="1" applyFont="1" applyFill="1" applyBorder="1" applyAlignment="1">
      <alignment horizontal="center"/>
    </xf>
    <xf numFmtId="174" fontId="43" fillId="5" borderId="15" xfId="0" applyNumberFormat="1" applyFont="1" applyFill="1" applyBorder="1" applyAlignment="1">
      <alignment horizontal="center"/>
    </xf>
    <xf numFmtId="174" fontId="43" fillId="5" borderId="16" xfId="0" applyNumberFormat="1" applyFont="1" applyFill="1" applyBorder="1" applyAlignment="1">
      <alignment horizontal="center"/>
    </xf>
    <xf numFmtId="174" fontId="43" fillId="6" borderId="17" xfId="0" applyNumberFormat="1" applyFont="1" applyFill="1" applyBorder="1" applyAlignment="1">
      <alignment horizontal="center"/>
    </xf>
    <xf numFmtId="174" fontId="43" fillId="6" borderId="15" xfId="0" applyNumberFormat="1" applyFont="1" applyFill="1" applyBorder="1" applyAlignment="1">
      <alignment horizontal="center"/>
    </xf>
    <xf numFmtId="174" fontId="43" fillId="6" borderId="18" xfId="0" applyNumberFormat="1" applyFont="1" applyFill="1" applyBorder="1" applyAlignment="1">
      <alignment horizontal="center"/>
    </xf>
    <xf numFmtId="174" fontId="43" fillId="5" borderId="24" xfId="0" applyNumberFormat="1" applyFont="1" applyFill="1" applyBorder="1" applyAlignment="1">
      <alignment horizontal="center"/>
    </xf>
    <xf numFmtId="174" fontId="43" fillId="0" borderId="11" xfId="0" applyNumberFormat="1" applyFont="1" applyBorder="1" applyAlignment="1">
      <alignment horizontal="center"/>
    </xf>
    <xf numFmtId="174" fontId="43" fillId="2" borderId="1" xfId="3" applyNumberFormat="1" applyFont="1" applyFill="1" applyBorder="1" applyAlignment="1">
      <alignment horizontal="center"/>
    </xf>
    <xf numFmtId="174" fontId="54" fillId="6" borderId="15" xfId="0" applyNumberFormat="1" applyFont="1" applyFill="1" applyBorder="1" applyAlignment="1">
      <alignment horizontal="center"/>
    </xf>
    <xf numFmtId="174" fontId="65" fillId="9" borderId="3" xfId="0" applyNumberFormat="1" applyFont="1" applyFill="1" applyBorder="1" applyAlignment="1">
      <alignment horizontal="center"/>
    </xf>
    <xf numFmtId="174" fontId="65" fillId="9" borderId="32" xfId="0" applyNumberFormat="1" applyFont="1" applyFill="1" applyBorder="1" applyAlignment="1">
      <alignment horizontal="center"/>
    </xf>
    <xf numFmtId="174" fontId="65" fillId="10" borderId="31" xfId="0" applyNumberFormat="1" applyFont="1" applyFill="1" applyBorder="1" applyAlignment="1">
      <alignment horizontal="center"/>
    </xf>
    <xf numFmtId="174" fontId="65" fillId="10" borderId="3" xfId="0" applyNumberFormat="1" applyFont="1" applyFill="1" applyBorder="1" applyAlignment="1">
      <alignment horizontal="center"/>
    </xf>
    <xf numFmtId="174" fontId="65" fillId="10" borderId="32" xfId="0" applyNumberFormat="1" applyFont="1" applyFill="1" applyBorder="1" applyAlignment="1">
      <alignment horizontal="center"/>
    </xf>
    <xf numFmtId="174" fontId="66" fillId="0" borderId="0" xfId="0" applyNumberFormat="1" applyFont="1" applyAlignment="1">
      <alignment horizontal="center"/>
    </xf>
    <xf numFmtId="174" fontId="66" fillId="10" borderId="3" xfId="0" applyNumberFormat="1" applyFont="1" applyFill="1" applyBorder="1" applyAlignment="1">
      <alignment horizontal="center"/>
    </xf>
    <xf numFmtId="174" fontId="65" fillId="9" borderId="31" xfId="0" applyNumberFormat="1" applyFont="1" applyFill="1" applyBorder="1" applyAlignment="1">
      <alignment horizontal="center"/>
    </xf>
    <xf numFmtId="174" fontId="65" fillId="10" borderId="32" xfId="0" applyNumberFormat="1" applyFont="1" applyFill="1" applyBorder="1" applyAlignment="1">
      <alignment horizontal="center" vertical="center"/>
    </xf>
    <xf numFmtId="174" fontId="65" fillId="10" borderId="31" xfId="0" applyNumberFormat="1" applyFont="1" applyFill="1" applyBorder="1" applyAlignment="1">
      <alignment horizontal="center" vertical="center"/>
    </xf>
    <xf numFmtId="174" fontId="65" fillId="0" borderId="35" xfId="0" applyNumberFormat="1" applyFont="1" applyFill="1" applyBorder="1" applyAlignment="1">
      <alignment horizontal="center"/>
    </xf>
    <xf numFmtId="174" fontId="65" fillId="0" borderId="3" xfId="0" applyNumberFormat="1" applyFont="1" applyFill="1" applyBorder="1" applyAlignment="1">
      <alignment horizontal="center"/>
    </xf>
    <xf numFmtId="174" fontId="66" fillId="0" borderId="0" xfId="0" applyNumberFormat="1" applyFont="1" applyAlignment="1">
      <alignment horizontal="center" vertical="center"/>
    </xf>
    <xf numFmtId="174" fontId="67" fillId="12" borderId="37" xfId="0" applyNumberFormat="1" applyFont="1" applyFill="1" applyBorder="1" applyAlignment="1">
      <alignment horizontal="center" vertical="center"/>
    </xf>
    <xf numFmtId="174" fontId="67" fillId="13" borderId="37" xfId="0" applyNumberFormat="1" applyFont="1" applyFill="1" applyBorder="1" applyAlignment="1">
      <alignment horizontal="center" vertical="center"/>
    </xf>
    <xf numFmtId="174" fontId="67" fillId="14" borderId="37" xfId="0" applyNumberFormat="1" applyFont="1" applyFill="1" applyBorder="1" applyAlignment="1">
      <alignment horizontal="center" vertical="center"/>
    </xf>
    <xf numFmtId="174" fontId="54" fillId="0" borderId="0" xfId="0" applyNumberFormat="1" applyFont="1" applyAlignment="1">
      <alignment horizontal="center"/>
    </xf>
    <xf numFmtId="175" fontId="43" fillId="2" borderId="1" xfId="3" applyNumberFormat="1" applyFont="1" applyFill="1" applyBorder="1" applyAlignment="1">
      <alignment horizontal="center"/>
    </xf>
    <xf numFmtId="175" fontId="43" fillId="0" borderId="0" xfId="0" applyNumberFormat="1" applyFont="1" applyAlignment="1">
      <alignment horizontal="center"/>
    </xf>
    <xf numFmtId="175" fontId="44" fillId="0" borderId="0" xfId="0" applyNumberFormat="1" applyFont="1" applyAlignment="1">
      <alignment horizontal="center"/>
    </xf>
    <xf numFmtId="175" fontId="43" fillId="5" borderId="19" xfId="0" applyNumberFormat="1" applyFont="1" applyFill="1" applyBorder="1" applyAlignment="1">
      <alignment horizontal="center"/>
    </xf>
    <xf numFmtId="175" fontId="43" fillId="5" borderId="20" xfId="0" applyNumberFormat="1" applyFont="1" applyFill="1" applyBorder="1" applyAlignment="1">
      <alignment horizontal="center"/>
    </xf>
    <xf numFmtId="175" fontId="43" fillId="5" borderId="21" xfId="0" applyNumberFormat="1" applyFont="1" applyFill="1" applyBorder="1" applyAlignment="1">
      <alignment horizontal="center"/>
    </xf>
    <xf numFmtId="175" fontId="43" fillId="6" borderId="19" xfId="0" applyNumberFormat="1" applyFont="1" applyFill="1" applyBorder="1" applyAlignment="1">
      <alignment horizontal="center"/>
    </xf>
    <xf numFmtId="175" fontId="43" fillId="6" borderId="20" xfId="0" applyNumberFormat="1" applyFont="1" applyFill="1" applyBorder="1" applyAlignment="1">
      <alignment horizontal="center"/>
    </xf>
    <xf numFmtId="175" fontId="43" fillId="6" borderId="22" xfId="0" applyNumberFormat="1" applyFont="1" applyFill="1" applyBorder="1" applyAlignment="1">
      <alignment horizontal="center"/>
    </xf>
    <xf numFmtId="175" fontId="43" fillId="5" borderId="25" xfId="0" applyNumberFormat="1" applyFont="1" applyFill="1" applyBorder="1" applyAlignment="1">
      <alignment horizontal="center"/>
    </xf>
    <xf numFmtId="175" fontId="65" fillId="0" borderId="35" xfId="0" applyNumberFormat="1" applyFont="1" applyFill="1" applyBorder="1" applyAlignment="1">
      <alignment horizontal="center"/>
    </xf>
    <xf numFmtId="175" fontId="65" fillId="0" borderId="3" xfId="0" applyNumberFormat="1" applyFont="1" applyFill="1" applyBorder="1" applyAlignment="1">
      <alignment horizontal="center"/>
    </xf>
    <xf numFmtId="175" fontId="43" fillId="0" borderId="11" xfId="0" applyNumberFormat="1" applyFont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55" fillId="5" borderId="16" xfId="0" applyFont="1" applyFill="1" applyBorder="1" applyAlignment="1">
      <alignment horizontal="center"/>
    </xf>
    <xf numFmtId="0" fontId="43" fillId="5" borderId="24" xfId="0" applyFont="1" applyFill="1" applyBorder="1" applyAlignment="1">
      <alignment horizontal="center"/>
    </xf>
    <xf numFmtId="0" fontId="58" fillId="9" borderId="0" xfId="0" applyFont="1" applyFill="1" applyBorder="1" applyAlignment="1">
      <alignment horizontal="center"/>
    </xf>
    <xf numFmtId="0" fontId="58" fillId="10" borderId="0" xfId="0" applyFont="1" applyFill="1" applyBorder="1" applyAlignment="1">
      <alignment horizontal="center"/>
    </xf>
    <xf numFmtId="0" fontId="57" fillId="10" borderId="0" xfId="0" applyFont="1" applyFill="1" applyBorder="1" applyAlignment="1">
      <alignment horizontal="center"/>
    </xf>
    <xf numFmtId="0" fontId="59" fillId="10" borderId="0" xfId="0" applyFont="1" applyFill="1" applyBorder="1" applyAlignment="1">
      <alignment horizontal="center"/>
    </xf>
    <xf numFmtId="0" fontId="59" fillId="9" borderId="0" xfId="0" applyFont="1" applyFill="1" applyBorder="1" applyAlignment="1">
      <alignment horizontal="center"/>
    </xf>
    <xf numFmtId="0" fontId="10" fillId="10" borderId="0" xfId="0" applyFont="1" applyFill="1" applyBorder="1" applyAlignment="1">
      <alignment horizontal="center"/>
    </xf>
    <xf numFmtId="0" fontId="58" fillId="10" borderId="0" xfId="0" applyFont="1" applyFill="1" applyBorder="1" applyAlignment="1">
      <alignment horizontal="center" vertical="center"/>
    </xf>
    <xf numFmtId="0" fontId="58" fillId="0" borderId="0" xfId="0" applyNumberFormat="1" applyFont="1" applyFill="1" applyBorder="1" applyAlignment="1">
      <alignment horizontal="center"/>
    </xf>
    <xf numFmtId="0" fontId="62" fillId="12" borderId="0" xfId="0" applyFont="1" applyFill="1" applyBorder="1" applyAlignment="1">
      <alignment horizontal="center" vertical="center"/>
    </xf>
    <xf numFmtId="0" fontId="62" fillId="13" borderId="0" xfId="0" applyFont="1" applyFill="1" applyBorder="1" applyAlignment="1">
      <alignment horizontal="center" vertical="center"/>
    </xf>
    <xf numFmtId="0" fontId="62" fillId="14" borderId="0" xfId="0" applyFont="1" applyFill="1" applyBorder="1" applyAlignment="1">
      <alignment horizontal="center" vertical="center"/>
    </xf>
    <xf numFmtId="175" fontId="66" fillId="0" borderId="0" xfId="0" applyNumberFormat="1" applyFont="1" applyAlignment="1">
      <alignment horizontal="center"/>
    </xf>
    <xf numFmtId="175" fontId="66" fillId="0" borderId="0" xfId="0" applyNumberFormat="1" applyFont="1" applyAlignment="1">
      <alignment horizontal="center" vertical="center"/>
    </xf>
    <xf numFmtId="175" fontId="67" fillId="12" borderId="37" xfId="0" applyNumberFormat="1" applyFont="1" applyFill="1" applyBorder="1" applyAlignment="1">
      <alignment horizontal="center" vertical="center"/>
    </xf>
    <xf numFmtId="175" fontId="67" fillId="13" borderId="37" xfId="0" applyNumberFormat="1" applyFont="1" applyFill="1" applyBorder="1" applyAlignment="1">
      <alignment horizontal="center" vertical="center"/>
    </xf>
    <xf numFmtId="175" fontId="67" fillId="14" borderId="37" xfId="0" applyNumberFormat="1" applyFont="1" applyFill="1" applyBorder="1" applyAlignment="1">
      <alignment horizontal="center" vertical="center"/>
    </xf>
    <xf numFmtId="175" fontId="54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1" fontId="43" fillId="8" borderId="26" xfId="3" applyNumberFormat="1" applyFont="1" applyFill="1" applyBorder="1" applyAlignment="1">
      <alignment horizontal="center" vertical="center" wrapText="1"/>
    </xf>
    <xf numFmtId="21" fontId="43" fillId="8" borderId="27" xfId="3" applyNumberFormat="1" applyFont="1" applyFill="1" applyBorder="1" applyAlignment="1">
      <alignment horizontal="center" vertical="center" wrapText="1"/>
    </xf>
    <xf numFmtId="21" fontId="43" fillId="8" borderId="21" xfId="3" applyNumberFormat="1" applyFont="1" applyFill="1" applyBorder="1" applyAlignment="1">
      <alignment horizontal="center" vertical="center" wrapText="1"/>
    </xf>
    <xf numFmtId="21" fontId="43" fillId="8" borderId="28" xfId="3" applyNumberFormat="1" applyFont="1" applyFill="1" applyBorder="1" applyAlignment="1">
      <alignment horizontal="center" vertical="center" wrapText="1"/>
    </xf>
    <xf numFmtId="21" fontId="43" fillId="8" borderId="29" xfId="3" applyNumberFormat="1" applyFont="1" applyFill="1" applyBorder="1" applyAlignment="1">
      <alignment horizontal="center" vertical="center" wrapText="1"/>
    </xf>
    <xf numFmtId="21" fontId="43" fillId="8" borderId="30" xfId="3" applyNumberFormat="1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57" fillId="10" borderId="33" xfId="0" applyFont="1" applyFill="1" applyBorder="1" applyAlignment="1">
      <alignment horizontal="center"/>
    </xf>
    <xf numFmtId="0" fontId="57" fillId="10" borderId="34" xfId="0" applyFont="1" applyFill="1" applyBorder="1" applyAlignment="1">
      <alignment horizontal="center"/>
    </xf>
    <xf numFmtId="0" fontId="60" fillId="15" borderId="40" xfId="4" applyFill="1" applyBorder="1" applyAlignment="1">
      <alignment horizontal="center" vertical="center"/>
    </xf>
    <xf numFmtId="0" fontId="60" fillId="15" borderId="41" xfId="4" applyFill="1" applyBorder="1" applyAlignment="1">
      <alignment horizontal="center" vertical="center"/>
    </xf>
    <xf numFmtId="0" fontId="60" fillId="15" borderId="39" xfId="4" applyFill="1" applyBorder="1" applyAlignment="1">
      <alignment horizontal="center" vertical="center"/>
    </xf>
    <xf numFmtId="0" fontId="60" fillId="15" borderId="37" xfId="4" applyFill="1" applyBorder="1" applyAlignment="1">
      <alignment horizontal="center" vertical="center"/>
    </xf>
    <xf numFmtId="0" fontId="8" fillId="15" borderId="42" xfId="0" applyFont="1" applyFill="1" applyBorder="1" applyAlignment="1">
      <alignment horizontal="center" vertical="center" wrapText="1"/>
    </xf>
    <xf numFmtId="0" fontId="8" fillId="15" borderId="43" xfId="0" applyFont="1" applyFill="1" applyBorder="1" applyAlignment="1">
      <alignment horizontal="center" vertical="center" wrapText="1"/>
    </xf>
  </cellXfs>
  <cellStyles count="5">
    <cellStyle name="Hyperlink" xfId="4" builtinId="8"/>
    <cellStyle name="Normal" xfId="0" builtinId="0"/>
    <cellStyle name="Normal_Hartslagen" xfId="1"/>
    <cellStyle name="Normal_Kilometers" xfId="2"/>
    <cellStyle name="Normal_Reeksen" xfId="3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0000"/>
      <rgbColor rgb="00000000"/>
      <rgbColor rgb="00C0C0C0"/>
      <rgbColor rgb="00808080"/>
      <rgbColor rgb="00FFFFFF"/>
      <rgbColor rgb="000000FF"/>
      <rgbColor rgb="00FFFF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hartsheet" Target="chartsheets/sheet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8575">
              <a:noFill/>
            </a:ln>
          </c:spPr>
          <c:xVal>
            <c:numRef>
              <c:f>Reeksen!$A$1267:$A$1269</c:f>
              <c:numCache>
                <c:formatCode>ddd\ d/mm/yyyy</c:formatCode>
                <c:ptCount val="3"/>
                <c:pt idx="0">
                  <c:v>41094</c:v>
                </c:pt>
                <c:pt idx="1">
                  <c:v>41096</c:v>
                </c:pt>
                <c:pt idx="2">
                  <c:v>41098</c:v>
                </c:pt>
              </c:numCache>
            </c:numRef>
          </c:xVal>
          <c:yVal>
            <c:numRef>
              <c:f>Reeksen!$J$1267:$J$1269</c:f>
              <c:numCache>
                <c:formatCode>hh:mm:ss;@</c:formatCode>
                <c:ptCount val="3"/>
                <c:pt idx="0">
                  <c:v>3.0964424030830273E-2</c:v>
                </c:pt>
                <c:pt idx="1">
                  <c:v>2.9962523370726503E-2</c:v>
                </c:pt>
                <c:pt idx="2">
                  <c:v>3.0145095798333747E-2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9936"/>
        <c:axId val="47174016"/>
      </c:scatterChart>
      <c:valAx>
        <c:axId val="47159936"/>
        <c:scaling>
          <c:orientation val="minMax"/>
        </c:scaling>
        <c:delete val="0"/>
        <c:axPos val="b"/>
        <c:numFmt formatCode="ddd\ d/mm/yyyy" sourceLinked="1"/>
        <c:majorTickMark val="out"/>
        <c:minorTickMark val="none"/>
        <c:tickLblPos val="nextTo"/>
        <c:crossAx val="47174016"/>
        <c:crosses val="autoZero"/>
        <c:crossBetween val="midCat"/>
      </c:valAx>
      <c:valAx>
        <c:axId val="47174016"/>
        <c:scaling>
          <c:orientation val="minMax"/>
        </c:scaling>
        <c:delete val="0"/>
        <c:axPos val="l"/>
        <c:majorGridlines/>
        <c:numFmt formatCode="hh:mm:ss;@" sourceLinked="1"/>
        <c:majorTickMark val="out"/>
        <c:minorTickMark val="none"/>
        <c:tickLblPos val="nextTo"/>
        <c:crossAx val="47159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728533180382661E-2"/>
          <c:y val="3.8461538461538464E-2"/>
          <c:w val="0.89592799770573994"/>
          <c:h val="0.8895781637717121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Hartslagen!$B$5063:$B$5203</c:f>
              <c:numCache>
                <c:formatCode>h:mm:ss</c:formatCode>
                <c:ptCount val="141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3.99305555555555E-3</c:v>
                </c:pt>
                <c:pt idx="24">
                  <c:v>4.1666666666666597E-3</c:v>
                </c:pt>
                <c:pt idx="25">
                  <c:v>4.3402777777777702E-3</c:v>
                </c:pt>
                <c:pt idx="26">
                  <c:v>4.5138888888888798E-3</c:v>
                </c:pt>
                <c:pt idx="27">
                  <c:v>4.6874999999999903E-3</c:v>
                </c:pt>
                <c:pt idx="28">
                  <c:v>4.8611111111110999E-3</c:v>
                </c:pt>
                <c:pt idx="29">
                  <c:v>5.0347222222222104E-3</c:v>
                </c:pt>
                <c:pt idx="30">
                  <c:v>5.20833333333332E-3</c:v>
                </c:pt>
                <c:pt idx="31">
                  <c:v>5.3819444444444297E-3</c:v>
                </c:pt>
                <c:pt idx="32">
                  <c:v>5.5555555555555402E-3</c:v>
                </c:pt>
                <c:pt idx="33">
                  <c:v>5.7291666666666498E-3</c:v>
                </c:pt>
                <c:pt idx="34">
                  <c:v>5.9027777777777603E-3</c:v>
                </c:pt>
                <c:pt idx="35">
                  <c:v>6.0763888888888699E-3</c:v>
                </c:pt>
                <c:pt idx="36">
                  <c:v>6.2499999999999804E-3</c:v>
                </c:pt>
                <c:pt idx="37">
                  <c:v>6.42361111111109E-3</c:v>
                </c:pt>
                <c:pt idx="38">
                  <c:v>6.5972222222221997E-3</c:v>
                </c:pt>
                <c:pt idx="39">
                  <c:v>6.7708333333333101E-3</c:v>
                </c:pt>
                <c:pt idx="40">
                  <c:v>6.9444444444444198E-3</c:v>
                </c:pt>
                <c:pt idx="41">
                  <c:v>7.1180555555555303E-3</c:v>
                </c:pt>
                <c:pt idx="42">
                  <c:v>7.2916666666666399E-3</c:v>
                </c:pt>
                <c:pt idx="43">
                  <c:v>7.46527777777774E-3</c:v>
                </c:pt>
                <c:pt idx="44">
                  <c:v>7.6388888888888496E-3</c:v>
                </c:pt>
                <c:pt idx="45">
                  <c:v>7.8124999999999601E-3</c:v>
                </c:pt>
                <c:pt idx="46">
                  <c:v>7.9861111111110706E-3</c:v>
                </c:pt>
                <c:pt idx="47">
                  <c:v>8.1597222222221794E-3</c:v>
                </c:pt>
                <c:pt idx="48">
                  <c:v>8.3333333333332898E-3</c:v>
                </c:pt>
                <c:pt idx="49">
                  <c:v>8.5069444444444003E-3</c:v>
                </c:pt>
                <c:pt idx="50">
                  <c:v>8.6805555555555108E-3</c:v>
                </c:pt>
                <c:pt idx="51">
                  <c:v>8.8541666666666196E-3</c:v>
                </c:pt>
                <c:pt idx="52">
                  <c:v>9.0277777777777301E-3</c:v>
                </c:pt>
                <c:pt idx="53">
                  <c:v>9.2013888888888406E-3</c:v>
                </c:pt>
                <c:pt idx="54">
                  <c:v>9.3749999999999493E-3</c:v>
                </c:pt>
                <c:pt idx="55">
                  <c:v>9.5486111111110598E-3</c:v>
                </c:pt>
                <c:pt idx="56">
                  <c:v>9.7222222222221703E-3</c:v>
                </c:pt>
                <c:pt idx="57">
                  <c:v>9.8958333333332808E-3</c:v>
                </c:pt>
                <c:pt idx="58">
                  <c:v>1.00694444444444E-2</c:v>
                </c:pt>
                <c:pt idx="59">
                  <c:v>1.02430555555555E-2</c:v>
                </c:pt>
                <c:pt idx="60">
                  <c:v>1.04166666666666E-2</c:v>
                </c:pt>
                <c:pt idx="61">
                  <c:v>1.05902777777777E-2</c:v>
                </c:pt>
                <c:pt idx="62">
                  <c:v>1.07638888888888E-2</c:v>
                </c:pt>
                <c:pt idx="63">
                  <c:v>1.09374999999999E-2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1.18055555555555E-2</c:v>
                </c:pt>
                <c:pt idx="69">
                  <c:v>1.19791666666666E-2</c:v>
                </c:pt>
                <c:pt idx="70">
                  <c:v>1.21527777777777E-2</c:v>
                </c:pt>
                <c:pt idx="71">
                  <c:v>1.23263888888888E-2</c:v>
                </c:pt>
                <c:pt idx="72">
                  <c:v>1.24999999999999E-2</c:v>
                </c:pt>
                <c:pt idx="73">
                  <c:v>1.2673611111111E-2</c:v>
                </c:pt>
                <c:pt idx="74">
                  <c:v>1.28472222222221E-2</c:v>
                </c:pt>
                <c:pt idx="75">
                  <c:v>1.30208333333332E-2</c:v>
                </c:pt>
                <c:pt idx="76">
                  <c:v>1.3194444444444399E-2</c:v>
                </c:pt>
                <c:pt idx="77">
                  <c:v>1.3368055555555499E-2</c:v>
                </c:pt>
                <c:pt idx="78">
                  <c:v>1.3541666666666599E-2</c:v>
                </c:pt>
                <c:pt idx="79">
                  <c:v>1.37152777777777E-2</c:v>
                </c:pt>
                <c:pt idx="80">
                  <c:v>1.38888888888888E-2</c:v>
                </c:pt>
                <c:pt idx="81">
                  <c:v>1.40624999999999E-2</c:v>
                </c:pt>
                <c:pt idx="82">
                  <c:v>1.4236111111111E-2</c:v>
                </c:pt>
                <c:pt idx="83">
                  <c:v>1.44097222222221E-2</c:v>
                </c:pt>
                <c:pt idx="84">
                  <c:v>1.45833333333332E-2</c:v>
                </c:pt>
                <c:pt idx="85">
                  <c:v>1.4756944444444401E-2</c:v>
                </c:pt>
                <c:pt idx="86">
                  <c:v>1.4930555555555501E-2</c:v>
                </c:pt>
                <c:pt idx="87">
                  <c:v>1.5104166666666601E-2</c:v>
                </c:pt>
                <c:pt idx="88">
                  <c:v>1.5277777777777699E-2</c:v>
                </c:pt>
                <c:pt idx="89">
                  <c:v>1.5451388888888799E-2</c:v>
                </c:pt>
                <c:pt idx="90">
                  <c:v>1.5624999999999899E-2</c:v>
                </c:pt>
                <c:pt idx="91">
                  <c:v>1.5798611111110999E-2</c:v>
                </c:pt>
                <c:pt idx="92">
                  <c:v>1.59722222222221E-2</c:v>
                </c:pt>
                <c:pt idx="93">
                  <c:v>1.61458333333332E-2</c:v>
                </c:pt>
                <c:pt idx="94">
                  <c:v>1.63194444444443E-2</c:v>
                </c:pt>
                <c:pt idx="95">
                  <c:v>1.64930555555554E-2</c:v>
                </c:pt>
                <c:pt idx="96">
                  <c:v>1.66666666666665E-2</c:v>
                </c:pt>
                <c:pt idx="97">
                  <c:v>1.6840277777777701E-2</c:v>
                </c:pt>
                <c:pt idx="98">
                  <c:v>1.7013888888888801E-2</c:v>
                </c:pt>
                <c:pt idx="99">
                  <c:v>1.7187499999999901E-2</c:v>
                </c:pt>
                <c:pt idx="100">
                  <c:v>1.7361111111111001E-2</c:v>
                </c:pt>
                <c:pt idx="101">
                  <c:v>1.7534722222222101E-2</c:v>
                </c:pt>
                <c:pt idx="102">
                  <c:v>1.7708333333333201E-2</c:v>
                </c:pt>
                <c:pt idx="103">
                  <c:v>1.7881944444444301E-2</c:v>
                </c:pt>
                <c:pt idx="104">
                  <c:v>1.8055555555555401E-2</c:v>
                </c:pt>
                <c:pt idx="105">
                  <c:v>1.8229166666666501E-2</c:v>
                </c:pt>
                <c:pt idx="106">
                  <c:v>1.8402777777777601E-2</c:v>
                </c:pt>
                <c:pt idx="107">
                  <c:v>1.8576388888888799E-2</c:v>
                </c:pt>
                <c:pt idx="108">
                  <c:v>1.8749999999999899E-2</c:v>
                </c:pt>
                <c:pt idx="109">
                  <c:v>1.8923611111110999E-2</c:v>
                </c:pt>
                <c:pt idx="110">
                  <c:v>1.9097222222222099E-2</c:v>
                </c:pt>
                <c:pt idx="111">
                  <c:v>1.9270833333333199E-2</c:v>
                </c:pt>
                <c:pt idx="112">
                  <c:v>1.9444444444444299E-2</c:v>
                </c:pt>
                <c:pt idx="113">
                  <c:v>1.9618055555555399E-2</c:v>
                </c:pt>
                <c:pt idx="114">
                  <c:v>1.9791666666666499E-2</c:v>
                </c:pt>
                <c:pt idx="115">
                  <c:v>1.9965277777777599E-2</c:v>
                </c:pt>
                <c:pt idx="116">
                  <c:v>2.0138888888888699E-2</c:v>
                </c:pt>
                <c:pt idx="117">
                  <c:v>2.0312499999999799E-2</c:v>
                </c:pt>
                <c:pt idx="118">
                  <c:v>2.0486111111111E-2</c:v>
                </c:pt>
                <c:pt idx="119">
                  <c:v>2.06597222222221E-2</c:v>
                </c:pt>
                <c:pt idx="120">
                  <c:v>2.08333333333332E-2</c:v>
                </c:pt>
                <c:pt idx="121">
                  <c:v>2.10069444444443E-2</c:v>
                </c:pt>
                <c:pt idx="122">
                  <c:v>2.1180555555555401E-2</c:v>
                </c:pt>
                <c:pt idx="123">
                  <c:v>2.1354166666666501E-2</c:v>
                </c:pt>
                <c:pt idx="124">
                  <c:v>2.1527777777777601E-2</c:v>
                </c:pt>
                <c:pt idx="125">
                  <c:v>2.1701388888888701E-2</c:v>
                </c:pt>
                <c:pt idx="126">
                  <c:v>2.1874999999999801E-2</c:v>
                </c:pt>
                <c:pt idx="127">
                  <c:v>2.2048611111110901E-2</c:v>
                </c:pt>
                <c:pt idx="128">
                  <c:v>2.2222222222222102E-2</c:v>
                </c:pt>
                <c:pt idx="129">
                  <c:v>2.2395833333333202E-2</c:v>
                </c:pt>
                <c:pt idx="130">
                  <c:v>2.2569444444444298E-2</c:v>
                </c:pt>
                <c:pt idx="131">
                  <c:v>2.2743055555555398E-2</c:v>
                </c:pt>
                <c:pt idx="132">
                  <c:v>2.2916666666666499E-2</c:v>
                </c:pt>
                <c:pt idx="133">
                  <c:v>2.3090277777777599E-2</c:v>
                </c:pt>
                <c:pt idx="134">
                  <c:v>2.3263888888888699E-2</c:v>
                </c:pt>
                <c:pt idx="135">
                  <c:v>2.3437499999999799E-2</c:v>
                </c:pt>
                <c:pt idx="136">
                  <c:v>2.3611111111110899E-2</c:v>
                </c:pt>
                <c:pt idx="137">
                  <c:v>2.3784722222221999E-2</c:v>
                </c:pt>
                <c:pt idx="138">
                  <c:v>2.39583333333332E-2</c:v>
                </c:pt>
                <c:pt idx="139">
                  <c:v>2.41319444444443E-2</c:v>
                </c:pt>
                <c:pt idx="140">
                  <c:v>2.43055555555554E-2</c:v>
                </c:pt>
              </c:numCache>
            </c:numRef>
          </c:xVal>
          <c:yVal>
            <c:numRef>
              <c:f>Hartslagen!$C$5063:$C$5203</c:f>
              <c:numCache>
                <c:formatCode>General</c:formatCode>
                <c:ptCount val="141"/>
                <c:pt idx="0">
                  <c:v>104</c:v>
                </c:pt>
                <c:pt idx="1">
                  <c:v>134</c:v>
                </c:pt>
                <c:pt idx="2">
                  <c:v>159</c:v>
                </c:pt>
                <c:pt idx="3">
                  <c:v>162</c:v>
                </c:pt>
                <c:pt idx="4">
                  <c:v>168</c:v>
                </c:pt>
                <c:pt idx="5">
                  <c:v>170</c:v>
                </c:pt>
                <c:pt idx="6">
                  <c:v>172</c:v>
                </c:pt>
                <c:pt idx="7">
                  <c:v>171</c:v>
                </c:pt>
                <c:pt idx="8">
                  <c:v>173</c:v>
                </c:pt>
                <c:pt idx="9">
                  <c:v>172</c:v>
                </c:pt>
                <c:pt idx="10">
                  <c:v>173</c:v>
                </c:pt>
                <c:pt idx="11">
                  <c:v>175</c:v>
                </c:pt>
                <c:pt idx="12">
                  <c:v>175</c:v>
                </c:pt>
                <c:pt idx="13">
                  <c:v>174</c:v>
                </c:pt>
                <c:pt idx="14">
                  <c:v>161</c:v>
                </c:pt>
                <c:pt idx="15">
                  <c:v>156</c:v>
                </c:pt>
                <c:pt idx="16">
                  <c:v>150</c:v>
                </c:pt>
                <c:pt idx="17">
                  <c:v>164</c:v>
                </c:pt>
                <c:pt idx="18">
                  <c:v>171</c:v>
                </c:pt>
                <c:pt idx="19">
                  <c:v>172</c:v>
                </c:pt>
                <c:pt idx="20">
                  <c:v>158</c:v>
                </c:pt>
                <c:pt idx="21">
                  <c:v>148</c:v>
                </c:pt>
                <c:pt idx="22">
                  <c:v>141</c:v>
                </c:pt>
                <c:pt idx="23">
                  <c:v>139</c:v>
                </c:pt>
                <c:pt idx="24">
                  <c:v>133</c:v>
                </c:pt>
                <c:pt idx="25">
                  <c:v>132</c:v>
                </c:pt>
                <c:pt idx="26">
                  <c:v>129</c:v>
                </c:pt>
                <c:pt idx="27">
                  <c:v>127</c:v>
                </c:pt>
                <c:pt idx="28">
                  <c:v>127</c:v>
                </c:pt>
                <c:pt idx="29">
                  <c:v>124</c:v>
                </c:pt>
                <c:pt idx="31">
                  <c:v>121</c:v>
                </c:pt>
                <c:pt idx="32">
                  <c:v>150</c:v>
                </c:pt>
                <c:pt idx="33">
                  <c:v>162</c:v>
                </c:pt>
                <c:pt idx="34">
                  <c:v>168</c:v>
                </c:pt>
                <c:pt idx="35">
                  <c:v>172</c:v>
                </c:pt>
                <c:pt idx="36">
                  <c:v>174</c:v>
                </c:pt>
                <c:pt idx="37">
                  <c:v>176</c:v>
                </c:pt>
                <c:pt idx="38">
                  <c:v>177</c:v>
                </c:pt>
                <c:pt idx="39">
                  <c:v>176</c:v>
                </c:pt>
                <c:pt idx="40">
                  <c:v>177</c:v>
                </c:pt>
                <c:pt idx="41">
                  <c:v>178</c:v>
                </c:pt>
                <c:pt idx="42">
                  <c:v>178</c:v>
                </c:pt>
                <c:pt idx="43">
                  <c:v>177</c:v>
                </c:pt>
                <c:pt idx="44">
                  <c:v>176</c:v>
                </c:pt>
                <c:pt idx="45">
                  <c:v>165</c:v>
                </c:pt>
                <c:pt idx="46">
                  <c:v>156</c:v>
                </c:pt>
                <c:pt idx="47">
                  <c:v>157</c:v>
                </c:pt>
                <c:pt idx="48">
                  <c:v>155</c:v>
                </c:pt>
                <c:pt idx="49">
                  <c:v>164</c:v>
                </c:pt>
                <c:pt idx="50">
                  <c:v>171</c:v>
                </c:pt>
                <c:pt idx="51">
                  <c:v>166</c:v>
                </c:pt>
                <c:pt idx="52">
                  <c:v>149</c:v>
                </c:pt>
                <c:pt idx="53">
                  <c:v>142</c:v>
                </c:pt>
                <c:pt idx="54">
                  <c:v>137</c:v>
                </c:pt>
                <c:pt idx="55">
                  <c:v>133</c:v>
                </c:pt>
                <c:pt idx="56">
                  <c:v>128</c:v>
                </c:pt>
                <c:pt idx="57">
                  <c:v>126</c:v>
                </c:pt>
                <c:pt idx="58">
                  <c:v>126</c:v>
                </c:pt>
                <c:pt idx="59">
                  <c:v>124</c:v>
                </c:pt>
                <c:pt idx="60">
                  <c:v>125</c:v>
                </c:pt>
                <c:pt idx="62">
                  <c:v>122</c:v>
                </c:pt>
                <c:pt idx="63">
                  <c:v>145</c:v>
                </c:pt>
                <c:pt idx="64">
                  <c:v>161</c:v>
                </c:pt>
                <c:pt idx="65">
                  <c:v>167</c:v>
                </c:pt>
                <c:pt idx="66">
                  <c:v>172</c:v>
                </c:pt>
                <c:pt idx="67">
                  <c:v>174</c:v>
                </c:pt>
                <c:pt idx="68">
                  <c:v>176</c:v>
                </c:pt>
                <c:pt idx="69">
                  <c:v>177</c:v>
                </c:pt>
                <c:pt idx="70">
                  <c:v>179</c:v>
                </c:pt>
                <c:pt idx="71">
                  <c:v>179</c:v>
                </c:pt>
                <c:pt idx="72">
                  <c:v>180</c:v>
                </c:pt>
                <c:pt idx="73">
                  <c:v>180</c:v>
                </c:pt>
                <c:pt idx="74">
                  <c:v>182</c:v>
                </c:pt>
                <c:pt idx="75">
                  <c:v>179</c:v>
                </c:pt>
                <c:pt idx="76">
                  <c:v>171</c:v>
                </c:pt>
                <c:pt idx="77">
                  <c:v>161</c:v>
                </c:pt>
                <c:pt idx="78">
                  <c:v>147</c:v>
                </c:pt>
                <c:pt idx="79">
                  <c:v>148</c:v>
                </c:pt>
                <c:pt idx="80">
                  <c:v>164</c:v>
                </c:pt>
                <c:pt idx="81">
                  <c:v>170</c:v>
                </c:pt>
                <c:pt idx="82">
                  <c:v>169</c:v>
                </c:pt>
                <c:pt idx="83">
                  <c:v>159</c:v>
                </c:pt>
                <c:pt idx="84">
                  <c:v>149</c:v>
                </c:pt>
                <c:pt idx="85">
                  <c:v>141</c:v>
                </c:pt>
                <c:pt idx="86">
                  <c:v>137</c:v>
                </c:pt>
                <c:pt idx="87">
                  <c:v>134</c:v>
                </c:pt>
                <c:pt idx="88">
                  <c:v>130</c:v>
                </c:pt>
                <c:pt idx="89">
                  <c:v>129</c:v>
                </c:pt>
                <c:pt idx="90">
                  <c:v>127</c:v>
                </c:pt>
                <c:pt idx="91">
                  <c:v>124</c:v>
                </c:pt>
                <c:pt idx="93">
                  <c:v>128</c:v>
                </c:pt>
                <c:pt idx="94">
                  <c:v>150</c:v>
                </c:pt>
                <c:pt idx="95">
                  <c:v>161</c:v>
                </c:pt>
                <c:pt idx="96">
                  <c:v>169</c:v>
                </c:pt>
                <c:pt idx="97">
                  <c:v>172</c:v>
                </c:pt>
                <c:pt idx="98">
                  <c:v>177</c:v>
                </c:pt>
                <c:pt idx="99">
                  <c:v>179</c:v>
                </c:pt>
                <c:pt idx="100">
                  <c:v>179</c:v>
                </c:pt>
                <c:pt idx="101">
                  <c:v>180</c:v>
                </c:pt>
                <c:pt idx="102">
                  <c:v>179</c:v>
                </c:pt>
                <c:pt idx="103">
                  <c:v>181</c:v>
                </c:pt>
                <c:pt idx="104">
                  <c:v>181</c:v>
                </c:pt>
                <c:pt idx="105">
                  <c:v>183</c:v>
                </c:pt>
                <c:pt idx="106">
                  <c:v>180</c:v>
                </c:pt>
                <c:pt idx="107">
                  <c:v>172</c:v>
                </c:pt>
                <c:pt idx="108">
                  <c:v>164</c:v>
                </c:pt>
                <c:pt idx="109">
                  <c:v>152</c:v>
                </c:pt>
                <c:pt idx="110">
                  <c:v>159</c:v>
                </c:pt>
                <c:pt idx="111">
                  <c:v>170</c:v>
                </c:pt>
                <c:pt idx="112">
                  <c:v>174</c:v>
                </c:pt>
                <c:pt idx="113">
                  <c:v>167</c:v>
                </c:pt>
                <c:pt idx="114">
                  <c:v>157</c:v>
                </c:pt>
                <c:pt idx="115">
                  <c:v>146</c:v>
                </c:pt>
                <c:pt idx="116">
                  <c:v>137</c:v>
                </c:pt>
                <c:pt idx="117">
                  <c:v>135</c:v>
                </c:pt>
                <c:pt idx="118">
                  <c:v>134</c:v>
                </c:pt>
                <c:pt idx="119">
                  <c:v>133</c:v>
                </c:pt>
                <c:pt idx="120">
                  <c:v>133</c:v>
                </c:pt>
                <c:pt idx="121">
                  <c:v>130</c:v>
                </c:pt>
                <c:pt idx="122">
                  <c:v>128</c:v>
                </c:pt>
                <c:pt idx="124">
                  <c:v>126</c:v>
                </c:pt>
                <c:pt idx="125">
                  <c:v>153</c:v>
                </c:pt>
                <c:pt idx="126">
                  <c:v>165</c:v>
                </c:pt>
                <c:pt idx="127">
                  <c:v>170</c:v>
                </c:pt>
                <c:pt idx="128">
                  <c:v>175</c:v>
                </c:pt>
                <c:pt idx="129">
                  <c:v>178</c:v>
                </c:pt>
                <c:pt idx="130">
                  <c:v>180</c:v>
                </c:pt>
                <c:pt idx="131">
                  <c:v>180</c:v>
                </c:pt>
                <c:pt idx="132">
                  <c:v>181</c:v>
                </c:pt>
                <c:pt idx="133">
                  <c:v>182</c:v>
                </c:pt>
                <c:pt idx="134">
                  <c:v>183</c:v>
                </c:pt>
                <c:pt idx="135">
                  <c:v>184</c:v>
                </c:pt>
                <c:pt idx="136">
                  <c:v>185</c:v>
                </c:pt>
                <c:pt idx="137">
                  <c:v>182</c:v>
                </c:pt>
                <c:pt idx="138">
                  <c:v>175</c:v>
                </c:pt>
                <c:pt idx="139">
                  <c:v>168</c:v>
                </c:pt>
                <c:pt idx="140">
                  <c:v>157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79520"/>
        <c:axId val="47588480"/>
      </c:scatterChart>
      <c:valAx>
        <c:axId val="47579520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47588480"/>
        <c:crosses val="autoZero"/>
        <c:crossBetween val="midCat"/>
      </c:valAx>
      <c:valAx>
        <c:axId val="47588480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475795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242001691410353E-2"/>
          <c:y val="3.3954015968356364E-2"/>
          <c:w val="0.89939326899988692"/>
          <c:h val="0.9014243594179770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Hartslagen!$B$5204:$B$5660</c:f>
              <c:numCache>
                <c:formatCode>h:mm:ss</c:formatCode>
                <c:ptCount val="457"/>
                <c:pt idx="0">
                  <c:v>0</c:v>
                </c:pt>
                <c:pt idx="1">
                  <c:v>5.7870370370370366E-5</c:v>
                </c:pt>
                <c:pt idx="2">
                  <c:v>1.15740740740741E-4</c:v>
                </c:pt>
                <c:pt idx="3">
                  <c:v>1.7361111111111101E-4</c:v>
                </c:pt>
                <c:pt idx="4">
                  <c:v>2.31481481481481E-4</c:v>
                </c:pt>
                <c:pt idx="5">
                  <c:v>2.89351851851852E-4</c:v>
                </c:pt>
                <c:pt idx="6">
                  <c:v>3.4722222222222202E-4</c:v>
                </c:pt>
                <c:pt idx="7">
                  <c:v>4.0509259259259301E-4</c:v>
                </c:pt>
                <c:pt idx="8">
                  <c:v>4.6296296296296298E-4</c:v>
                </c:pt>
                <c:pt idx="9">
                  <c:v>5.20833333333333E-4</c:v>
                </c:pt>
                <c:pt idx="10">
                  <c:v>5.78703703703704E-4</c:v>
                </c:pt>
                <c:pt idx="11">
                  <c:v>6.3657407407407402E-4</c:v>
                </c:pt>
                <c:pt idx="12">
                  <c:v>6.9444444444444404E-4</c:v>
                </c:pt>
                <c:pt idx="13">
                  <c:v>7.5231481481481503E-4</c:v>
                </c:pt>
                <c:pt idx="14">
                  <c:v>8.1018518518518505E-4</c:v>
                </c:pt>
                <c:pt idx="15">
                  <c:v>8.6805555555555605E-4</c:v>
                </c:pt>
                <c:pt idx="16">
                  <c:v>9.2592592592592596E-4</c:v>
                </c:pt>
                <c:pt idx="17">
                  <c:v>9.8379629629629598E-4</c:v>
                </c:pt>
                <c:pt idx="18">
                  <c:v>1.0416666666666699E-3</c:v>
                </c:pt>
                <c:pt idx="19">
                  <c:v>1.0995370370370399E-3</c:v>
                </c:pt>
                <c:pt idx="20">
                  <c:v>1.1574074074074099E-3</c:v>
                </c:pt>
                <c:pt idx="21">
                  <c:v>1.21527777777778E-3</c:v>
                </c:pt>
                <c:pt idx="22">
                  <c:v>1.27314814814815E-3</c:v>
                </c:pt>
                <c:pt idx="23">
                  <c:v>1.33101851851852E-3</c:v>
                </c:pt>
                <c:pt idx="24">
                  <c:v>1.38888888888889E-3</c:v>
                </c:pt>
                <c:pt idx="25">
                  <c:v>1.44675925925926E-3</c:v>
                </c:pt>
                <c:pt idx="26">
                  <c:v>1.5046296296296301E-3</c:v>
                </c:pt>
                <c:pt idx="27">
                  <c:v>1.5625000000000001E-3</c:v>
                </c:pt>
                <c:pt idx="28">
                  <c:v>1.6203703703703701E-3</c:v>
                </c:pt>
                <c:pt idx="29">
                  <c:v>1.6782407407407399E-3</c:v>
                </c:pt>
                <c:pt idx="30">
                  <c:v>1.7361111111111099E-3</c:v>
                </c:pt>
                <c:pt idx="31">
                  <c:v>1.79398148148148E-3</c:v>
                </c:pt>
                <c:pt idx="32">
                  <c:v>1.85185185185185E-3</c:v>
                </c:pt>
                <c:pt idx="33">
                  <c:v>1.90972222222222E-3</c:v>
                </c:pt>
                <c:pt idx="34">
                  <c:v>1.9675925925925898E-3</c:v>
                </c:pt>
                <c:pt idx="35">
                  <c:v>2.0254629629629598E-3</c:v>
                </c:pt>
                <c:pt idx="36">
                  <c:v>2.0833333333333298E-3</c:v>
                </c:pt>
                <c:pt idx="37">
                  <c:v>2.1412037037036999E-3</c:v>
                </c:pt>
                <c:pt idx="38">
                  <c:v>2.1990740740740699E-3</c:v>
                </c:pt>
                <c:pt idx="39">
                  <c:v>2.2569444444444399E-3</c:v>
                </c:pt>
                <c:pt idx="40">
                  <c:v>2.3148148148148099E-3</c:v>
                </c:pt>
                <c:pt idx="41">
                  <c:v>2.3726851851851899E-3</c:v>
                </c:pt>
                <c:pt idx="42">
                  <c:v>2.4305555555555599E-3</c:v>
                </c:pt>
                <c:pt idx="43">
                  <c:v>2.48842592592593E-3</c:v>
                </c:pt>
                <c:pt idx="44">
                  <c:v>2.5462962962963E-3</c:v>
                </c:pt>
                <c:pt idx="45">
                  <c:v>2.60416666666667E-3</c:v>
                </c:pt>
                <c:pt idx="46">
                  <c:v>2.66203703703704E-3</c:v>
                </c:pt>
                <c:pt idx="47">
                  <c:v>2.71990740740741E-3</c:v>
                </c:pt>
                <c:pt idx="48">
                  <c:v>2.7777777777777801E-3</c:v>
                </c:pt>
                <c:pt idx="49">
                  <c:v>2.8356481481481501E-3</c:v>
                </c:pt>
                <c:pt idx="50">
                  <c:v>2.8935185185185201E-3</c:v>
                </c:pt>
                <c:pt idx="51">
                  <c:v>2.9513888888888901E-3</c:v>
                </c:pt>
                <c:pt idx="52">
                  <c:v>3.0092592592592601E-3</c:v>
                </c:pt>
                <c:pt idx="53">
                  <c:v>3.0671296296296302E-3</c:v>
                </c:pt>
                <c:pt idx="54">
                  <c:v>3.1250000000000002E-3</c:v>
                </c:pt>
                <c:pt idx="55">
                  <c:v>3.1828703703703702E-3</c:v>
                </c:pt>
                <c:pt idx="56">
                  <c:v>3.2407407407407402E-3</c:v>
                </c:pt>
                <c:pt idx="57">
                  <c:v>3.2986111111111098E-3</c:v>
                </c:pt>
                <c:pt idx="58">
                  <c:v>3.3564814814814798E-3</c:v>
                </c:pt>
                <c:pt idx="59">
                  <c:v>3.4143518518518498E-3</c:v>
                </c:pt>
                <c:pt idx="60">
                  <c:v>3.4722222222222199E-3</c:v>
                </c:pt>
                <c:pt idx="61">
                  <c:v>3.5300925925925899E-3</c:v>
                </c:pt>
                <c:pt idx="62">
                  <c:v>3.5879629629629599E-3</c:v>
                </c:pt>
                <c:pt idx="63">
                  <c:v>3.6458333333333299E-3</c:v>
                </c:pt>
                <c:pt idx="64">
                  <c:v>3.7037037037036999E-3</c:v>
                </c:pt>
                <c:pt idx="65">
                  <c:v>3.76157407407407E-3</c:v>
                </c:pt>
                <c:pt idx="66">
                  <c:v>3.81944444444444E-3</c:v>
                </c:pt>
                <c:pt idx="67">
                  <c:v>3.87731481481481E-3</c:v>
                </c:pt>
                <c:pt idx="68">
                  <c:v>3.9351851851851796E-3</c:v>
                </c:pt>
                <c:pt idx="69">
                  <c:v>3.9930555555555596E-3</c:v>
                </c:pt>
                <c:pt idx="70">
                  <c:v>4.05092592592593E-3</c:v>
                </c:pt>
                <c:pt idx="71">
                  <c:v>4.1087962962962996E-3</c:v>
                </c:pt>
                <c:pt idx="72">
                  <c:v>4.1666666666666701E-3</c:v>
                </c:pt>
                <c:pt idx="73">
                  <c:v>4.2245370370370397E-3</c:v>
                </c:pt>
                <c:pt idx="74">
                  <c:v>4.2824074074074101E-3</c:v>
                </c:pt>
                <c:pt idx="75">
                  <c:v>4.3402777777777797E-3</c:v>
                </c:pt>
                <c:pt idx="76">
                  <c:v>4.3981481481481502E-3</c:v>
                </c:pt>
                <c:pt idx="77">
                  <c:v>4.4560185185185197E-3</c:v>
                </c:pt>
                <c:pt idx="78">
                  <c:v>4.5138888888888902E-3</c:v>
                </c:pt>
                <c:pt idx="79">
                  <c:v>4.5717592592592598E-3</c:v>
                </c:pt>
                <c:pt idx="80">
                  <c:v>4.6296296296296302E-3</c:v>
                </c:pt>
                <c:pt idx="81">
                  <c:v>4.6874999999999998E-3</c:v>
                </c:pt>
                <c:pt idx="82">
                  <c:v>4.7453703703703703E-3</c:v>
                </c:pt>
                <c:pt idx="83">
                  <c:v>4.8032407407407399E-3</c:v>
                </c:pt>
                <c:pt idx="84">
                  <c:v>4.8611111111111103E-3</c:v>
                </c:pt>
                <c:pt idx="85">
                  <c:v>4.9189814814814799E-3</c:v>
                </c:pt>
                <c:pt idx="86">
                  <c:v>4.9768518518518504E-3</c:v>
                </c:pt>
                <c:pt idx="87">
                  <c:v>5.0347222222222199E-3</c:v>
                </c:pt>
                <c:pt idx="88">
                  <c:v>5.0925925925925904E-3</c:v>
                </c:pt>
                <c:pt idx="89">
                  <c:v>5.15046296296296E-3</c:v>
                </c:pt>
                <c:pt idx="90">
                  <c:v>5.2083333333333296E-3</c:v>
                </c:pt>
                <c:pt idx="91">
                  <c:v>5.2662037037037E-3</c:v>
                </c:pt>
                <c:pt idx="92">
                  <c:v>5.3240740740740696E-3</c:v>
                </c:pt>
                <c:pt idx="93">
                  <c:v>5.3819444444444401E-3</c:v>
                </c:pt>
                <c:pt idx="94">
                  <c:v>5.4398148148148097E-3</c:v>
                </c:pt>
                <c:pt idx="95">
                  <c:v>5.4976851851851801E-3</c:v>
                </c:pt>
                <c:pt idx="96">
                  <c:v>5.5555555555555497E-3</c:v>
                </c:pt>
                <c:pt idx="97">
                  <c:v>5.6134259259259297E-3</c:v>
                </c:pt>
                <c:pt idx="98">
                  <c:v>5.6712962962963001E-3</c:v>
                </c:pt>
                <c:pt idx="99">
                  <c:v>5.7291666666666697E-3</c:v>
                </c:pt>
                <c:pt idx="100">
                  <c:v>5.7870370370370402E-3</c:v>
                </c:pt>
                <c:pt idx="101">
                  <c:v>5.8449074074074098E-3</c:v>
                </c:pt>
                <c:pt idx="102">
                  <c:v>5.9027777777777802E-3</c:v>
                </c:pt>
                <c:pt idx="103">
                  <c:v>5.9606481481481498E-3</c:v>
                </c:pt>
                <c:pt idx="104">
                  <c:v>6.0185185185185203E-3</c:v>
                </c:pt>
                <c:pt idx="105">
                  <c:v>6.0763888888888899E-3</c:v>
                </c:pt>
                <c:pt idx="106">
                  <c:v>6.1342592592592603E-3</c:v>
                </c:pt>
                <c:pt idx="107">
                  <c:v>6.1921296296296299E-3</c:v>
                </c:pt>
                <c:pt idx="108">
                  <c:v>6.2500000000000003E-3</c:v>
                </c:pt>
                <c:pt idx="109">
                  <c:v>6.3078703703703699E-3</c:v>
                </c:pt>
                <c:pt idx="110">
                  <c:v>6.3657407407407404E-3</c:v>
                </c:pt>
                <c:pt idx="111">
                  <c:v>6.42361111111111E-3</c:v>
                </c:pt>
                <c:pt idx="112">
                  <c:v>6.4814814814814804E-3</c:v>
                </c:pt>
                <c:pt idx="113">
                  <c:v>6.53935185185185E-3</c:v>
                </c:pt>
                <c:pt idx="114">
                  <c:v>6.5972222222222196E-3</c:v>
                </c:pt>
                <c:pt idx="115">
                  <c:v>6.6550925925925901E-3</c:v>
                </c:pt>
                <c:pt idx="116">
                  <c:v>6.7129629629629596E-3</c:v>
                </c:pt>
                <c:pt idx="117">
                  <c:v>6.7708333333333301E-3</c:v>
                </c:pt>
                <c:pt idx="118">
                  <c:v>6.8287037037036997E-3</c:v>
                </c:pt>
                <c:pt idx="119">
                  <c:v>6.8865740740740701E-3</c:v>
                </c:pt>
                <c:pt idx="120">
                  <c:v>6.9444444444444397E-3</c:v>
                </c:pt>
                <c:pt idx="121">
                  <c:v>7.0023148148148102E-3</c:v>
                </c:pt>
                <c:pt idx="122">
                  <c:v>7.0601851851851798E-3</c:v>
                </c:pt>
                <c:pt idx="123">
                  <c:v>7.1180555555555598E-3</c:v>
                </c:pt>
                <c:pt idx="124">
                  <c:v>7.1759259259259302E-3</c:v>
                </c:pt>
                <c:pt idx="125">
                  <c:v>7.2337962962962998E-3</c:v>
                </c:pt>
                <c:pt idx="126">
                  <c:v>7.2916666666666703E-3</c:v>
                </c:pt>
                <c:pt idx="127">
                  <c:v>7.3495370370370398E-3</c:v>
                </c:pt>
                <c:pt idx="128">
                  <c:v>7.4074074074074103E-3</c:v>
                </c:pt>
                <c:pt idx="129">
                  <c:v>7.4652777777777799E-3</c:v>
                </c:pt>
                <c:pt idx="130">
                  <c:v>7.5231481481481503E-3</c:v>
                </c:pt>
                <c:pt idx="131">
                  <c:v>7.5810185185185199E-3</c:v>
                </c:pt>
                <c:pt idx="132">
                  <c:v>7.6388888888888904E-3</c:v>
                </c:pt>
                <c:pt idx="133">
                  <c:v>7.69675925925926E-3</c:v>
                </c:pt>
                <c:pt idx="134">
                  <c:v>7.7546296296296304E-3</c:v>
                </c:pt>
                <c:pt idx="135">
                  <c:v>7.8125E-3</c:v>
                </c:pt>
                <c:pt idx="136">
                  <c:v>7.8703703703703696E-3</c:v>
                </c:pt>
                <c:pt idx="137">
                  <c:v>7.9282407407407392E-3</c:v>
                </c:pt>
                <c:pt idx="138">
                  <c:v>7.9861111111111105E-3</c:v>
                </c:pt>
                <c:pt idx="139">
                  <c:v>8.0439814814814801E-3</c:v>
                </c:pt>
                <c:pt idx="140">
                  <c:v>8.1018518518518497E-3</c:v>
                </c:pt>
                <c:pt idx="141">
                  <c:v>8.1597222222222193E-3</c:v>
                </c:pt>
                <c:pt idx="142">
                  <c:v>8.2175925925925906E-3</c:v>
                </c:pt>
                <c:pt idx="143">
                  <c:v>8.2754629629629602E-3</c:v>
                </c:pt>
                <c:pt idx="144">
                  <c:v>8.3333333333333297E-3</c:v>
                </c:pt>
                <c:pt idx="145">
                  <c:v>8.3912037037036993E-3</c:v>
                </c:pt>
                <c:pt idx="146">
                  <c:v>8.4490740740740707E-3</c:v>
                </c:pt>
                <c:pt idx="147">
                  <c:v>8.5069444444444402E-3</c:v>
                </c:pt>
                <c:pt idx="148">
                  <c:v>8.5648148148148098E-3</c:v>
                </c:pt>
                <c:pt idx="149">
                  <c:v>8.6226851851851794E-3</c:v>
                </c:pt>
                <c:pt idx="150">
                  <c:v>8.6805555555555507E-3</c:v>
                </c:pt>
                <c:pt idx="151">
                  <c:v>8.7384259259259307E-3</c:v>
                </c:pt>
                <c:pt idx="152">
                  <c:v>8.7962962962963003E-3</c:v>
                </c:pt>
                <c:pt idx="153">
                  <c:v>8.8541666666666699E-3</c:v>
                </c:pt>
                <c:pt idx="154">
                  <c:v>8.9120370370370395E-3</c:v>
                </c:pt>
                <c:pt idx="155">
                  <c:v>8.9699074074074108E-3</c:v>
                </c:pt>
                <c:pt idx="156">
                  <c:v>9.0277777777777804E-3</c:v>
                </c:pt>
                <c:pt idx="157">
                  <c:v>9.08564814814815E-3</c:v>
                </c:pt>
                <c:pt idx="158">
                  <c:v>9.1435185185185196E-3</c:v>
                </c:pt>
                <c:pt idx="159">
                  <c:v>9.2013888888888892E-3</c:v>
                </c:pt>
                <c:pt idx="160">
                  <c:v>9.2592592592592605E-3</c:v>
                </c:pt>
                <c:pt idx="161">
                  <c:v>9.3171296296296301E-3</c:v>
                </c:pt>
                <c:pt idx="162">
                  <c:v>9.3749999999999997E-3</c:v>
                </c:pt>
                <c:pt idx="163">
                  <c:v>9.4328703703703692E-3</c:v>
                </c:pt>
                <c:pt idx="164">
                  <c:v>9.4907407407407406E-3</c:v>
                </c:pt>
                <c:pt idx="165">
                  <c:v>9.5486111111111101E-3</c:v>
                </c:pt>
                <c:pt idx="166">
                  <c:v>9.6064814814814797E-3</c:v>
                </c:pt>
                <c:pt idx="167">
                  <c:v>9.6643518518518493E-3</c:v>
                </c:pt>
                <c:pt idx="168">
                  <c:v>9.7222222222222206E-3</c:v>
                </c:pt>
                <c:pt idx="169">
                  <c:v>9.7800925925925902E-3</c:v>
                </c:pt>
                <c:pt idx="170">
                  <c:v>9.8379629629629598E-3</c:v>
                </c:pt>
                <c:pt idx="171">
                  <c:v>9.8958333333333294E-3</c:v>
                </c:pt>
                <c:pt idx="172">
                  <c:v>9.9537037037037007E-3</c:v>
                </c:pt>
                <c:pt idx="173">
                  <c:v>1.00115740740741E-2</c:v>
                </c:pt>
                <c:pt idx="174">
                  <c:v>1.00694444444444E-2</c:v>
                </c:pt>
                <c:pt idx="175">
                  <c:v>1.0127314814814801E-2</c:v>
                </c:pt>
                <c:pt idx="176">
                  <c:v>1.01851851851852E-2</c:v>
                </c:pt>
                <c:pt idx="177">
                  <c:v>1.0243055555555601E-2</c:v>
                </c:pt>
                <c:pt idx="178">
                  <c:v>1.0300925925925899E-2</c:v>
                </c:pt>
                <c:pt idx="179">
                  <c:v>1.03587962962963E-2</c:v>
                </c:pt>
                <c:pt idx="180">
                  <c:v>1.0416666666666701E-2</c:v>
                </c:pt>
                <c:pt idx="181">
                  <c:v>1.0474537037036999E-2</c:v>
                </c:pt>
                <c:pt idx="182">
                  <c:v>1.05324074074074E-2</c:v>
                </c:pt>
                <c:pt idx="183">
                  <c:v>1.0590277777777799E-2</c:v>
                </c:pt>
                <c:pt idx="184">
                  <c:v>1.0648148148148099E-2</c:v>
                </c:pt>
                <c:pt idx="185">
                  <c:v>1.07060185185185E-2</c:v>
                </c:pt>
                <c:pt idx="186">
                  <c:v>1.0763888888888899E-2</c:v>
                </c:pt>
                <c:pt idx="187">
                  <c:v>1.08217592592593E-2</c:v>
                </c:pt>
                <c:pt idx="188">
                  <c:v>1.08796296296296E-2</c:v>
                </c:pt>
                <c:pt idx="189">
                  <c:v>1.0937499999999999E-2</c:v>
                </c:pt>
                <c:pt idx="190">
                  <c:v>1.09953703703704E-2</c:v>
                </c:pt>
                <c:pt idx="191">
                  <c:v>1.10532407407407E-2</c:v>
                </c:pt>
                <c:pt idx="192">
                  <c:v>1.1111111111111099E-2</c:v>
                </c:pt>
                <c:pt idx="193">
                  <c:v>1.11689814814815E-2</c:v>
                </c:pt>
                <c:pt idx="194">
                  <c:v>1.1226851851851899E-2</c:v>
                </c:pt>
                <c:pt idx="195">
                  <c:v>1.1284722222222199E-2</c:v>
                </c:pt>
                <c:pt idx="196">
                  <c:v>1.13425925925926E-2</c:v>
                </c:pt>
                <c:pt idx="197">
                  <c:v>1.1400462962962999E-2</c:v>
                </c:pt>
                <c:pt idx="198">
                  <c:v>1.14583333333333E-2</c:v>
                </c:pt>
                <c:pt idx="199">
                  <c:v>1.15162037037037E-2</c:v>
                </c:pt>
                <c:pt idx="200">
                  <c:v>1.1574074074074099E-2</c:v>
                </c:pt>
                <c:pt idx="201">
                  <c:v>1.16319444444444E-2</c:v>
                </c:pt>
                <c:pt idx="202">
                  <c:v>1.16898148148148E-2</c:v>
                </c:pt>
                <c:pt idx="203">
                  <c:v>1.17476851851852E-2</c:v>
                </c:pt>
                <c:pt idx="204">
                  <c:v>1.18055555555556E-2</c:v>
                </c:pt>
                <c:pt idx="205">
                  <c:v>1.1863425925925901E-2</c:v>
                </c:pt>
                <c:pt idx="206">
                  <c:v>1.19212962962963E-2</c:v>
                </c:pt>
                <c:pt idx="207">
                  <c:v>1.19791666666667E-2</c:v>
                </c:pt>
                <c:pt idx="208">
                  <c:v>1.2037037037037001E-2</c:v>
                </c:pt>
                <c:pt idx="209">
                  <c:v>1.20949074074074E-2</c:v>
                </c:pt>
                <c:pt idx="210">
                  <c:v>1.2152777777777801E-2</c:v>
                </c:pt>
                <c:pt idx="211">
                  <c:v>1.2210648148148101E-2</c:v>
                </c:pt>
                <c:pt idx="212">
                  <c:v>1.22685185185185E-2</c:v>
                </c:pt>
                <c:pt idx="213">
                  <c:v>1.2326388888888901E-2</c:v>
                </c:pt>
                <c:pt idx="214">
                  <c:v>1.23842592592593E-2</c:v>
                </c:pt>
                <c:pt idx="215">
                  <c:v>1.24421296296296E-2</c:v>
                </c:pt>
                <c:pt idx="216">
                  <c:v>1.2500000000000001E-2</c:v>
                </c:pt>
                <c:pt idx="217">
                  <c:v>1.25578703703704E-2</c:v>
                </c:pt>
                <c:pt idx="218">
                  <c:v>1.26157407407407E-2</c:v>
                </c:pt>
                <c:pt idx="219">
                  <c:v>1.2673611111111101E-2</c:v>
                </c:pt>
                <c:pt idx="220">
                  <c:v>1.27314814814815E-2</c:v>
                </c:pt>
                <c:pt idx="221">
                  <c:v>1.2789351851851901E-2</c:v>
                </c:pt>
                <c:pt idx="222">
                  <c:v>1.2847222222222201E-2</c:v>
                </c:pt>
                <c:pt idx="223">
                  <c:v>1.29050925925926E-2</c:v>
                </c:pt>
                <c:pt idx="224">
                  <c:v>1.2962962962963001E-2</c:v>
                </c:pt>
                <c:pt idx="225">
                  <c:v>1.3020833333333299E-2</c:v>
                </c:pt>
                <c:pt idx="226">
                  <c:v>1.30787037037037E-2</c:v>
                </c:pt>
                <c:pt idx="227">
                  <c:v>1.3136574074074101E-2</c:v>
                </c:pt>
                <c:pt idx="228">
                  <c:v>1.3194444444444399E-2</c:v>
                </c:pt>
                <c:pt idx="229">
                  <c:v>1.32523148148148E-2</c:v>
                </c:pt>
                <c:pt idx="230">
                  <c:v>1.3310185185185199E-2</c:v>
                </c:pt>
                <c:pt idx="231">
                  <c:v>1.33680555555556E-2</c:v>
                </c:pt>
                <c:pt idx="232">
                  <c:v>1.34259259259259E-2</c:v>
                </c:pt>
                <c:pt idx="233">
                  <c:v>1.3483796296296299E-2</c:v>
                </c:pt>
                <c:pt idx="234">
                  <c:v>1.35416666666667E-2</c:v>
                </c:pt>
                <c:pt idx="235">
                  <c:v>1.3599537037037E-2</c:v>
                </c:pt>
                <c:pt idx="236">
                  <c:v>1.3657407407407399E-2</c:v>
                </c:pt>
                <c:pt idx="237">
                  <c:v>1.37152777777778E-2</c:v>
                </c:pt>
                <c:pt idx="238">
                  <c:v>1.37731481481481E-2</c:v>
                </c:pt>
                <c:pt idx="239">
                  <c:v>1.3831018518518499E-2</c:v>
                </c:pt>
                <c:pt idx="240">
                  <c:v>1.38888888888889E-2</c:v>
                </c:pt>
                <c:pt idx="241">
                  <c:v>1.3946759259259299E-2</c:v>
                </c:pt>
                <c:pt idx="242">
                  <c:v>1.40046296296296E-2</c:v>
                </c:pt>
                <c:pt idx="243">
                  <c:v>1.40625E-2</c:v>
                </c:pt>
                <c:pt idx="244">
                  <c:v>1.4120370370370399E-2</c:v>
                </c:pt>
                <c:pt idx="245">
                  <c:v>1.41782407407407E-2</c:v>
                </c:pt>
                <c:pt idx="246">
                  <c:v>1.42361111111111E-2</c:v>
                </c:pt>
                <c:pt idx="247">
                  <c:v>1.42939814814815E-2</c:v>
                </c:pt>
                <c:pt idx="248">
                  <c:v>1.43518518518519E-2</c:v>
                </c:pt>
                <c:pt idx="249">
                  <c:v>1.4409722222222201E-2</c:v>
                </c:pt>
                <c:pt idx="250">
                  <c:v>1.44675925925926E-2</c:v>
                </c:pt>
                <c:pt idx="251">
                  <c:v>1.4525462962963E-2</c:v>
                </c:pt>
                <c:pt idx="252">
                  <c:v>1.4583333333333301E-2</c:v>
                </c:pt>
                <c:pt idx="253">
                  <c:v>1.46412037037037E-2</c:v>
                </c:pt>
                <c:pt idx="254">
                  <c:v>1.46990740740741E-2</c:v>
                </c:pt>
                <c:pt idx="255">
                  <c:v>1.4756944444444401E-2</c:v>
                </c:pt>
                <c:pt idx="256">
                  <c:v>1.48148148148148E-2</c:v>
                </c:pt>
                <c:pt idx="257">
                  <c:v>1.4872685185185201E-2</c:v>
                </c:pt>
                <c:pt idx="258">
                  <c:v>1.49305555555556E-2</c:v>
                </c:pt>
                <c:pt idx="259">
                  <c:v>1.49884259259259E-2</c:v>
                </c:pt>
                <c:pt idx="260">
                  <c:v>1.5046296296296301E-2</c:v>
                </c:pt>
                <c:pt idx="261">
                  <c:v>1.51041666666667E-2</c:v>
                </c:pt>
                <c:pt idx="262">
                  <c:v>1.5162037037037E-2</c:v>
                </c:pt>
                <c:pt idx="263">
                  <c:v>1.5219907407407401E-2</c:v>
                </c:pt>
                <c:pt idx="264">
                  <c:v>1.52777777777778E-2</c:v>
                </c:pt>
                <c:pt idx="265">
                  <c:v>1.53356481481481E-2</c:v>
                </c:pt>
                <c:pt idx="266">
                  <c:v>1.5393518518518501E-2</c:v>
                </c:pt>
                <c:pt idx="267">
                  <c:v>1.54513888888889E-2</c:v>
                </c:pt>
                <c:pt idx="268">
                  <c:v>1.5509259259259301E-2</c:v>
                </c:pt>
                <c:pt idx="269">
                  <c:v>1.5567129629629599E-2</c:v>
                </c:pt>
                <c:pt idx="270">
                  <c:v>1.5625E-2</c:v>
                </c:pt>
                <c:pt idx="271">
                  <c:v>1.5682870370370399E-2</c:v>
                </c:pt>
                <c:pt idx="272">
                  <c:v>1.5740740740740701E-2</c:v>
                </c:pt>
                <c:pt idx="273">
                  <c:v>1.57986111111111E-2</c:v>
                </c:pt>
                <c:pt idx="274">
                  <c:v>1.5856481481481499E-2</c:v>
                </c:pt>
                <c:pt idx="275">
                  <c:v>1.5914351851851801E-2</c:v>
                </c:pt>
                <c:pt idx="276">
                  <c:v>1.59722222222222E-2</c:v>
                </c:pt>
                <c:pt idx="277">
                  <c:v>1.6030092592592599E-2</c:v>
                </c:pt>
                <c:pt idx="278">
                  <c:v>1.6087962962962998E-2</c:v>
                </c:pt>
                <c:pt idx="279">
                  <c:v>1.61458333333333E-2</c:v>
                </c:pt>
                <c:pt idx="280">
                  <c:v>1.6203703703703699E-2</c:v>
                </c:pt>
                <c:pt idx="281">
                  <c:v>1.6261574074074098E-2</c:v>
                </c:pt>
                <c:pt idx="282">
                  <c:v>1.63194444444444E-2</c:v>
                </c:pt>
                <c:pt idx="283">
                  <c:v>1.6377314814814799E-2</c:v>
                </c:pt>
                <c:pt idx="284">
                  <c:v>1.6435185185185198E-2</c:v>
                </c:pt>
                <c:pt idx="285">
                  <c:v>1.6493055555555601E-2</c:v>
                </c:pt>
                <c:pt idx="286">
                  <c:v>1.65509259259259E-2</c:v>
                </c:pt>
                <c:pt idx="287">
                  <c:v>1.6608796296296299E-2</c:v>
                </c:pt>
                <c:pt idx="288">
                  <c:v>1.6666666666666701E-2</c:v>
                </c:pt>
                <c:pt idx="289">
                  <c:v>1.6724537037037E-2</c:v>
                </c:pt>
                <c:pt idx="290">
                  <c:v>1.6782407407407399E-2</c:v>
                </c:pt>
                <c:pt idx="291">
                  <c:v>1.6840277777777801E-2</c:v>
                </c:pt>
                <c:pt idx="292">
                  <c:v>1.68981481481481E-2</c:v>
                </c:pt>
                <c:pt idx="293">
                  <c:v>1.6956018518518499E-2</c:v>
                </c:pt>
                <c:pt idx="294">
                  <c:v>1.7013888888888901E-2</c:v>
                </c:pt>
                <c:pt idx="295">
                  <c:v>1.70717592592593E-2</c:v>
                </c:pt>
                <c:pt idx="296">
                  <c:v>1.7129629629629599E-2</c:v>
                </c:pt>
                <c:pt idx="297">
                  <c:v>1.7187500000000001E-2</c:v>
                </c:pt>
                <c:pt idx="298">
                  <c:v>1.72453703703704E-2</c:v>
                </c:pt>
                <c:pt idx="299">
                  <c:v>1.7303240740740699E-2</c:v>
                </c:pt>
                <c:pt idx="300">
                  <c:v>1.7361111111111101E-2</c:v>
                </c:pt>
                <c:pt idx="301">
                  <c:v>1.7418981481481501E-2</c:v>
                </c:pt>
                <c:pt idx="302">
                  <c:v>1.74768518518519E-2</c:v>
                </c:pt>
                <c:pt idx="303">
                  <c:v>1.7534722222222202E-2</c:v>
                </c:pt>
                <c:pt idx="304">
                  <c:v>1.7592592592592601E-2</c:v>
                </c:pt>
                <c:pt idx="305">
                  <c:v>1.7650462962963E-2</c:v>
                </c:pt>
                <c:pt idx="306">
                  <c:v>1.7708333333333302E-2</c:v>
                </c:pt>
                <c:pt idx="307">
                  <c:v>1.7766203703703701E-2</c:v>
                </c:pt>
                <c:pt idx="308">
                  <c:v>1.78240740740741E-2</c:v>
                </c:pt>
                <c:pt idx="309">
                  <c:v>1.7881944444444402E-2</c:v>
                </c:pt>
                <c:pt idx="310">
                  <c:v>1.7939814814814801E-2</c:v>
                </c:pt>
                <c:pt idx="311">
                  <c:v>1.79976851851852E-2</c:v>
                </c:pt>
                <c:pt idx="312">
                  <c:v>1.8055555555555599E-2</c:v>
                </c:pt>
                <c:pt idx="313">
                  <c:v>1.8113425925925901E-2</c:v>
                </c:pt>
                <c:pt idx="314">
                  <c:v>1.81712962962963E-2</c:v>
                </c:pt>
                <c:pt idx="315">
                  <c:v>1.8229166666666699E-2</c:v>
                </c:pt>
                <c:pt idx="316">
                  <c:v>1.8287037037037001E-2</c:v>
                </c:pt>
                <c:pt idx="317">
                  <c:v>1.83449074074074E-2</c:v>
                </c:pt>
                <c:pt idx="318">
                  <c:v>1.8402777777777799E-2</c:v>
                </c:pt>
                <c:pt idx="319">
                  <c:v>1.8460648148148101E-2</c:v>
                </c:pt>
                <c:pt idx="320">
                  <c:v>1.85185185185185E-2</c:v>
                </c:pt>
                <c:pt idx="321">
                  <c:v>1.8576388888888899E-2</c:v>
                </c:pt>
                <c:pt idx="322">
                  <c:v>1.8634259259259298E-2</c:v>
                </c:pt>
                <c:pt idx="323">
                  <c:v>1.86921296296296E-2</c:v>
                </c:pt>
                <c:pt idx="324">
                  <c:v>1.8749999999999999E-2</c:v>
                </c:pt>
                <c:pt idx="325">
                  <c:v>1.8807870370370398E-2</c:v>
                </c:pt>
                <c:pt idx="326">
                  <c:v>1.88657407407407E-2</c:v>
                </c:pt>
                <c:pt idx="327">
                  <c:v>1.8923611111111099E-2</c:v>
                </c:pt>
                <c:pt idx="328">
                  <c:v>1.8981481481481498E-2</c:v>
                </c:pt>
                <c:pt idx="329">
                  <c:v>1.90393518518518E-2</c:v>
                </c:pt>
                <c:pt idx="330">
                  <c:v>1.9097222222222199E-2</c:v>
                </c:pt>
                <c:pt idx="331">
                  <c:v>1.9155092592592599E-2</c:v>
                </c:pt>
                <c:pt idx="332">
                  <c:v>1.9212962962963001E-2</c:v>
                </c:pt>
                <c:pt idx="333">
                  <c:v>1.92708333333333E-2</c:v>
                </c:pt>
                <c:pt idx="334">
                  <c:v>1.9328703703703699E-2</c:v>
                </c:pt>
                <c:pt idx="335">
                  <c:v>1.9386574074074101E-2</c:v>
                </c:pt>
                <c:pt idx="336">
                  <c:v>1.94444444444444E-2</c:v>
                </c:pt>
                <c:pt idx="337">
                  <c:v>1.9502314814814799E-2</c:v>
                </c:pt>
                <c:pt idx="338">
                  <c:v>1.9560185185185201E-2</c:v>
                </c:pt>
                <c:pt idx="339">
                  <c:v>1.96180555555556E-2</c:v>
                </c:pt>
                <c:pt idx="340">
                  <c:v>1.9675925925925899E-2</c:v>
                </c:pt>
                <c:pt idx="341">
                  <c:v>1.9733796296296301E-2</c:v>
                </c:pt>
                <c:pt idx="342">
                  <c:v>1.97916666666667E-2</c:v>
                </c:pt>
                <c:pt idx="343">
                  <c:v>1.9849537037036999E-2</c:v>
                </c:pt>
                <c:pt idx="344">
                  <c:v>1.9907407407407401E-2</c:v>
                </c:pt>
                <c:pt idx="345">
                  <c:v>1.9965277777777801E-2</c:v>
                </c:pt>
                <c:pt idx="346">
                  <c:v>2.0023148148148099E-2</c:v>
                </c:pt>
                <c:pt idx="347">
                  <c:v>2.0081018518518502E-2</c:v>
                </c:pt>
                <c:pt idx="348">
                  <c:v>2.0138888888888901E-2</c:v>
                </c:pt>
                <c:pt idx="349">
                  <c:v>2.01967592592593E-2</c:v>
                </c:pt>
                <c:pt idx="350">
                  <c:v>2.0254629629629602E-2</c:v>
                </c:pt>
                <c:pt idx="351">
                  <c:v>2.0312500000000001E-2</c:v>
                </c:pt>
                <c:pt idx="352">
                  <c:v>2.03703703703704E-2</c:v>
                </c:pt>
                <c:pt idx="353">
                  <c:v>2.0428240740740702E-2</c:v>
                </c:pt>
                <c:pt idx="354">
                  <c:v>2.0486111111111101E-2</c:v>
                </c:pt>
                <c:pt idx="355">
                  <c:v>2.05439814814815E-2</c:v>
                </c:pt>
                <c:pt idx="356">
                  <c:v>2.0601851851851899E-2</c:v>
                </c:pt>
                <c:pt idx="357">
                  <c:v>2.0659722222222201E-2</c:v>
                </c:pt>
                <c:pt idx="358">
                  <c:v>2.07175925925926E-2</c:v>
                </c:pt>
                <c:pt idx="359">
                  <c:v>2.0775462962962999E-2</c:v>
                </c:pt>
                <c:pt idx="360">
                  <c:v>2.0833333333333301E-2</c:v>
                </c:pt>
                <c:pt idx="361">
                  <c:v>2.08912037037037E-2</c:v>
                </c:pt>
                <c:pt idx="362">
                  <c:v>2.0949074074074099E-2</c:v>
                </c:pt>
                <c:pt idx="363">
                  <c:v>2.1006944444444401E-2</c:v>
                </c:pt>
                <c:pt idx="364">
                  <c:v>2.10648148148148E-2</c:v>
                </c:pt>
                <c:pt idx="365">
                  <c:v>2.1122685185185199E-2</c:v>
                </c:pt>
                <c:pt idx="366">
                  <c:v>2.1180555555555598E-2</c:v>
                </c:pt>
                <c:pt idx="367">
                  <c:v>2.12384259259259E-2</c:v>
                </c:pt>
                <c:pt idx="368">
                  <c:v>2.1296296296296299E-2</c:v>
                </c:pt>
                <c:pt idx="369">
                  <c:v>2.1354166666666698E-2</c:v>
                </c:pt>
                <c:pt idx="370">
                  <c:v>2.1412037037037E-2</c:v>
                </c:pt>
                <c:pt idx="371">
                  <c:v>2.1469907407407399E-2</c:v>
                </c:pt>
                <c:pt idx="372">
                  <c:v>2.1527777777777798E-2</c:v>
                </c:pt>
                <c:pt idx="373">
                  <c:v>2.15856481481481E-2</c:v>
                </c:pt>
                <c:pt idx="374">
                  <c:v>2.1643518518518499E-2</c:v>
                </c:pt>
                <c:pt idx="375">
                  <c:v>2.1701388888888899E-2</c:v>
                </c:pt>
                <c:pt idx="376">
                  <c:v>2.1759259259259301E-2</c:v>
                </c:pt>
                <c:pt idx="377">
                  <c:v>2.18171296296296E-2</c:v>
                </c:pt>
                <c:pt idx="378">
                  <c:v>2.1874999999999999E-2</c:v>
                </c:pt>
                <c:pt idx="379">
                  <c:v>2.1932870370370401E-2</c:v>
                </c:pt>
                <c:pt idx="380">
                  <c:v>2.19907407407407E-2</c:v>
                </c:pt>
                <c:pt idx="381">
                  <c:v>2.2048611111111099E-2</c:v>
                </c:pt>
                <c:pt idx="382">
                  <c:v>2.2106481481481501E-2</c:v>
                </c:pt>
                <c:pt idx="383">
                  <c:v>2.21643518518519E-2</c:v>
                </c:pt>
                <c:pt idx="384">
                  <c:v>2.2222222222222199E-2</c:v>
                </c:pt>
                <c:pt idx="385">
                  <c:v>2.2280092592592601E-2</c:v>
                </c:pt>
                <c:pt idx="386">
                  <c:v>2.2337962962963E-2</c:v>
                </c:pt>
                <c:pt idx="387">
                  <c:v>2.2395833333333299E-2</c:v>
                </c:pt>
                <c:pt idx="388">
                  <c:v>2.2453703703703701E-2</c:v>
                </c:pt>
                <c:pt idx="389">
                  <c:v>2.25115740740741E-2</c:v>
                </c:pt>
                <c:pt idx="390">
                  <c:v>2.2569444444444399E-2</c:v>
                </c:pt>
                <c:pt idx="391">
                  <c:v>2.2627314814814802E-2</c:v>
                </c:pt>
                <c:pt idx="392">
                  <c:v>2.2685185185185201E-2</c:v>
                </c:pt>
                <c:pt idx="393">
                  <c:v>2.27430555555556E-2</c:v>
                </c:pt>
                <c:pt idx="394">
                  <c:v>2.2800925925925902E-2</c:v>
                </c:pt>
                <c:pt idx="395">
                  <c:v>2.2858796296296301E-2</c:v>
                </c:pt>
                <c:pt idx="396">
                  <c:v>2.29166666666667E-2</c:v>
                </c:pt>
                <c:pt idx="397">
                  <c:v>2.2974537037037002E-2</c:v>
                </c:pt>
                <c:pt idx="398">
                  <c:v>2.3032407407407401E-2</c:v>
                </c:pt>
                <c:pt idx="399">
                  <c:v>2.30902777777778E-2</c:v>
                </c:pt>
                <c:pt idx="400">
                  <c:v>2.3148148148148098E-2</c:v>
                </c:pt>
                <c:pt idx="401">
                  <c:v>2.3206018518518501E-2</c:v>
                </c:pt>
                <c:pt idx="402">
                  <c:v>2.32638888888889E-2</c:v>
                </c:pt>
                <c:pt idx="403">
                  <c:v>2.3321759259259299E-2</c:v>
                </c:pt>
                <c:pt idx="404">
                  <c:v>2.3379629629629601E-2</c:v>
                </c:pt>
                <c:pt idx="405">
                  <c:v>2.34375E-2</c:v>
                </c:pt>
                <c:pt idx="406">
                  <c:v>2.3495370370370399E-2</c:v>
                </c:pt>
                <c:pt idx="407">
                  <c:v>2.3553240740740701E-2</c:v>
                </c:pt>
                <c:pt idx="408">
                  <c:v>2.36111111111111E-2</c:v>
                </c:pt>
                <c:pt idx="409">
                  <c:v>2.3668981481481499E-2</c:v>
                </c:pt>
                <c:pt idx="410">
                  <c:v>2.3726851851851801E-2</c:v>
                </c:pt>
                <c:pt idx="411">
                  <c:v>2.37847222222222E-2</c:v>
                </c:pt>
                <c:pt idx="412">
                  <c:v>2.3842592592592599E-2</c:v>
                </c:pt>
                <c:pt idx="413">
                  <c:v>2.3900462962962998E-2</c:v>
                </c:pt>
                <c:pt idx="414">
                  <c:v>2.39583333333333E-2</c:v>
                </c:pt>
                <c:pt idx="415">
                  <c:v>2.4016203703703699E-2</c:v>
                </c:pt>
                <c:pt idx="416">
                  <c:v>2.4074074074074098E-2</c:v>
                </c:pt>
                <c:pt idx="417">
                  <c:v>2.41319444444444E-2</c:v>
                </c:pt>
                <c:pt idx="418">
                  <c:v>2.4189814814814799E-2</c:v>
                </c:pt>
                <c:pt idx="419">
                  <c:v>2.4247685185185198E-2</c:v>
                </c:pt>
                <c:pt idx="420">
                  <c:v>2.4305555555555601E-2</c:v>
                </c:pt>
                <c:pt idx="421">
                  <c:v>2.43634259259259E-2</c:v>
                </c:pt>
                <c:pt idx="422">
                  <c:v>2.4421296296296299E-2</c:v>
                </c:pt>
                <c:pt idx="423">
                  <c:v>2.4479166666666701E-2</c:v>
                </c:pt>
                <c:pt idx="424">
                  <c:v>2.4537037037037E-2</c:v>
                </c:pt>
                <c:pt idx="425">
                  <c:v>2.4594907407407399E-2</c:v>
                </c:pt>
                <c:pt idx="426">
                  <c:v>2.4652777777777801E-2</c:v>
                </c:pt>
                <c:pt idx="427">
                  <c:v>2.47106481481481E-2</c:v>
                </c:pt>
                <c:pt idx="428">
                  <c:v>2.4768518518518499E-2</c:v>
                </c:pt>
                <c:pt idx="429">
                  <c:v>2.4826388888888901E-2</c:v>
                </c:pt>
                <c:pt idx="430">
                  <c:v>2.48842592592593E-2</c:v>
                </c:pt>
                <c:pt idx="431">
                  <c:v>2.4942129629629599E-2</c:v>
                </c:pt>
                <c:pt idx="432">
                  <c:v>2.5000000000000001E-2</c:v>
                </c:pt>
                <c:pt idx="433">
                  <c:v>2.50578703703704E-2</c:v>
                </c:pt>
                <c:pt idx="434">
                  <c:v>2.5115740740740699E-2</c:v>
                </c:pt>
                <c:pt idx="435">
                  <c:v>2.5173611111111101E-2</c:v>
                </c:pt>
                <c:pt idx="436">
                  <c:v>2.5231481481481501E-2</c:v>
                </c:pt>
                <c:pt idx="437">
                  <c:v>2.52893518518519E-2</c:v>
                </c:pt>
                <c:pt idx="438">
                  <c:v>2.5347222222222202E-2</c:v>
                </c:pt>
                <c:pt idx="439">
                  <c:v>2.5405092592592601E-2</c:v>
                </c:pt>
                <c:pt idx="440">
                  <c:v>2.5462962962963E-2</c:v>
                </c:pt>
                <c:pt idx="441">
                  <c:v>2.5520833333333302E-2</c:v>
                </c:pt>
                <c:pt idx="442">
                  <c:v>2.5578703703703701E-2</c:v>
                </c:pt>
                <c:pt idx="443">
                  <c:v>2.56365740740741E-2</c:v>
                </c:pt>
                <c:pt idx="444">
                  <c:v>2.5694444444444402E-2</c:v>
                </c:pt>
                <c:pt idx="445">
                  <c:v>2.5752314814814801E-2</c:v>
                </c:pt>
                <c:pt idx="446">
                  <c:v>2.58101851851852E-2</c:v>
                </c:pt>
                <c:pt idx="447">
                  <c:v>2.5868055555555599E-2</c:v>
                </c:pt>
                <c:pt idx="448">
                  <c:v>2.5925925925925901E-2</c:v>
                </c:pt>
                <c:pt idx="449">
                  <c:v>2.59837962962963E-2</c:v>
                </c:pt>
                <c:pt idx="450">
                  <c:v>2.6041666666666699E-2</c:v>
                </c:pt>
                <c:pt idx="451">
                  <c:v>2.6099537037037001E-2</c:v>
                </c:pt>
                <c:pt idx="452">
                  <c:v>2.61574074074074E-2</c:v>
                </c:pt>
                <c:pt idx="453">
                  <c:v>2.6215277777777799E-2</c:v>
                </c:pt>
                <c:pt idx="454">
                  <c:v>2.6273148148148101E-2</c:v>
                </c:pt>
                <c:pt idx="455">
                  <c:v>2.63310185185185E-2</c:v>
                </c:pt>
                <c:pt idx="456">
                  <c:v>2.6388888888888899E-2</c:v>
                </c:pt>
              </c:numCache>
            </c:numRef>
          </c:xVal>
          <c:yVal>
            <c:numRef>
              <c:f>Hartslagen!$C$5204:$C$5660</c:f>
              <c:numCache>
                <c:formatCode>General</c:formatCode>
                <c:ptCount val="457"/>
                <c:pt idx="0">
                  <c:v>108</c:v>
                </c:pt>
                <c:pt idx="1">
                  <c:v>108</c:v>
                </c:pt>
                <c:pt idx="2">
                  <c:v>135</c:v>
                </c:pt>
                <c:pt idx="3">
                  <c:v>149</c:v>
                </c:pt>
                <c:pt idx="4">
                  <c:v>156</c:v>
                </c:pt>
                <c:pt idx="5">
                  <c:v>160</c:v>
                </c:pt>
                <c:pt idx="6">
                  <c:v>163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168</c:v>
                </c:pt>
                <c:pt idx="11">
                  <c:v>169</c:v>
                </c:pt>
                <c:pt idx="12">
                  <c:v>170</c:v>
                </c:pt>
                <c:pt idx="13">
                  <c:v>171</c:v>
                </c:pt>
                <c:pt idx="14">
                  <c:v>171</c:v>
                </c:pt>
                <c:pt idx="15">
                  <c:v>171</c:v>
                </c:pt>
                <c:pt idx="16">
                  <c:v>172</c:v>
                </c:pt>
                <c:pt idx="17">
                  <c:v>172</c:v>
                </c:pt>
                <c:pt idx="18">
                  <c:v>172</c:v>
                </c:pt>
                <c:pt idx="19">
                  <c:v>172</c:v>
                </c:pt>
                <c:pt idx="20">
                  <c:v>171</c:v>
                </c:pt>
                <c:pt idx="21">
                  <c:v>171</c:v>
                </c:pt>
                <c:pt idx="22">
                  <c:v>163</c:v>
                </c:pt>
                <c:pt idx="23">
                  <c:v>161</c:v>
                </c:pt>
                <c:pt idx="24">
                  <c:v>161</c:v>
                </c:pt>
                <c:pt idx="25">
                  <c:v>150</c:v>
                </c:pt>
                <c:pt idx="26">
                  <c:v>147</c:v>
                </c:pt>
                <c:pt idx="27">
                  <c:v>143</c:v>
                </c:pt>
                <c:pt idx="28">
                  <c:v>140</c:v>
                </c:pt>
                <c:pt idx="29">
                  <c:v>136</c:v>
                </c:pt>
                <c:pt idx="30">
                  <c:v>134</c:v>
                </c:pt>
                <c:pt idx="31">
                  <c:v>130</c:v>
                </c:pt>
                <c:pt idx="32">
                  <c:v>130</c:v>
                </c:pt>
                <c:pt idx="33">
                  <c:v>129</c:v>
                </c:pt>
                <c:pt idx="34">
                  <c:v>126</c:v>
                </c:pt>
                <c:pt idx="35">
                  <c:v>124</c:v>
                </c:pt>
                <c:pt idx="36">
                  <c:v>126</c:v>
                </c:pt>
                <c:pt idx="37">
                  <c:v>137</c:v>
                </c:pt>
                <c:pt idx="38">
                  <c:v>147</c:v>
                </c:pt>
                <c:pt idx="39">
                  <c:v>155</c:v>
                </c:pt>
                <c:pt idx="40">
                  <c:v>160</c:v>
                </c:pt>
                <c:pt idx="41">
                  <c:v>164</c:v>
                </c:pt>
                <c:pt idx="42">
                  <c:v>167</c:v>
                </c:pt>
                <c:pt idx="43">
                  <c:v>169</c:v>
                </c:pt>
                <c:pt idx="44">
                  <c:v>170</c:v>
                </c:pt>
                <c:pt idx="45">
                  <c:v>172</c:v>
                </c:pt>
                <c:pt idx="46">
                  <c:v>173</c:v>
                </c:pt>
                <c:pt idx="47">
                  <c:v>174</c:v>
                </c:pt>
                <c:pt idx="48">
                  <c:v>175</c:v>
                </c:pt>
                <c:pt idx="49">
                  <c:v>176</c:v>
                </c:pt>
                <c:pt idx="50">
                  <c:v>176</c:v>
                </c:pt>
                <c:pt idx="51">
                  <c:v>177</c:v>
                </c:pt>
                <c:pt idx="52">
                  <c:v>177</c:v>
                </c:pt>
                <c:pt idx="53">
                  <c:v>178</c:v>
                </c:pt>
                <c:pt idx="54">
                  <c:v>178</c:v>
                </c:pt>
                <c:pt idx="55">
                  <c:v>179</c:v>
                </c:pt>
                <c:pt idx="56">
                  <c:v>177</c:v>
                </c:pt>
                <c:pt idx="57">
                  <c:v>178</c:v>
                </c:pt>
                <c:pt idx="58">
                  <c:v>177</c:v>
                </c:pt>
                <c:pt idx="59">
                  <c:v>178</c:v>
                </c:pt>
                <c:pt idx="60">
                  <c:v>178</c:v>
                </c:pt>
                <c:pt idx="61">
                  <c:v>178</c:v>
                </c:pt>
                <c:pt idx="62">
                  <c:v>178</c:v>
                </c:pt>
                <c:pt idx="63">
                  <c:v>179</c:v>
                </c:pt>
                <c:pt idx="64">
                  <c:v>179</c:v>
                </c:pt>
                <c:pt idx="65">
                  <c:v>179</c:v>
                </c:pt>
                <c:pt idx="66">
                  <c:v>179</c:v>
                </c:pt>
                <c:pt idx="67">
                  <c:v>180</c:v>
                </c:pt>
                <c:pt idx="68">
                  <c:v>179</c:v>
                </c:pt>
                <c:pt idx="69">
                  <c:v>180</c:v>
                </c:pt>
                <c:pt idx="70">
                  <c:v>180</c:v>
                </c:pt>
                <c:pt idx="71">
                  <c:v>180</c:v>
                </c:pt>
                <c:pt idx="72">
                  <c:v>180</c:v>
                </c:pt>
                <c:pt idx="73">
                  <c:v>180</c:v>
                </c:pt>
                <c:pt idx="74">
                  <c:v>180</c:v>
                </c:pt>
                <c:pt idx="75">
                  <c:v>177</c:v>
                </c:pt>
                <c:pt idx="76">
                  <c:v>175</c:v>
                </c:pt>
                <c:pt idx="77">
                  <c:v>170</c:v>
                </c:pt>
                <c:pt idx="78">
                  <c:v>162</c:v>
                </c:pt>
                <c:pt idx="79">
                  <c:v>155</c:v>
                </c:pt>
                <c:pt idx="80">
                  <c:v>153</c:v>
                </c:pt>
                <c:pt idx="81">
                  <c:v>149</c:v>
                </c:pt>
                <c:pt idx="82">
                  <c:v>146</c:v>
                </c:pt>
                <c:pt idx="83">
                  <c:v>143</c:v>
                </c:pt>
                <c:pt idx="84">
                  <c:v>139</c:v>
                </c:pt>
                <c:pt idx="85">
                  <c:v>138</c:v>
                </c:pt>
                <c:pt idx="86">
                  <c:v>136</c:v>
                </c:pt>
                <c:pt idx="87">
                  <c:v>134</c:v>
                </c:pt>
                <c:pt idx="88">
                  <c:v>131</c:v>
                </c:pt>
                <c:pt idx="89">
                  <c:v>128</c:v>
                </c:pt>
                <c:pt idx="90">
                  <c:v>127</c:v>
                </c:pt>
                <c:pt idx="91">
                  <c:v>129</c:v>
                </c:pt>
                <c:pt idx="92">
                  <c:v>130</c:v>
                </c:pt>
                <c:pt idx="93">
                  <c:v>131</c:v>
                </c:pt>
                <c:pt idx="94">
                  <c:v>131</c:v>
                </c:pt>
                <c:pt idx="95">
                  <c:v>127</c:v>
                </c:pt>
                <c:pt idx="96">
                  <c:v>128</c:v>
                </c:pt>
                <c:pt idx="97">
                  <c:v>131</c:v>
                </c:pt>
                <c:pt idx="98">
                  <c:v>140</c:v>
                </c:pt>
                <c:pt idx="99">
                  <c:v>150</c:v>
                </c:pt>
                <c:pt idx="100">
                  <c:v>156</c:v>
                </c:pt>
                <c:pt idx="101">
                  <c:v>160</c:v>
                </c:pt>
                <c:pt idx="102">
                  <c:v>163</c:v>
                </c:pt>
                <c:pt idx="103">
                  <c:v>166</c:v>
                </c:pt>
                <c:pt idx="104">
                  <c:v>168</c:v>
                </c:pt>
                <c:pt idx="105">
                  <c:v>170</c:v>
                </c:pt>
                <c:pt idx="106">
                  <c:v>172</c:v>
                </c:pt>
                <c:pt idx="107">
                  <c:v>174</c:v>
                </c:pt>
                <c:pt idx="108">
                  <c:v>175</c:v>
                </c:pt>
                <c:pt idx="109">
                  <c:v>176</c:v>
                </c:pt>
                <c:pt idx="110">
                  <c:v>177</c:v>
                </c:pt>
                <c:pt idx="111">
                  <c:v>177</c:v>
                </c:pt>
                <c:pt idx="112">
                  <c:v>179</c:v>
                </c:pt>
                <c:pt idx="113">
                  <c:v>179</c:v>
                </c:pt>
                <c:pt idx="114">
                  <c:v>179</c:v>
                </c:pt>
                <c:pt idx="115">
                  <c:v>179</c:v>
                </c:pt>
                <c:pt idx="116">
                  <c:v>181</c:v>
                </c:pt>
                <c:pt idx="117">
                  <c:v>181</c:v>
                </c:pt>
                <c:pt idx="118">
                  <c:v>182</c:v>
                </c:pt>
                <c:pt idx="119">
                  <c:v>182</c:v>
                </c:pt>
                <c:pt idx="120">
                  <c:v>182</c:v>
                </c:pt>
                <c:pt idx="121">
                  <c:v>182</c:v>
                </c:pt>
                <c:pt idx="122">
                  <c:v>182</c:v>
                </c:pt>
                <c:pt idx="123">
                  <c:v>182</c:v>
                </c:pt>
                <c:pt idx="124">
                  <c:v>182</c:v>
                </c:pt>
                <c:pt idx="125">
                  <c:v>181</c:v>
                </c:pt>
                <c:pt idx="126">
                  <c:v>183</c:v>
                </c:pt>
                <c:pt idx="127">
                  <c:v>183</c:v>
                </c:pt>
                <c:pt idx="128">
                  <c:v>183</c:v>
                </c:pt>
                <c:pt idx="129">
                  <c:v>184</c:v>
                </c:pt>
                <c:pt idx="130">
                  <c:v>184</c:v>
                </c:pt>
                <c:pt idx="131">
                  <c:v>183</c:v>
                </c:pt>
                <c:pt idx="132">
                  <c:v>184</c:v>
                </c:pt>
                <c:pt idx="133">
                  <c:v>184</c:v>
                </c:pt>
                <c:pt idx="134">
                  <c:v>183</c:v>
                </c:pt>
                <c:pt idx="135">
                  <c:v>184</c:v>
                </c:pt>
                <c:pt idx="136">
                  <c:v>184</c:v>
                </c:pt>
                <c:pt idx="137">
                  <c:v>183</c:v>
                </c:pt>
                <c:pt idx="138">
                  <c:v>183</c:v>
                </c:pt>
                <c:pt idx="139">
                  <c:v>183</c:v>
                </c:pt>
                <c:pt idx="140">
                  <c:v>182</c:v>
                </c:pt>
                <c:pt idx="141">
                  <c:v>183</c:v>
                </c:pt>
                <c:pt idx="142">
                  <c:v>183</c:v>
                </c:pt>
                <c:pt idx="143">
                  <c:v>182</c:v>
                </c:pt>
                <c:pt idx="144">
                  <c:v>183</c:v>
                </c:pt>
                <c:pt idx="145">
                  <c:v>183</c:v>
                </c:pt>
                <c:pt idx="146">
                  <c:v>182</c:v>
                </c:pt>
                <c:pt idx="147">
                  <c:v>183</c:v>
                </c:pt>
                <c:pt idx="148">
                  <c:v>182</c:v>
                </c:pt>
                <c:pt idx="149">
                  <c:v>182</c:v>
                </c:pt>
                <c:pt idx="150">
                  <c:v>182</c:v>
                </c:pt>
                <c:pt idx="151">
                  <c:v>182</c:v>
                </c:pt>
                <c:pt idx="152">
                  <c:v>181</c:v>
                </c:pt>
                <c:pt idx="153">
                  <c:v>178</c:v>
                </c:pt>
                <c:pt idx="154">
                  <c:v>179</c:v>
                </c:pt>
                <c:pt idx="155">
                  <c:v>178</c:v>
                </c:pt>
                <c:pt idx="156">
                  <c:v>174</c:v>
                </c:pt>
                <c:pt idx="157">
                  <c:v>170</c:v>
                </c:pt>
                <c:pt idx="158">
                  <c:v>165</c:v>
                </c:pt>
                <c:pt idx="159">
                  <c:v>160</c:v>
                </c:pt>
                <c:pt idx="160">
                  <c:v>153</c:v>
                </c:pt>
                <c:pt idx="161">
                  <c:v>149</c:v>
                </c:pt>
                <c:pt idx="162">
                  <c:v>146</c:v>
                </c:pt>
                <c:pt idx="163">
                  <c:v>145</c:v>
                </c:pt>
                <c:pt idx="164">
                  <c:v>144</c:v>
                </c:pt>
                <c:pt idx="165">
                  <c:v>140</c:v>
                </c:pt>
                <c:pt idx="166">
                  <c:v>138</c:v>
                </c:pt>
                <c:pt idx="167">
                  <c:v>138</c:v>
                </c:pt>
                <c:pt idx="168">
                  <c:v>138</c:v>
                </c:pt>
                <c:pt idx="169">
                  <c:v>136</c:v>
                </c:pt>
                <c:pt idx="170">
                  <c:v>135</c:v>
                </c:pt>
                <c:pt idx="171">
                  <c:v>135</c:v>
                </c:pt>
                <c:pt idx="172">
                  <c:v>126</c:v>
                </c:pt>
                <c:pt idx="173">
                  <c:v>130</c:v>
                </c:pt>
                <c:pt idx="174">
                  <c:v>129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126</c:v>
                </c:pt>
                <c:pt idx="179">
                  <c:v>124</c:v>
                </c:pt>
                <c:pt idx="180">
                  <c:v>125</c:v>
                </c:pt>
                <c:pt idx="181">
                  <c:v>126</c:v>
                </c:pt>
                <c:pt idx="182">
                  <c:v>128</c:v>
                </c:pt>
                <c:pt idx="183">
                  <c:v>135</c:v>
                </c:pt>
                <c:pt idx="184">
                  <c:v>142</c:v>
                </c:pt>
                <c:pt idx="185">
                  <c:v>149</c:v>
                </c:pt>
                <c:pt idx="186">
                  <c:v>159</c:v>
                </c:pt>
                <c:pt idx="187">
                  <c:v>161</c:v>
                </c:pt>
                <c:pt idx="188">
                  <c:v>164</c:v>
                </c:pt>
                <c:pt idx="189">
                  <c:v>165</c:v>
                </c:pt>
                <c:pt idx="190">
                  <c:v>168</c:v>
                </c:pt>
                <c:pt idx="191">
                  <c:v>170</c:v>
                </c:pt>
                <c:pt idx="192">
                  <c:v>171</c:v>
                </c:pt>
                <c:pt idx="193">
                  <c:v>172</c:v>
                </c:pt>
                <c:pt idx="194">
                  <c:v>173</c:v>
                </c:pt>
                <c:pt idx="195">
                  <c:v>174</c:v>
                </c:pt>
                <c:pt idx="196">
                  <c:v>175</c:v>
                </c:pt>
                <c:pt idx="197">
                  <c:v>176</c:v>
                </c:pt>
                <c:pt idx="198">
                  <c:v>177</c:v>
                </c:pt>
                <c:pt idx="199">
                  <c:v>178</c:v>
                </c:pt>
                <c:pt idx="200">
                  <c:v>179</c:v>
                </c:pt>
                <c:pt idx="201">
                  <c:v>179</c:v>
                </c:pt>
                <c:pt idx="202">
                  <c:v>180</c:v>
                </c:pt>
                <c:pt idx="203">
                  <c:v>180</c:v>
                </c:pt>
                <c:pt idx="204">
                  <c:v>181</c:v>
                </c:pt>
                <c:pt idx="205">
                  <c:v>181</c:v>
                </c:pt>
                <c:pt idx="206">
                  <c:v>181</c:v>
                </c:pt>
                <c:pt idx="207">
                  <c:v>182</c:v>
                </c:pt>
                <c:pt idx="208">
                  <c:v>181</c:v>
                </c:pt>
                <c:pt idx="209">
                  <c:v>182</c:v>
                </c:pt>
                <c:pt idx="210">
                  <c:v>182</c:v>
                </c:pt>
                <c:pt idx="211">
                  <c:v>182</c:v>
                </c:pt>
                <c:pt idx="212">
                  <c:v>182</c:v>
                </c:pt>
                <c:pt idx="213">
                  <c:v>182</c:v>
                </c:pt>
                <c:pt idx="214">
                  <c:v>182</c:v>
                </c:pt>
                <c:pt idx="215">
                  <c:v>183</c:v>
                </c:pt>
                <c:pt idx="216">
                  <c:v>183</c:v>
                </c:pt>
                <c:pt idx="217">
                  <c:v>182</c:v>
                </c:pt>
                <c:pt idx="218">
                  <c:v>183</c:v>
                </c:pt>
                <c:pt idx="219">
                  <c:v>183</c:v>
                </c:pt>
                <c:pt idx="220">
                  <c:v>183</c:v>
                </c:pt>
                <c:pt idx="221">
                  <c:v>183</c:v>
                </c:pt>
                <c:pt idx="222">
                  <c:v>183</c:v>
                </c:pt>
                <c:pt idx="223">
                  <c:v>183</c:v>
                </c:pt>
                <c:pt idx="224">
                  <c:v>184</c:v>
                </c:pt>
                <c:pt idx="225">
                  <c:v>183</c:v>
                </c:pt>
                <c:pt idx="226">
                  <c:v>183</c:v>
                </c:pt>
                <c:pt idx="227">
                  <c:v>183</c:v>
                </c:pt>
                <c:pt idx="228">
                  <c:v>182</c:v>
                </c:pt>
                <c:pt idx="229">
                  <c:v>183</c:v>
                </c:pt>
                <c:pt idx="230">
                  <c:v>183</c:v>
                </c:pt>
                <c:pt idx="231">
                  <c:v>183</c:v>
                </c:pt>
                <c:pt idx="232">
                  <c:v>183</c:v>
                </c:pt>
                <c:pt idx="233">
                  <c:v>183</c:v>
                </c:pt>
                <c:pt idx="234">
                  <c:v>183</c:v>
                </c:pt>
                <c:pt idx="235">
                  <c:v>183</c:v>
                </c:pt>
                <c:pt idx="236">
                  <c:v>184</c:v>
                </c:pt>
                <c:pt idx="237">
                  <c:v>183</c:v>
                </c:pt>
                <c:pt idx="238">
                  <c:v>183</c:v>
                </c:pt>
                <c:pt idx="239">
                  <c:v>184</c:v>
                </c:pt>
                <c:pt idx="240">
                  <c:v>183</c:v>
                </c:pt>
                <c:pt idx="241">
                  <c:v>183</c:v>
                </c:pt>
                <c:pt idx="242">
                  <c:v>183</c:v>
                </c:pt>
                <c:pt idx="243">
                  <c:v>183</c:v>
                </c:pt>
                <c:pt idx="244">
                  <c:v>183</c:v>
                </c:pt>
                <c:pt idx="245">
                  <c:v>183</c:v>
                </c:pt>
                <c:pt idx="246">
                  <c:v>183</c:v>
                </c:pt>
                <c:pt idx="247">
                  <c:v>183</c:v>
                </c:pt>
                <c:pt idx="248">
                  <c:v>184</c:v>
                </c:pt>
                <c:pt idx="249">
                  <c:v>184</c:v>
                </c:pt>
                <c:pt idx="250">
                  <c:v>184</c:v>
                </c:pt>
                <c:pt idx="251">
                  <c:v>184</c:v>
                </c:pt>
                <c:pt idx="252">
                  <c:v>184</c:v>
                </c:pt>
                <c:pt idx="253">
                  <c:v>184</c:v>
                </c:pt>
                <c:pt idx="254">
                  <c:v>184</c:v>
                </c:pt>
                <c:pt idx="255">
                  <c:v>184</c:v>
                </c:pt>
                <c:pt idx="256">
                  <c:v>184</c:v>
                </c:pt>
                <c:pt idx="257">
                  <c:v>184</c:v>
                </c:pt>
                <c:pt idx="258">
                  <c:v>183</c:v>
                </c:pt>
                <c:pt idx="259">
                  <c:v>183</c:v>
                </c:pt>
                <c:pt idx="260">
                  <c:v>182</c:v>
                </c:pt>
                <c:pt idx="261">
                  <c:v>180</c:v>
                </c:pt>
                <c:pt idx="262">
                  <c:v>176</c:v>
                </c:pt>
                <c:pt idx="263">
                  <c:v>174</c:v>
                </c:pt>
                <c:pt idx="264">
                  <c:v>169</c:v>
                </c:pt>
                <c:pt idx="265">
                  <c:v>164</c:v>
                </c:pt>
                <c:pt idx="266">
                  <c:v>156</c:v>
                </c:pt>
                <c:pt idx="267">
                  <c:v>150</c:v>
                </c:pt>
                <c:pt idx="268">
                  <c:v>148</c:v>
                </c:pt>
                <c:pt idx="269">
                  <c:v>145</c:v>
                </c:pt>
                <c:pt idx="270">
                  <c:v>142</c:v>
                </c:pt>
                <c:pt idx="271">
                  <c:v>137</c:v>
                </c:pt>
                <c:pt idx="272">
                  <c:v>136</c:v>
                </c:pt>
                <c:pt idx="273">
                  <c:v>135</c:v>
                </c:pt>
                <c:pt idx="274">
                  <c:v>135</c:v>
                </c:pt>
                <c:pt idx="275">
                  <c:v>134</c:v>
                </c:pt>
                <c:pt idx="276">
                  <c:v>133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132</c:v>
                </c:pt>
                <c:pt idx="283">
                  <c:v>131</c:v>
                </c:pt>
                <c:pt idx="284">
                  <c:v>132</c:v>
                </c:pt>
                <c:pt idx="285">
                  <c:v>131</c:v>
                </c:pt>
                <c:pt idx="286">
                  <c:v>131</c:v>
                </c:pt>
                <c:pt idx="287">
                  <c:v>132</c:v>
                </c:pt>
                <c:pt idx="288">
                  <c:v>130</c:v>
                </c:pt>
                <c:pt idx="289">
                  <c:v>129</c:v>
                </c:pt>
                <c:pt idx="290">
                  <c:v>129</c:v>
                </c:pt>
                <c:pt idx="291">
                  <c:v>128</c:v>
                </c:pt>
                <c:pt idx="292">
                  <c:v>128</c:v>
                </c:pt>
                <c:pt idx="293">
                  <c:v>135</c:v>
                </c:pt>
                <c:pt idx="294">
                  <c:v>134</c:v>
                </c:pt>
                <c:pt idx="295">
                  <c:v>137</c:v>
                </c:pt>
                <c:pt idx="296">
                  <c:v>144</c:v>
                </c:pt>
                <c:pt idx="297">
                  <c:v>151</c:v>
                </c:pt>
                <c:pt idx="298">
                  <c:v>157</c:v>
                </c:pt>
                <c:pt idx="299">
                  <c:v>162</c:v>
                </c:pt>
                <c:pt idx="300">
                  <c:v>165</c:v>
                </c:pt>
                <c:pt idx="301">
                  <c:v>167</c:v>
                </c:pt>
                <c:pt idx="302">
                  <c:v>170</c:v>
                </c:pt>
                <c:pt idx="303">
                  <c:v>172</c:v>
                </c:pt>
                <c:pt idx="304">
                  <c:v>173</c:v>
                </c:pt>
                <c:pt idx="305">
                  <c:v>176</c:v>
                </c:pt>
                <c:pt idx="306">
                  <c:v>176</c:v>
                </c:pt>
                <c:pt idx="307">
                  <c:v>177</c:v>
                </c:pt>
                <c:pt idx="308">
                  <c:v>178</c:v>
                </c:pt>
                <c:pt idx="309">
                  <c:v>179</c:v>
                </c:pt>
                <c:pt idx="310">
                  <c:v>180</c:v>
                </c:pt>
                <c:pt idx="311">
                  <c:v>181</c:v>
                </c:pt>
                <c:pt idx="312">
                  <c:v>181</c:v>
                </c:pt>
                <c:pt idx="313">
                  <c:v>182</c:v>
                </c:pt>
                <c:pt idx="314">
                  <c:v>182</c:v>
                </c:pt>
                <c:pt idx="315">
                  <c:v>183</c:v>
                </c:pt>
                <c:pt idx="316">
                  <c:v>182</c:v>
                </c:pt>
                <c:pt idx="317">
                  <c:v>183</c:v>
                </c:pt>
                <c:pt idx="318">
                  <c:v>184</c:v>
                </c:pt>
                <c:pt idx="319">
                  <c:v>184</c:v>
                </c:pt>
                <c:pt idx="320">
                  <c:v>184</c:v>
                </c:pt>
                <c:pt idx="321">
                  <c:v>184</c:v>
                </c:pt>
                <c:pt idx="322">
                  <c:v>185</c:v>
                </c:pt>
                <c:pt idx="323">
                  <c:v>185</c:v>
                </c:pt>
                <c:pt idx="324">
                  <c:v>185</c:v>
                </c:pt>
                <c:pt idx="325">
                  <c:v>185</c:v>
                </c:pt>
                <c:pt idx="326">
                  <c:v>185</c:v>
                </c:pt>
                <c:pt idx="327">
                  <c:v>185</c:v>
                </c:pt>
                <c:pt idx="328">
                  <c:v>185</c:v>
                </c:pt>
                <c:pt idx="329">
                  <c:v>185</c:v>
                </c:pt>
                <c:pt idx="330">
                  <c:v>186</c:v>
                </c:pt>
                <c:pt idx="331">
                  <c:v>186</c:v>
                </c:pt>
                <c:pt idx="332">
                  <c:v>186</c:v>
                </c:pt>
                <c:pt idx="333">
                  <c:v>187</c:v>
                </c:pt>
                <c:pt idx="334">
                  <c:v>186</c:v>
                </c:pt>
                <c:pt idx="335">
                  <c:v>186</c:v>
                </c:pt>
                <c:pt idx="336">
                  <c:v>187</c:v>
                </c:pt>
                <c:pt idx="337">
                  <c:v>187</c:v>
                </c:pt>
                <c:pt idx="338">
                  <c:v>187</c:v>
                </c:pt>
                <c:pt idx="339">
                  <c:v>187</c:v>
                </c:pt>
                <c:pt idx="340">
                  <c:v>186</c:v>
                </c:pt>
                <c:pt idx="341">
                  <c:v>186</c:v>
                </c:pt>
                <c:pt idx="342">
                  <c:v>187</c:v>
                </c:pt>
                <c:pt idx="343">
                  <c:v>187</c:v>
                </c:pt>
                <c:pt idx="344">
                  <c:v>187</c:v>
                </c:pt>
                <c:pt idx="345">
                  <c:v>186</c:v>
                </c:pt>
                <c:pt idx="346">
                  <c:v>187</c:v>
                </c:pt>
                <c:pt idx="347">
                  <c:v>186</c:v>
                </c:pt>
                <c:pt idx="348">
                  <c:v>186</c:v>
                </c:pt>
                <c:pt idx="349">
                  <c:v>186</c:v>
                </c:pt>
                <c:pt idx="350">
                  <c:v>187</c:v>
                </c:pt>
                <c:pt idx="351">
                  <c:v>185</c:v>
                </c:pt>
                <c:pt idx="352">
                  <c:v>183</c:v>
                </c:pt>
                <c:pt idx="353">
                  <c:v>180</c:v>
                </c:pt>
                <c:pt idx="354">
                  <c:v>177</c:v>
                </c:pt>
                <c:pt idx="355">
                  <c:v>173</c:v>
                </c:pt>
                <c:pt idx="356">
                  <c:v>170</c:v>
                </c:pt>
                <c:pt idx="357">
                  <c:v>164</c:v>
                </c:pt>
                <c:pt idx="358">
                  <c:v>158</c:v>
                </c:pt>
                <c:pt idx="359">
                  <c:v>153</c:v>
                </c:pt>
                <c:pt idx="360">
                  <c:v>149</c:v>
                </c:pt>
                <c:pt idx="361">
                  <c:v>148</c:v>
                </c:pt>
                <c:pt idx="362">
                  <c:v>146</c:v>
                </c:pt>
                <c:pt idx="363">
                  <c:v>143</c:v>
                </c:pt>
                <c:pt idx="364">
                  <c:v>143</c:v>
                </c:pt>
                <c:pt idx="365">
                  <c:v>142</c:v>
                </c:pt>
                <c:pt idx="366">
                  <c:v>141</c:v>
                </c:pt>
                <c:pt idx="367">
                  <c:v>137</c:v>
                </c:pt>
                <c:pt idx="368">
                  <c:v>135</c:v>
                </c:pt>
                <c:pt idx="369">
                  <c:v>133</c:v>
                </c:pt>
                <c:pt idx="370">
                  <c:v>133</c:v>
                </c:pt>
                <c:pt idx="371">
                  <c:v>133</c:v>
                </c:pt>
                <c:pt idx="372">
                  <c:v>132</c:v>
                </c:pt>
                <c:pt idx="373">
                  <c:v>133</c:v>
                </c:pt>
                <c:pt idx="374">
                  <c:v>132</c:v>
                </c:pt>
                <c:pt idx="375">
                  <c:v>131</c:v>
                </c:pt>
                <c:pt idx="376">
                  <c:v>132</c:v>
                </c:pt>
                <c:pt idx="377">
                  <c:v>128</c:v>
                </c:pt>
                <c:pt idx="378">
                  <c:v>129</c:v>
                </c:pt>
                <c:pt idx="379">
                  <c:v>132</c:v>
                </c:pt>
                <c:pt idx="380">
                  <c:v>133</c:v>
                </c:pt>
                <c:pt idx="381">
                  <c:v>137</c:v>
                </c:pt>
                <c:pt idx="382">
                  <c:v>151</c:v>
                </c:pt>
                <c:pt idx="383">
                  <c:v>155</c:v>
                </c:pt>
                <c:pt idx="384">
                  <c:v>162</c:v>
                </c:pt>
                <c:pt idx="385">
                  <c:v>166</c:v>
                </c:pt>
                <c:pt idx="386">
                  <c:v>169</c:v>
                </c:pt>
                <c:pt idx="387">
                  <c:v>172</c:v>
                </c:pt>
                <c:pt idx="388">
                  <c:v>174</c:v>
                </c:pt>
                <c:pt idx="389">
                  <c:v>175</c:v>
                </c:pt>
                <c:pt idx="390">
                  <c:v>177</c:v>
                </c:pt>
                <c:pt idx="391">
                  <c:v>178</c:v>
                </c:pt>
                <c:pt idx="392">
                  <c:v>179</c:v>
                </c:pt>
                <c:pt idx="393">
                  <c:v>181</c:v>
                </c:pt>
                <c:pt idx="394">
                  <c:v>182</c:v>
                </c:pt>
                <c:pt idx="395">
                  <c:v>182</c:v>
                </c:pt>
                <c:pt idx="396">
                  <c:v>182</c:v>
                </c:pt>
                <c:pt idx="397">
                  <c:v>183</c:v>
                </c:pt>
                <c:pt idx="398">
                  <c:v>185</c:v>
                </c:pt>
                <c:pt idx="399">
                  <c:v>184</c:v>
                </c:pt>
                <c:pt idx="400">
                  <c:v>185</c:v>
                </c:pt>
                <c:pt idx="401">
                  <c:v>185</c:v>
                </c:pt>
                <c:pt idx="402">
                  <c:v>186</c:v>
                </c:pt>
                <c:pt idx="403">
                  <c:v>186</c:v>
                </c:pt>
                <c:pt idx="404">
                  <c:v>187</c:v>
                </c:pt>
                <c:pt idx="405">
                  <c:v>187</c:v>
                </c:pt>
                <c:pt idx="406">
                  <c:v>186</c:v>
                </c:pt>
                <c:pt idx="407">
                  <c:v>187</c:v>
                </c:pt>
                <c:pt idx="408">
                  <c:v>188</c:v>
                </c:pt>
                <c:pt idx="409">
                  <c:v>188</c:v>
                </c:pt>
                <c:pt idx="410">
                  <c:v>187</c:v>
                </c:pt>
                <c:pt idx="411">
                  <c:v>187</c:v>
                </c:pt>
                <c:pt idx="412">
                  <c:v>187</c:v>
                </c:pt>
                <c:pt idx="413">
                  <c:v>187</c:v>
                </c:pt>
                <c:pt idx="414">
                  <c:v>187</c:v>
                </c:pt>
                <c:pt idx="415">
                  <c:v>187</c:v>
                </c:pt>
                <c:pt idx="416">
                  <c:v>187</c:v>
                </c:pt>
                <c:pt idx="417">
                  <c:v>186</c:v>
                </c:pt>
                <c:pt idx="418">
                  <c:v>185</c:v>
                </c:pt>
                <c:pt idx="419">
                  <c:v>183</c:v>
                </c:pt>
                <c:pt idx="420">
                  <c:v>180</c:v>
                </c:pt>
                <c:pt idx="421">
                  <c:v>177</c:v>
                </c:pt>
                <c:pt idx="422">
                  <c:v>175</c:v>
                </c:pt>
                <c:pt idx="423">
                  <c:v>171</c:v>
                </c:pt>
                <c:pt idx="424">
                  <c:v>169</c:v>
                </c:pt>
                <c:pt idx="425">
                  <c:v>165</c:v>
                </c:pt>
                <c:pt idx="426">
                  <c:v>160</c:v>
                </c:pt>
                <c:pt idx="427">
                  <c:v>155</c:v>
                </c:pt>
                <c:pt idx="428">
                  <c:v>153</c:v>
                </c:pt>
                <c:pt idx="429">
                  <c:v>151</c:v>
                </c:pt>
                <c:pt idx="430">
                  <c:v>147</c:v>
                </c:pt>
                <c:pt idx="431">
                  <c:v>145</c:v>
                </c:pt>
                <c:pt idx="432">
                  <c:v>143</c:v>
                </c:pt>
                <c:pt idx="433">
                  <c:v>144</c:v>
                </c:pt>
                <c:pt idx="434">
                  <c:v>141</c:v>
                </c:pt>
                <c:pt idx="435">
                  <c:v>140</c:v>
                </c:pt>
                <c:pt idx="436">
                  <c:v>138</c:v>
                </c:pt>
                <c:pt idx="437">
                  <c:v>137</c:v>
                </c:pt>
                <c:pt idx="438">
                  <c:v>138</c:v>
                </c:pt>
                <c:pt idx="439">
                  <c:v>138</c:v>
                </c:pt>
                <c:pt idx="440">
                  <c:v>138</c:v>
                </c:pt>
                <c:pt idx="441">
                  <c:v>147</c:v>
                </c:pt>
                <c:pt idx="442">
                  <c:v>155</c:v>
                </c:pt>
                <c:pt idx="443">
                  <c:v>162</c:v>
                </c:pt>
                <c:pt idx="444">
                  <c:v>166</c:v>
                </c:pt>
                <c:pt idx="445">
                  <c:v>170</c:v>
                </c:pt>
                <c:pt idx="446">
                  <c:v>174</c:v>
                </c:pt>
                <c:pt idx="447">
                  <c:v>177</c:v>
                </c:pt>
                <c:pt idx="448">
                  <c:v>177</c:v>
                </c:pt>
                <c:pt idx="449">
                  <c:v>182</c:v>
                </c:pt>
                <c:pt idx="450">
                  <c:v>183</c:v>
                </c:pt>
                <c:pt idx="451">
                  <c:v>185</c:v>
                </c:pt>
                <c:pt idx="452">
                  <c:v>185</c:v>
                </c:pt>
                <c:pt idx="453">
                  <c:v>186</c:v>
                </c:pt>
                <c:pt idx="454">
                  <c:v>187</c:v>
                </c:pt>
                <c:pt idx="455">
                  <c:v>188</c:v>
                </c:pt>
                <c:pt idx="456">
                  <c:v>189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6320"/>
        <c:axId val="48297856"/>
      </c:scatterChart>
      <c:valAx>
        <c:axId val="48296320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48297856"/>
        <c:crosses val="autoZero"/>
        <c:crossBetween val="midCat"/>
        <c:majorUnit val="2.1000000000000003E-3"/>
      </c:valAx>
      <c:valAx>
        <c:axId val="48297856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482963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98893949251789E-2"/>
          <c:y val="2.5023169601482854E-2"/>
          <c:w val="0.91411841249186732"/>
          <c:h val="0.92493049119555149"/>
        </c:manualLayout>
      </c:layout>
      <c:scatterChart>
        <c:scatterStyle val="smoothMarker"/>
        <c:varyColors val="0"/>
        <c:ser>
          <c:idx val="9"/>
          <c:order val="0"/>
          <c:tx>
            <c:v>15/03/2001</c:v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xVal>
            <c:numRef>
              <c:f>Hartslagen!$B$357:$B$397</c:f>
              <c:numCache>
                <c:formatCode>h:mm:ss</c:formatCode>
                <c:ptCount val="41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</c:numCache>
            </c:numRef>
          </c:xVal>
          <c:yVal>
            <c:numRef>
              <c:f>Hartslagen!$C$357:$C$397</c:f>
              <c:numCache>
                <c:formatCode>General</c:formatCode>
                <c:ptCount val="41"/>
                <c:pt idx="0">
                  <c:v>136</c:v>
                </c:pt>
                <c:pt idx="1">
                  <c:v>157</c:v>
                </c:pt>
                <c:pt idx="2">
                  <c:v>161</c:v>
                </c:pt>
                <c:pt idx="3">
                  <c:v>164</c:v>
                </c:pt>
                <c:pt idx="4">
                  <c:v>166</c:v>
                </c:pt>
                <c:pt idx="5">
                  <c:v>169</c:v>
                </c:pt>
                <c:pt idx="6">
                  <c:v>169</c:v>
                </c:pt>
                <c:pt idx="7">
                  <c:v>174</c:v>
                </c:pt>
                <c:pt idx="8">
                  <c:v>172</c:v>
                </c:pt>
                <c:pt idx="9">
                  <c:v>176</c:v>
                </c:pt>
                <c:pt idx="10">
                  <c:v>173</c:v>
                </c:pt>
                <c:pt idx="11">
                  <c:v>174</c:v>
                </c:pt>
                <c:pt idx="12">
                  <c:v>173</c:v>
                </c:pt>
                <c:pt idx="13">
                  <c:v>175</c:v>
                </c:pt>
                <c:pt idx="14">
                  <c:v>177</c:v>
                </c:pt>
                <c:pt idx="15">
                  <c:v>173</c:v>
                </c:pt>
                <c:pt idx="16">
                  <c:v>173</c:v>
                </c:pt>
                <c:pt idx="17">
                  <c:v>173</c:v>
                </c:pt>
                <c:pt idx="18">
                  <c:v>176</c:v>
                </c:pt>
                <c:pt idx="19">
                  <c:v>176</c:v>
                </c:pt>
                <c:pt idx="20">
                  <c:v>177</c:v>
                </c:pt>
                <c:pt idx="21">
                  <c:v>178</c:v>
                </c:pt>
                <c:pt idx="22">
                  <c:v>176</c:v>
                </c:pt>
                <c:pt idx="23">
                  <c:v>177</c:v>
                </c:pt>
                <c:pt idx="24">
                  <c:v>174</c:v>
                </c:pt>
                <c:pt idx="25">
                  <c:v>175</c:v>
                </c:pt>
                <c:pt idx="26">
                  <c:v>177</c:v>
                </c:pt>
                <c:pt idx="27">
                  <c:v>179</c:v>
                </c:pt>
                <c:pt idx="28">
                  <c:v>179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181</c:v>
                </c:pt>
                <c:pt idx="34">
                  <c:v>178</c:v>
                </c:pt>
                <c:pt idx="35">
                  <c:v>177</c:v>
                </c:pt>
                <c:pt idx="36">
                  <c:v>181</c:v>
                </c:pt>
                <c:pt idx="37">
                  <c:v>182</c:v>
                </c:pt>
                <c:pt idx="38">
                  <c:v>181</c:v>
                </c:pt>
                <c:pt idx="39">
                  <c:v>178</c:v>
                </c:pt>
                <c:pt idx="40">
                  <c:v>184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Hartslagen!$A$1187</c:f>
              <c:strCache>
                <c:ptCount val="1"/>
                <c:pt idx="0">
                  <c:v>di 11/09/2001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Hartslagen!$B$1187:$B$1220</c:f>
              <c:numCache>
                <c:formatCode>h:mm:ss</c:formatCode>
                <c:ptCount val="34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2.01388888888888E-2</c:v>
                </c:pt>
                <c:pt idx="30">
                  <c:v>2.08333333333332E-2</c:v>
                </c:pt>
                <c:pt idx="31">
                  <c:v>2.1527777777777601E-2</c:v>
                </c:pt>
                <c:pt idx="32">
                  <c:v>2.2222222222222001E-2</c:v>
                </c:pt>
                <c:pt idx="33">
                  <c:v>2.2916666666666401E-2</c:v>
                </c:pt>
              </c:numCache>
            </c:numRef>
          </c:xVal>
          <c:yVal>
            <c:numRef>
              <c:f>Hartslagen!$C$1187:$C$1220</c:f>
              <c:numCache>
                <c:formatCode>General</c:formatCode>
                <c:ptCount val="34"/>
                <c:pt idx="0">
                  <c:v>129</c:v>
                </c:pt>
                <c:pt idx="1">
                  <c:v>157</c:v>
                </c:pt>
                <c:pt idx="2">
                  <c:v>164</c:v>
                </c:pt>
                <c:pt idx="3">
                  <c:v>165</c:v>
                </c:pt>
                <c:pt idx="4">
                  <c:v>168</c:v>
                </c:pt>
                <c:pt idx="5">
                  <c:v>165</c:v>
                </c:pt>
                <c:pt idx="6">
                  <c:v>162</c:v>
                </c:pt>
                <c:pt idx="7">
                  <c:v>160</c:v>
                </c:pt>
                <c:pt idx="8">
                  <c:v>163</c:v>
                </c:pt>
                <c:pt idx="9">
                  <c:v>165</c:v>
                </c:pt>
                <c:pt idx="10">
                  <c:v>168</c:v>
                </c:pt>
                <c:pt idx="11">
                  <c:v>163</c:v>
                </c:pt>
                <c:pt idx="12">
                  <c:v>166</c:v>
                </c:pt>
                <c:pt idx="13">
                  <c:v>162</c:v>
                </c:pt>
                <c:pt idx="14">
                  <c:v>163</c:v>
                </c:pt>
                <c:pt idx="15">
                  <c:v>167</c:v>
                </c:pt>
                <c:pt idx="16">
                  <c:v>167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161</c:v>
                </c:pt>
                <c:pt idx="21">
                  <c:v>162</c:v>
                </c:pt>
                <c:pt idx="22">
                  <c:v>166</c:v>
                </c:pt>
                <c:pt idx="23">
                  <c:v>169</c:v>
                </c:pt>
                <c:pt idx="24">
                  <c:v>168</c:v>
                </c:pt>
                <c:pt idx="25">
                  <c:v>170</c:v>
                </c:pt>
                <c:pt idx="26">
                  <c:v>169</c:v>
                </c:pt>
                <c:pt idx="27">
                  <c:v>171</c:v>
                </c:pt>
                <c:pt idx="28">
                  <c:v>171</c:v>
                </c:pt>
                <c:pt idx="29">
                  <c:v>173</c:v>
                </c:pt>
                <c:pt idx="30">
                  <c:v>167</c:v>
                </c:pt>
                <c:pt idx="31">
                  <c:v>171</c:v>
                </c:pt>
                <c:pt idx="32">
                  <c:v>176</c:v>
                </c:pt>
                <c:pt idx="33">
                  <c:v>187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Hartslagen!$A$1221</c:f>
              <c:strCache>
                <c:ptCount val="1"/>
                <c:pt idx="0">
                  <c:v>ma 24/09/2001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Hartslagen!$B$1221:$B$1252</c:f>
              <c:numCache>
                <c:formatCode>h:mm:ss</c:formatCode>
                <c:ptCount val="32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2.01388888888888E-2</c:v>
                </c:pt>
                <c:pt idx="30">
                  <c:v>2.08333333333332E-2</c:v>
                </c:pt>
                <c:pt idx="31">
                  <c:v>2.1527777777777601E-2</c:v>
                </c:pt>
              </c:numCache>
            </c:numRef>
          </c:xVal>
          <c:yVal>
            <c:numRef>
              <c:f>Hartslagen!$C$1221:$C$1252</c:f>
              <c:numCache>
                <c:formatCode>General</c:formatCode>
                <c:ptCount val="32"/>
                <c:pt idx="0">
                  <c:v>116</c:v>
                </c:pt>
                <c:pt idx="1">
                  <c:v>150</c:v>
                </c:pt>
                <c:pt idx="2">
                  <c:v>158</c:v>
                </c:pt>
                <c:pt idx="3">
                  <c:v>158</c:v>
                </c:pt>
                <c:pt idx="4">
                  <c:v>161</c:v>
                </c:pt>
                <c:pt idx="5">
                  <c:v>160</c:v>
                </c:pt>
                <c:pt idx="6">
                  <c:v>159</c:v>
                </c:pt>
                <c:pt idx="7">
                  <c:v>158</c:v>
                </c:pt>
                <c:pt idx="8">
                  <c:v>160</c:v>
                </c:pt>
                <c:pt idx="9">
                  <c:v>153</c:v>
                </c:pt>
                <c:pt idx="10">
                  <c:v>158</c:v>
                </c:pt>
                <c:pt idx="11">
                  <c:v>156</c:v>
                </c:pt>
                <c:pt idx="12">
                  <c:v>157</c:v>
                </c:pt>
                <c:pt idx="13">
                  <c:v>155</c:v>
                </c:pt>
                <c:pt idx="14">
                  <c:v>154</c:v>
                </c:pt>
                <c:pt idx="15">
                  <c:v>157</c:v>
                </c:pt>
                <c:pt idx="16">
                  <c:v>161</c:v>
                </c:pt>
                <c:pt idx="17">
                  <c:v>152</c:v>
                </c:pt>
                <c:pt idx="18">
                  <c:v>156</c:v>
                </c:pt>
                <c:pt idx="19">
                  <c:v>154</c:v>
                </c:pt>
                <c:pt idx="20">
                  <c:v>153</c:v>
                </c:pt>
                <c:pt idx="21">
                  <c:v>153</c:v>
                </c:pt>
                <c:pt idx="22">
                  <c:v>153</c:v>
                </c:pt>
                <c:pt idx="23">
                  <c:v>157</c:v>
                </c:pt>
                <c:pt idx="24">
                  <c:v>159</c:v>
                </c:pt>
                <c:pt idx="25">
                  <c:v>161</c:v>
                </c:pt>
                <c:pt idx="26">
                  <c:v>155</c:v>
                </c:pt>
                <c:pt idx="27">
                  <c:v>160</c:v>
                </c:pt>
                <c:pt idx="28">
                  <c:v>161</c:v>
                </c:pt>
                <c:pt idx="29">
                  <c:v>169</c:v>
                </c:pt>
                <c:pt idx="30">
                  <c:v>176</c:v>
                </c:pt>
                <c:pt idx="31">
                  <c:v>181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Hartslagen!$A$1253</c:f>
              <c:strCache>
                <c:ptCount val="1"/>
                <c:pt idx="0">
                  <c:v>di 02/10/2001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Hartslagen!$B$1253:$B$1285</c:f>
              <c:numCache>
                <c:formatCode>h:mm:ss</c:formatCode>
                <c:ptCount val="33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2.01388888888888E-2</c:v>
                </c:pt>
                <c:pt idx="30">
                  <c:v>2.08333333333332E-2</c:v>
                </c:pt>
                <c:pt idx="31">
                  <c:v>2.1527777777777601E-2</c:v>
                </c:pt>
                <c:pt idx="32">
                  <c:v>2.2222222222222001E-2</c:v>
                </c:pt>
              </c:numCache>
            </c:numRef>
          </c:xVal>
          <c:yVal>
            <c:numRef>
              <c:f>Hartslagen!$C$1253:$C$1285</c:f>
              <c:numCache>
                <c:formatCode>General</c:formatCode>
                <c:ptCount val="33"/>
                <c:pt idx="0">
                  <c:v>131</c:v>
                </c:pt>
                <c:pt idx="1">
                  <c:v>150</c:v>
                </c:pt>
                <c:pt idx="2">
                  <c:v>158</c:v>
                </c:pt>
                <c:pt idx="3">
                  <c:v>160</c:v>
                </c:pt>
                <c:pt idx="4">
                  <c:v>162</c:v>
                </c:pt>
                <c:pt idx="5">
                  <c:v>164</c:v>
                </c:pt>
                <c:pt idx="6">
                  <c:v>156</c:v>
                </c:pt>
                <c:pt idx="7">
                  <c:v>156</c:v>
                </c:pt>
                <c:pt idx="8">
                  <c:v>157</c:v>
                </c:pt>
                <c:pt idx="9">
                  <c:v>159</c:v>
                </c:pt>
                <c:pt idx="10">
                  <c:v>159</c:v>
                </c:pt>
                <c:pt idx="11">
                  <c:v>157</c:v>
                </c:pt>
                <c:pt idx="12">
                  <c:v>162</c:v>
                </c:pt>
                <c:pt idx="13">
                  <c:v>152</c:v>
                </c:pt>
                <c:pt idx="14">
                  <c:v>159</c:v>
                </c:pt>
                <c:pt idx="15">
                  <c:v>156</c:v>
                </c:pt>
                <c:pt idx="16">
                  <c:v>162</c:v>
                </c:pt>
                <c:pt idx="17">
                  <c:v>160</c:v>
                </c:pt>
                <c:pt idx="18">
                  <c:v>159</c:v>
                </c:pt>
                <c:pt idx="19">
                  <c:v>158</c:v>
                </c:pt>
                <c:pt idx="20">
                  <c:v>160</c:v>
                </c:pt>
                <c:pt idx="21">
                  <c:v>155</c:v>
                </c:pt>
                <c:pt idx="22">
                  <c:v>162</c:v>
                </c:pt>
                <c:pt idx="23">
                  <c:v>157</c:v>
                </c:pt>
                <c:pt idx="24">
                  <c:v>157</c:v>
                </c:pt>
                <c:pt idx="25">
                  <c:v>157</c:v>
                </c:pt>
                <c:pt idx="26">
                  <c:v>156</c:v>
                </c:pt>
                <c:pt idx="27">
                  <c:v>169</c:v>
                </c:pt>
                <c:pt idx="28">
                  <c:v>174</c:v>
                </c:pt>
                <c:pt idx="29">
                  <c:v>173</c:v>
                </c:pt>
                <c:pt idx="30">
                  <c:v>183</c:v>
                </c:pt>
                <c:pt idx="31">
                  <c:v>190</c:v>
                </c:pt>
                <c:pt idx="32">
                  <c:v>197</c:v>
                </c:pt>
              </c:numCache>
            </c:numRef>
          </c:yVal>
          <c:smooth val="1"/>
        </c:ser>
        <c:ser>
          <c:idx val="3"/>
          <c:order val="4"/>
          <c:tx>
            <c:v>Interval (02/03/02)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Hartslagen!$B$1649:$B$2171</c:f>
              <c:numCache>
                <c:formatCode>h:mm:ss</c:formatCode>
                <c:ptCount val="523"/>
                <c:pt idx="0">
                  <c:v>0</c:v>
                </c:pt>
                <c:pt idx="1">
                  <c:v>5.7870370370370366E-5</c:v>
                </c:pt>
                <c:pt idx="2">
                  <c:v>1.15740740740741E-4</c:v>
                </c:pt>
                <c:pt idx="3">
                  <c:v>1.7361111111111101E-4</c:v>
                </c:pt>
                <c:pt idx="4">
                  <c:v>2.31481481481481E-4</c:v>
                </c:pt>
                <c:pt idx="5">
                  <c:v>2.89351851851852E-4</c:v>
                </c:pt>
                <c:pt idx="6">
                  <c:v>3.4722222222222202E-4</c:v>
                </c:pt>
                <c:pt idx="7">
                  <c:v>4.0509259259259301E-4</c:v>
                </c:pt>
                <c:pt idx="8">
                  <c:v>4.6296296296296298E-4</c:v>
                </c:pt>
                <c:pt idx="9">
                  <c:v>5.20833333333333E-4</c:v>
                </c:pt>
                <c:pt idx="10">
                  <c:v>5.78703703703704E-4</c:v>
                </c:pt>
                <c:pt idx="11">
                  <c:v>6.3657407407407402E-4</c:v>
                </c:pt>
                <c:pt idx="12">
                  <c:v>6.9444444444444404E-4</c:v>
                </c:pt>
                <c:pt idx="13">
                  <c:v>7.5231481481481503E-4</c:v>
                </c:pt>
                <c:pt idx="14">
                  <c:v>8.1018518518518505E-4</c:v>
                </c:pt>
                <c:pt idx="15">
                  <c:v>8.6805555555555605E-4</c:v>
                </c:pt>
                <c:pt idx="16">
                  <c:v>9.2592592592592596E-4</c:v>
                </c:pt>
                <c:pt idx="17">
                  <c:v>9.8379629629629598E-4</c:v>
                </c:pt>
                <c:pt idx="18">
                  <c:v>1.0416666666666699E-3</c:v>
                </c:pt>
                <c:pt idx="19">
                  <c:v>1.0995370370370399E-3</c:v>
                </c:pt>
                <c:pt idx="20">
                  <c:v>1.1574074074074099E-3</c:v>
                </c:pt>
                <c:pt idx="21">
                  <c:v>1.21527777777778E-3</c:v>
                </c:pt>
                <c:pt idx="22">
                  <c:v>1.27314814814815E-3</c:v>
                </c:pt>
                <c:pt idx="23">
                  <c:v>1.33101851851852E-3</c:v>
                </c:pt>
                <c:pt idx="24">
                  <c:v>1.38888888888889E-3</c:v>
                </c:pt>
                <c:pt idx="25">
                  <c:v>1.44675925925926E-3</c:v>
                </c:pt>
                <c:pt idx="26">
                  <c:v>1.5046296296296301E-3</c:v>
                </c:pt>
                <c:pt idx="27">
                  <c:v>1.5625000000000001E-3</c:v>
                </c:pt>
                <c:pt idx="28">
                  <c:v>1.6203703703703701E-3</c:v>
                </c:pt>
                <c:pt idx="29">
                  <c:v>1.6782407407407399E-3</c:v>
                </c:pt>
                <c:pt idx="30">
                  <c:v>1.7361111111111099E-3</c:v>
                </c:pt>
                <c:pt idx="31">
                  <c:v>1.79398148148148E-3</c:v>
                </c:pt>
                <c:pt idx="32">
                  <c:v>1.85185185185185E-3</c:v>
                </c:pt>
                <c:pt idx="33">
                  <c:v>1.90972222222222E-3</c:v>
                </c:pt>
                <c:pt idx="34">
                  <c:v>1.9675925925925898E-3</c:v>
                </c:pt>
                <c:pt idx="35">
                  <c:v>2.0254629629629598E-3</c:v>
                </c:pt>
                <c:pt idx="36">
                  <c:v>2.0833333333333298E-3</c:v>
                </c:pt>
                <c:pt idx="37">
                  <c:v>2.1412037037036999E-3</c:v>
                </c:pt>
                <c:pt idx="38">
                  <c:v>2.1990740740740699E-3</c:v>
                </c:pt>
                <c:pt idx="39">
                  <c:v>2.2569444444444399E-3</c:v>
                </c:pt>
                <c:pt idx="40">
                  <c:v>2.3148148148148099E-3</c:v>
                </c:pt>
                <c:pt idx="41">
                  <c:v>2.3726851851851899E-3</c:v>
                </c:pt>
                <c:pt idx="42">
                  <c:v>2.4305555555555599E-3</c:v>
                </c:pt>
                <c:pt idx="43">
                  <c:v>2.48842592592593E-3</c:v>
                </c:pt>
                <c:pt idx="44">
                  <c:v>2.5462962962963E-3</c:v>
                </c:pt>
                <c:pt idx="45">
                  <c:v>2.60416666666667E-3</c:v>
                </c:pt>
                <c:pt idx="46">
                  <c:v>2.66203703703704E-3</c:v>
                </c:pt>
                <c:pt idx="47">
                  <c:v>2.71990740740741E-3</c:v>
                </c:pt>
                <c:pt idx="48">
                  <c:v>2.7777777777777801E-3</c:v>
                </c:pt>
                <c:pt idx="49">
                  <c:v>2.8356481481481501E-3</c:v>
                </c:pt>
                <c:pt idx="50">
                  <c:v>2.8935185185185201E-3</c:v>
                </c:pt>
                <c:pt idx="51">
                  <c:v>2.9513888888888901E-3</c:v>
                </c:pt>
                <c:pt idx="52">
                  <c:v>3.0092592592592601E-3</c:v>
                </c:pt>
                <c:pt idx="53">
                  <c:v>3.0671296296296302E-3</c:v>
                </c:pt>
                <c:pt idx="54">
                  <c:v>3.1250000000000002E-3</c:v>
                </c:pt>
                <c:pt idx="55">
                  <c:v>3.1828703703703702E-3</c:v>
                </c:pt>
                <c:pt idx="56">
                  <c:v>3.2407407407407402E-3</c:v>
                </c:pt>
                <c:pt idx="57">
                  <c:v>3.2986111111111098E-3</c:v>
                </c:pt>
                <c:pt idx="58">
                  <c:v>3.3564814814814798E-3</c:v>
                </c:pt>
                <c:pt idx="59">
                  <c:v>3.4143518518518498E-3</c:v>
                </c:pt>
                <c:pt idx="60">
                  <c:v>3.4722222222222199E-3</c:v>
                </c:pt>
                <c:pt idx="61">
                  <c:v>3.5300925925925899E-3</c:v>
                </c:pt>
                <c:pt idx="62">
                  <c:v>3.5879629629629599E-3</c:v>
                </c:pt>
                <c:pt idx="63">
                  <c:v>3.6458333333333299E-3</c:v>
                </c:pt>
                <c:pt idx="64">
                  <c:v>3.7037037037036999E-3</c:v>
                </c:pt>
                <c:pt idx="65">
                  <c:v>3.76157407407407E-3</c:v>
                </c:pt>
                <c:pt idx="66">
                  <c:v>3.81944444444444E-3</c:v>
                </c:pt>
                <c:pt idx="67">
                  <c:v>3.87731481481481E-3</c:v>
                </c:pt>
                <c:pt idx="68">
                  <c:v>3.9351851851851796E-3</c:v>
                </c:pt>
                <c:pt idx="69">
                  <c:v>3.9930555555555596E-3</c:v>
                </c:pt>
                <c:pt idx="70">
                  <c:v>4.05092592592593E-3</c:v>
                </c:pt>
                <c:pt idx="71">
                  <c:v>4.1087962962962996E-3</c:v>
                </c:pt>
                <c:pt idx="72">
                  <c:v>4.1666666666666701E-3</c:v>
                </c:pt>
                <c:pt idx="73">
                  <c:v>4.2245370370370397E-3</c:v>
                </c:pt>
                <c:pt idx="74">
                  <c:v>4.2824074074074101E-3</c:v>
                </c:pt>
                <c:pt idx="75">
                  <c:v>4.3402777777777797E-3</c:v>
                </c:pt>
                <c:pt idx="76">
                  <c:v>4.3981481481481502E-3</c:v>
                </c:pt>
                <c:pt idx="77">
                  <c:v>4.4560185185185197E-3</c:v>
                </c:pt>
                <c:pt idx="78">
                  <c:v>4.5138888888888902E-3</c:v>
                </c:pt>
                <c:pt idx="79">
                  <c:v>4.5717592592592598E-3</c:v>
                </c:pt>
                <c:pt idx="80">
                  <c:v>4.6296296296296302E-3</c:v>
                </c:pt>
                <c:pt idx="81">
                  <c:v>4.6874999999999998E-3</c:v>
                </c:pt>
                <c:pt idx="82">
                  <c:v>4.7453703703703703E-3</c:v>
                </c:pt>
                <c:pt idx="83">
                  <c:v>4.8032407407407399E-3</c:v>
                </c:pt>
                <c:pt idx="84">
                  <c:v>4.8611111111111103E-3</c:v>
                </c:pt>
                <c:pt idx="85">
                  <c:v>4.9189814814814799E-3</c:v>
                </c:pt>
                <c:pt idx="86">
                  <c:v>4.9768518518518504E-3</c:v>
                </c:pt>
                <c:pt idx="87">
                  <c:v>5.0347222222222199E-3</c:v>
                </c:pt>
                <c:pt idx="88">
                  <c:v>5.0925925925925904E-3</c:v>
                </c:pt>
                <c:pt idx="89">
                  <c:v>5.15046296296296E-3</c:v>
                </c:pt>
                <c:pt idx="90">
                  <c:v>5.2083333333333296E-3</c:v>
                </c:pt>
                <c:pt idx="91">
                  <c:v>5.2662037037037E-3</c:v>
                </c:pt>
                <c:pt idx="92">
                  <c:v>5.3240740740740696E-3</c:v>
                </c:pt>
                <c:pt idx="93">
                  <c:v>5.3819444444444401E-3</c:v>
                </c:pt>
                <c:pt idx="94">
                  <c:v>5.4398148148148097E-3</c:v>
                </c:pt>
                <c:pt idx="95">
                  <c:v>5.4976851851851801E-3</c:v>
                </c:pt>
                <c:pt idx="96">
                  <c:v>5.5555555555555497E-3</c:v>
                </c:pt>
                <c:pt idx="97">
                  <c:v>5.6134259259259297E-3</c:v>
                </c:pt>
                <c:pt idx="98">
                  <c:v>5.6712962962963001E-3</c:v>
                </c:pt>
                <c:pt idx="99">
                  <c:v>5.7291666666666697E-3</c:v>
                </c:pt>
                <c:pt idx="100">
                  <c:v>5.7870370370370402E-3</c:v>
                </c:pt>
                <c:pt idx="101">
                  <c:v>5.8449074074074098E-3</c:v>
                </c:pt>
                <c:pt idx="102">
                  <c:v>5.9027777777777802E-3</c:v>
                </c:pt>
                <c:pt idx="103">
                  <c:v>5.9606481481481498E-3</c:v>
                </c:pt>
                <c:pt idx="104">
                  <c:v>6.0185185185185203E-3</c:v>
                </c:pt>
                <c:pt idx="105">
                  <c:v>6.0763888888888899E-3</c:v>
                </c:pt>
                <c:pt idx="106">
                  <c:v>6.1342592592592603E-3</c:v>
                </c:pt>
                <c:pt idx="107">
                  <c:v>6.1921296296296299E-3</c:v>
                </c:pt>
                <c:pt idx="108">
                  <c:v>6.2500000000000003E-3</c:v>
                </c:pt>
                <c:pt idx="109">
                  <c:v>6.3078703703703699E-3</c:v>
                </c:pt>
                <c:pt idx="110">
                  <c:v>6.3657407407407404E-3</c:v>
                </c:pt>
                <c:pt idx="111">
                  <c:v>6.42361111111111E-3</c:v>
                </c:pt>
                <c:pt idx="112">
                  <c:v>6.4814814814814804E-3</c:v>
                </c:pt>
                <c:pt idx="113">
                  <c:v>6.53935185185185E-3</c:v>
                </c:pt>
                <c:pt idx="114">
                  <c:v>6.5972222222222196E-3</c:v>
                </c:pt>
                <c:pt idx="115">
                  <c:v>6.6550925925925901E-3</c:v>
                </c:pt>
                <c:pt idx="116">
                  <c:v>6.7129629629629596E-3</c:v>
                </c:pt>
                <c:pt idx="117">
                  <c:v>6.7708333333333301E-3</c:v>
                </c:pt>
                <c:pt idx="118">
                  <c:v>6.8287037037036997E-3</c:v>
                </c:pt>
                <c:pt idx="119">
                  <c:v>6.8865740740740701E-3</c:v>
                </c:pt>
                <c:pt idx="120">
                  <c:v>6.9444444444444397E-3</c:v>
                </c:pt>
                <c:pt idx="121">
                  <c:v>7.0023148148148102E-3</c:v>
                </c:pt>
                <c:pt idx="122">
                  <c:v>7.0601851851851798E-3</c:v>
                </c:pt>
                <c:pt idx="123">
                  <c:v>7.1180555555555598E-3</c:v>
                </c:pt>
                <c:pt idx="124">
                  <c:v>7.1759259259259302E-3</c:v>
                </c:pt>
                <c:pt idx="125">
                  <c:v>7.2337962962962998E-3</c:v>
                </c:pt>
                <c:pt idx="126">
                  <c:v>7.2916666666666703E-3</c:v>
                </c:pt>
                <c:pt idx="127">
                  <c:v>7.3495370370370398E-3</c:v>
                </c:pt>
                <c:pt idx="128">
                  <c:v>7.4074074074074103E-3</c:v>
                </c:pt>
                <c:pt idx="129">
                  <c:v>7.4652777777777799E-3</c:v>
                </c:pt>
                <c:pt idx="130">
                  <c:v>7.5231481481481503E-3</c:v>
                </c:pt>
                <c:pt idx="131">
                  <c:v>7.5810185185185199E-3</c:v>
                </c:pt>
                <c:pt idx="132">
                  <c:v>7.6388888888888904E-3</c:v>
                </c:pt>
                <c:pt idx="133">
                  <c:v>7.69675925925926E-3</c:v>
                </c:pt>
                <c:pt idx="134">
                  <c:v>7.7546296296296304E-3</c:v>
                </c:pt>
                <c:pt idx="135">
                  <c:v>7.8125E-3</c:v>
                </c:pt>
                <c:pt idx="136">
                  <c:v>7.8703703703703696E-3</c:v>
                </c:pt>
                <c:pt idx="137">
                  <c:v>7.9282407407407392E-3</c:v>
                </c:pt>
                <c:pt idx="138">
                  <c:v>7.9861111111111105E-3</c:v>
                </c:pt>
                <c:pt idx="139">
                  <c:v>8.0439814814814801E-3</c:v>
                </c:pt>
                <c:pt idx="140">
                  <c:v>8.1018518518518497E-3</c:v>
                </c:pt>
                <c:pt idx="141">
                  <c:v>8.1597222222222193E-3</c:v>
                </c:pt>
                <c:pt idx="142">
                  <c:v>8.2175925925925906E-3</c:v>
                </c:pt>
                <c:pt idx="143">
                  <c:v>8.2754629629629602E-3</c:v>
                </c:pt>
                <c:pt idx="144">
                  <c:v>8.3333333333333297E-3</c:v>
                </c:pt>
                <c:pt idx="145">
                  <c:v>8.3912037037036993E-3</c:v>
                </c:pt>
                <c:pt idx="146">
                  <c:v>8.4490740740740707E-3</c:v>
                </c:pt>
                <c:pt idx="147">
                  <c:v>8.5069444444444402E-3</c:v>
                </c:pt>
                <c:pt idx="148">
                  <c:v>8.5648148148148098E-3</c:v>
                </c:pt>
                <c:pt idx="149">
                  <c:v>8.6226851851851794E-3</c:v>
                </c:pt>
                <c:pt idx="150">
                  <c:v>8.6805555555555507E-3</c:v>
                </c:pt>
                <c:pt idx="151">
                  <c:v>8.7384259259259307E-3</c:v>
                </c:pt>
                <c:pt idx="152">
                  <c:v>8.7962962962963003E-3</c:v>
                </c:pt>
                <c:pt idx="153">
                  <c:v>8.8541666666666699E-3</c:v>
                </c:pt>
                <c:pt idx="154">
                  <c:v>8.9120370370370395E-3</c:v>
                </c:pt>
                <c:pt idx="155">
                  <c:v>8.9699074074074108E-3</c:v>
                </c:pt>
                <c:pt idx="156">
                  <c:v>9.0277777777777804E-3</c:v>
                </c:pt>
                <c:pt idx="157">
                  <c:v>9.08564814814815E-3</c:v>
                </c:pt>
                <c:pt idx="158">
                  <c:v>9.1435185185185196E-3</c:v>
                </c:pt>
                <c:pt idx="159">
                  <c:v>9.2013888888888892E-3</c:v>
                </c:pt>
                <c:pt idx="160">
                  <c:v>9.2592592592592605E-3</c:v>
                </c:pt>
                <c:pt idx="161">
                  <c:v>9.3171296296296301E-3</c:v>
                </c:pt>
                <c:pt idx="162">
                  <c:v>9.3749999999999997E-3</c:v>
                </c:pt>
                <c:pt idx="163">
                  <c:v>9.4328703703703692E-3</c:v>
                </c:pt>
                <c:pt idx="164">
                  <c:v>9.4907407407407406E-3</c:v>
                </c:pt>
                <c:pt idx="165">
                  <c:v>9.5486111111111101E-3</c:v>
                </c:pt>
                <c:pt idx="166">
                  <c:v>9.6064814814814797E-3</c:v>
                </c:pt>
                <c:pt idx="167">
                  <c:v>9.6643518518518493E-3</c:v>
                </c:pt>
                <c:pt idx="168">
                  <c:v>9.7222222222222206E-3</c:v>
                </c:pt>
                <c:pt idx="169">
                  <c:v>9.7800925925925902E-3</c:v>
                </c:pt>
                <c:pt idx="170">
                  <c:v>9.8379629629629598E-3</c:v>
                </c:pt>
                <c:pt idx="171">
                  <c:v>9.8958333333333294E-3</c:v>
                </c:pt>
                <c:pt idx="172">
                  <c:v>9.9537037037037007E-3</c:v>
                </c:pt>
                <c:pt idx="173">
                  <c:v>1.00115740740741E-2</c:v>
                </c:pt>
                <c:pt idx="174">
                  <c:v>1.00694444444444E-2</c:v>
                </c:pt>
                <c:pt idx="175">
                  <c:v>1.0127314814814801E-2</c:v>
                </c:pt>
                <c:pt idx="176">
                  <c:v>1.01851851851852E-2</c:v>
                </c:pt>
                <c:pt idx="177">
                  <c:v>1.0243055555555601E-2</c:v>
                </c:pt>
                <c:pt idx="178">
                  <c:v>1.0300925925925899E-2</c:v>
                </c:pt>
                <c:pt idx="179">
                  <c:v>1.03587962962963E-2</c:v>
                </c:pt>
                <c:pt idx="180">
                  <c:v>1.0416666666666701E-2</c:v>
                </c:pt>
                <c:pt idx="181">
                  <c:v>1.0474537037036999E-2</c:v>
                </c:pt>
                <c:pt idx="182">
                  <c:v>1.05324074074074E-2</c:v>
                </c:pt>
                <c:pt idx="183">
                  <c:v>1.0590277777777799E-2</c:v>
                </c:pt>
                <c:pt idx="184">
                  <c:v>1.0648148148148099E-2</c:v>
                </c:pt>
                <c:pt idx="185">
                  <c:v>1.07060185185185E-2</c:v>
                </c:pt>
                <c:pt idx="186">
                  <c:v>1.0763888888888899E-2</c:v>
                </c:pt>
                <c:pt idx="187">
                  <c:v>1.08217592592593E-2</c:v>
                </c:pt>
                <c:pt idx="188">
                  <c:v>1.08796296296296E-2</c:v>
                </c:pt>
                <c:pt idx="189">
                  <c:v>1.0937499999999999E-2</c:v>
                </c:pt>
                <c:pt idx="190">
                  <c:v>1.09953703703704E-2</c:v>
                </c:pt>
                <c:pt idx="191">
                  <c:v>1.10532407407407E-2</c:v>
                </c:pt>
                <c:pt idx="192">
                  <c:v>1.1111111111111099E-2</c:v>
                </c:pt>
                <c:pt idx="193">
                  <c:v>1.11689814814815E-2</c:v>
                </c:pt>
                <c:pt idx="194">
                  <c:v>1.1226851851851899E-2</c:v>
                </c:pt>
                <c:pt idx="195">
                  <c:v>1.1284722222222199E-2</c:v>
                </c:pt>
                <c:pt idx="196">
                  <c:v>1.13425925925926E-2</c:v>
                </c:pt>
                <c:pt idx="197">
                  <c:v>1.1400462962962999E-2</c:v>
                </c:pt>
                <c:pt idx="198">
                  <c:v>1.14583333333333E-2</c:v>
                </c:pt>
                <c:pt idx="199">
                  <c:v>1.15162037037037E-2</c:v>
                </c:pt>
                <c:pt idx="200">
                  <c:v>1.1574074074074099E-2</c:v>
                </c:pt>
                <c:pt idx="201">
                  <c:v>1.16319444444444E-2</c:v>
                </c:pt>
                <c:pt idx="202">
                  <c:v>1.16898148148148E-2</c:v>
                </c:pt>
                <c:pt idx="203">
                  <c:v>1.17476851851852E-2</c:v>
                </c:pt>
                <c:pt idx="204">
                  <c:v>1.18055555555556E-2</c:v>
                </c:pt>
                <c:pt idx="205">
                  <c:v>1.1863425925925901E-2</c:v>
                </c:pt>
                <c:pt idx="206">
                  <c:v>1.19212962962963E-2</c:v>
                </c:pt>
                <c:pt idx="207">
                  <c:v>1.19791666666667E-2</c:v>
                </c:pt>
                <c:pt idx="208">
                  <c:v>1.2037037037037001E-2</c:v>
                </c:pt>
                <c:pt idx="209">
                  <c:v>1.20949074074074E-2</c:v>
                </c:pt>
                <c:pt idx="210">
                  <c:v>1.2152777777777801E-2</c:v>
                </c:pt>
                <c:pt idx="211">
                  <c:v>1.2210648148148101E-2</c:v>
                </c:pt>
                <c:pt idx="212">
                  <c:v>1.22685185185185E-2</c:v>
                </c:pt>
                <c:pt idx="213">
                  <c:v>1.2326388888888901E-2</c:v>
                </c:pt>
                <c:pt idx="214">
                  <c:v>1.23842592592593E-2</c:v>
                </c:pt>
                <c:pt idx="215">
                  <c:v>1.24421296296296E-2</c:v>
                </c:pt>
                <c:pt idx="216">
                  <c:v>1.2500000000000001E-2</c:v>
                </c:pt>
                <c:pt idx="217">
                  <c:v>1.25578703703704E-2</c:v>
                </c:pt>
                <c:pt idx="218">
                  <c:v>1.26157407407407E-2</c:v>
                </c:pt>
                <c:pt idx="219">
                  <c:v>1.2673611111111101E-2</c:v>
                </c:pt>
                <c:pt idx="220">
                  <c:v>1.27314814814815E-2</c:v>
                </c:pt>
                <c:pt idx="221">
                  <c:v>1.2789351851851901E-2</c:v>
                </c:pt>
                <c:pt idx="222">
                  <c:v>1.2847222222222201E-2</c:v>
                </c:pt>
                <c:pt idx="223">
                  <c:v>1.29050925925926E-2</c:v>
                </c:pt>
                <c:pt idx="224">
                  <c:v>1.2962962962963001E-2</c:v>
                </c:pt>
                <c:pt idx="225">
                  <c:v>1.3020833333333299E-2</c:v>
                </c:pt>
                <c:pt idx="226">
                  <c:v>1.30787037037037E-2</c:v>
                </c:pt>
                <c:pt idx="227">
                  <c:v>1.3136574074074101E-2</c:v>
                </c:pt>
                <c:pt idx="228">
                  <c:v>1.3194444444444399E-2</c:v>
                </c:pt>
                <c:pt idx="229">
                  <c:v>1.32523148148148E-2</c:v>
                </c:pt>
                <c:pt idx="230">
                  <c:v>1.3310185185185199E-2</c:v>
                </c:pt>
                <c:pt idx="231">
                  <c:v>1.33680555555556E-2</c:v>
                </c:pt>
                <c:pt idx="232">
                  <c:v>1.34259259259259E-2</c:v>
                </c:pt>
                <c:pt idx="233">
                  <c:v>1.3483796296296299E-2</c:v>
                </c:pt>
                <c:pt idx="234">
                  <c:v>1.35416666666667E-2</c:v>
                </c:pt>
                <c:pt idx="235">
                  <c:v>1.3599537037037E-2</c:v>
                </c:pt>
                <c:pt idx="236">
                  <c:v>1.3657407407407399E-2</c:v>
                </c:pt>
                <c:pt idx="237">
                  <c:v>1.37152777777778E-2</c:v>
                </c:pt>
                <c:pt idx="238">
                  <c:v>1.37731481481481E-2</c:v>
                </c:pt>
                <c:pt idx="239">
                  <c:v>1.3831018518518499E-2</c:v>
                </c:pt>
                <c:pt idx="240">
                  <c:v>1.38888888888889E-2</c:v>
                </c:pt>
                <c:pt idx="241">
                  <c:v>1.3946759259259299E-2</c:v>
                </c:pt>
                <c:pt idx="242">
                  <c:v>1.40046296296296E-2</c:v>
                </c:pt>
                <c:pt idx="243">
                  <c:v>1.40625E-2</c:v>
                </c:pt>
                <c:pt idx="244">
                  <c:v>1.4120370370370399E-2</c:v>
                </c:pt>
                <c:pt idx="245">
                  <c:v>1.41782407407407E-2</c:v>
                </c:pt>
                <c:pt idx="246">
                  <c:v>1.42361111111111E-2</c:v>
                </c:pt>
                <c:pt idx="247">
                  <c:v>1.42939814814815E-2</c:v>
                </c:pt>
                <c:pt idx="248">
                  <c:v>1.43518518518519E-2</c:v>
                </c:pt>
                <c:pt idx="249">
                  <c:v>1.4409722222222201E-2</c:v>
                </c:pt>
                <c:pt idx="250">
                  <c:v>1.44675925925926E-2</c:v>
                </c:pt>
                <c:pt idx="251">
                  <c:v>1.4525462962963E-2</c:v>
                </c:pt>
                <c:pt idx="252">
                  <c:v>1.4583333333333301E-2</c:v>
                </c:pt>
                <c:pt idx="253">
                  <c:v>1.46412037037037E-2</c:v>
                </c:pt>
                <c:pt idx="254">
                  <c:v>1.46990740740741E-2</c:v>
                </c:pt>
                <c:pt idx="255">
                  <c:v>1.4756944444444401E-2</c:v>
                </c:pt>
                <c:pt idx="256">
                  <c:v>1.48148148148148E-2</c:v>
                </c:pt>
                <c:pt idx="257">
                  <c:v>1.4872685185185201E-2</c:v>
                </c:pt>
                <c:pt idx="258">
                  <c:v>1.49305555555556E-2</c:v>
                </c:pt>
                <c:pt idx="259">
                  <c:v>1.49884259259259E-2</c:v>
                </c:pt>
                <c:pt idx="260">
                  <c:v>1.5046296296296301E-2</c:v>
                </c:pt>
                <c:pt idx="261">
                  <c:v>1.51041666666667E-2</c:v>
                </c:pt>
                <c:pt idx="262">
                  <c:v>1.5162037037037E-2</c:v>
                </c:pt>
                <c:pt idx="263">
                  <c:v>1.5219907407407401E-2</c:v>
                </c:pt>
                <c:pt idx="264">
                  <c:v>1.52777777777778E-2</c:v>
                </c:pt>
                <c:pt idx="265">
                  <c:v>1.53356481481481E-2</c:v>
                </c:pt>
                <c:pt idx="266">
                  <c:v>1.5393518518518501E-2</c:v>
                </c:pt>
                <c:pt idx="267">
                  <c:v>1.54513888888889E-2</c:v>
                </c:pt>
                <c:pt idx="268">
                  <c:v>1.5509259259259301E-2</c:v>
                </c:pt>
                <c:pt idx="269">
                  <c:v>1.5567129629629599E-2</c:v>
                </c:pt>
                <c:pt idx="270">
                  <c:v>1.5625E-2</c:v>
                </c:pt>
                <c:pt idx="271">
                  <c:v>1.5682870370370399E-2</c:v>
                </c:pt>
                <c:pt idx="272">
                  <c:v>1.5740740740740701E-2</c:v>
                </c:pt>
                <c:pt idx="273">
                  <c:v>1.57986111111111E-2</c:v>
                </c:pt>
                <c:pt idx="274">
                  <c:v>1.5856481481481499E-2</c:v>
                </c:pt>
                <c:pt idx="275">
                  <c:v>1.5914351851851801E-2</c:v>
                </c:pt>
                <c:pt idx="276">
                  <c:v>1.59722222222222E-2</c:v>
                </c:pt>
                <c:pt idx="277">
                  <c:v>1.6030092592592599E-2</c:v>
                </c:pt>
                <c:pt idx="278">
                  <c:v>1.6087962962962998E-2</c:v>
                </c:pt>
                <c:pt idx="279">
                  <c:v>1.61458333333333E-2</c:v>
                </c:pt>
                <c:pt idx="280">
                  <c:v>1.6203703703703699E-2</c:v>
                </c:pt>
                <c:pt idx="281">
                  <c:v>1.6261574074074098E-2</c:v>
                </c:pt>
                <c:pt idx="282">
                  <c:v>1.63194444444444E-2</c:v>
                </c:pt>
                <c:pt idx="283">
                  <c:v>1.6377314814814799E-2</c:v>
                </c:pt>
                <c:pt idx="284">
                  <c:v>1.6435185185185198E-2</c:v>
                </c:pt>
                <c:pt idx="285">
                  <c:v>1.6493055555555601E-2</c:v>
                </c:pt>
                <c:pt idx="286">
                  <c:v>1.65509259259259E-2</c:v>
                </c:pt>
                <c:pt idx="287">
                  <c:v>1.6608796296296299E-2</c:v>
                </c:pt>
                <c:pt idx="288">
                  <c:v>1.6666666666666701E-2</c:v>
                </c:pt>
                <c:pt idx="289">
                  <c:v>1.6724537037037E-2</c:v>
                </c:pt>
                <c:pt idx="290">
                  <c:v>1.6782407407407399E-2</c:v>
                </c:pt>
                <c:pt idx="291">
                  <c:v>1.6840277777777801E-2</c:v>
                </c:pt>
                <c:pt idx="292">
                  <c:v>1.68981481481481E-2</c:v>
                </c:pt>
                <c:pt idx="293">
                  <c:v>1.6956018518518499E-2</c:v>
                </c:pt>
                <c:pt idx="294">
                  <c:v>1.7013888888888901E-2</c:v>
                </c:pt>
                <c:pt idx="295">
                  <c:v>1.70717592592593E-2</c:v>
                </c:pt>
                <c:pt idx="296">
                  <c:v>1.7129629629629599E-2</c:v>
                </c:pt>
                <c:pt idx="297">
                  <c:v>1.7187500000000001E-2</c:v>
                </c:pt>
                <c:pt idx="298">
                  <c:v>1.72453703703704E-2</c:v>
                </c:pt>
                <c:pt idx="299">
                  <c:v>1.7303240740740699E-2</c:v>
                </c:pt>
                <c:pt idx="300">
                  <c:v>1.7361111111111101E-2</c:v>
                </c:pt>
                <c:pt idx="301">
                  <c:v>1.7418981481481501E-2</c:v>
                </c:pt>
                <c:pt idx="302">
                  <c:v>1.74768518518519E-2</c:v>
                </c:pt>
                <c:pt idx="303">
                  <c:v>1.7534722222222202E-2</c:v>
                </c:pt>
                <c:pt idx="304">
                  <c:v>1.7592592592592601E-2</c:v>
                </c:pt>
                <c:pt idx="305">
                  <c:v>1.7650462962963E-2</c:v>
                </c:pt>
                <c:pt idx="306">
                  <c:v>1.7708333333333302E-2</c:v>
                </c:pt>
                <c:pt idx="307">
                  <c:v>1.7766203703703701E-2</c:v>
                </c:pt>
                <c:pt idx="308">
                  <c:v>1.78240740740741E-2</c:v>
                </c:pt>
                <c:pt idx="309">
                  <c:v>1.7881944444444402E-2</c:v>
                </c:pt>
                <c:pt idx="310">
                  <c:v>1.7939814814814801E-2</c:v>
                </c:pt>
                <c:pt idx="311">
                  <c:v>1.79976851851852E-2</c:v>
                </c:pt>
                <c:pt idx="312">
                  <c:v>1.8055555555555599E-2</c:v>
                </c:pt>
                <c:pt idx="313">
                  <c:v>1.8113425925925901E-2</c:v>
                </c:pt>
                <c:pt idx="314">
                  <c:v>1.81712962962963E-2</c:v>
                </c:pt>
                <c:pt idx="315">
                  <c:v>1.8229166666666699E-2</c:v>
                </c:pt>
                <c:pt idx="316">
                  <c:v>1.8287037037037001E-2</c:v>
                </c:pt>
                <c:pt idx="317">
                  <c:v>1.83449074074074E-2</c:v>
                </c:pt>
                <c:pt idx="318">
                  <c:v>1.8402777777777799E-2</c:v>
                </c:pt>
                <c:pt idx="319">
                  <c:v>1.8460648148148101E-2</c:v>
                </c:pt>
                <c:pt idx="320">
                  <c:v>1.85185185185185E-2</c:v>
                </c:pt>
                <c:pt idx="321">
                  <c:v>1.8576388888888899E-2</c:v>
                </c:pt>
                <c:pt idx="322">
                  <c:v>1.8634259259259298E-2</c:v>
                </c:pt>
                <c:pt idx="323">
                  <c:v>1.86921296296296E-2</c:v>
                </c:pt>
                <c:pt idx="324">
                  <c:v>1.8749999999999999E-2</c:v>
                </c:pt>
                <c:pt idx="325">
                  <c:v>1.8807870370370398E-2</c:v>
                </c:pt>
                <c:pt idx="326">
                  <c:v>1.88657407407407E-2</c:v>
                </c:pt>
                <c:pt idx="327">
                  <c:v>1.8923611111111099E-2</c:v>
                </c:pt>
                <c:pt idx="328">
                  <c:v>1.8981481481481498E-2</c:v>
                </c:pt>
                <c:pt idx="329">
                  <c:v>1.90393518518518E-2</c:v>
                </c:pt>
                <c:pt idx="330">
                  <c:v>1.9097222222222199E-2</c:v>
                </c:pt>
                <c:pt idx="331">
                  <c:v>1.9155092592592599E-2</c:v>
                </c:pt>
                <c:pt idx="332">
                  <c:v>1.9212962962963001E-2</c:v>
                </c:pt>
                <c:pt idx="333">
                  <c:v>1.92708333333333E-2</c:v>
                </c:pt>
                <c:pt idx="334">
                  <c:v>1.9328703703703699E-2</c:v>
                </c:pt>
                <c:pt idx="335">
                  <c:v>1.9386574074074101E-2</c:v>
                </c:pt>
                <c:pt idx="336">
                  <c:v>1.94444444444444E-2</c:v>
                </c:pt>
                <c:pt idx="337">
                  <c:v>1.9502314814814799E-2</c:v>
                </c:pt>
                <c:pt idx="338">
                  <c:v>1.9560185185185201E-2</c:v>
                </c:pt>
                <c:pt idx="339">
                  <c:v>1.96180555555556E-2</c:v>
                </c:pt>
                <c:pt idx="340">
                  <c:v>1.9675925925925899E-2</c:v>
                </c:pt>
                <c:pt idx="341">
                  <c:v>1.9733796296296301E-2</c:v>
                </c:pt>
                <c:pt idx="342">
                  <c:v>1.97916666666667E-2</c:v>
                </c:pt>
                <c:pt idx="343">
                  <c:v>1.9849537037036999E-2</c:v>
                </c:pt>
                <c:pt idx="344">
                  <c:v>1.9907407407407401E-2</c:v>
                </c:pt>
                <c:pt idx="345">
                  <c:v>1.9965277777777801E-2</c:v>
                </c:pt>
                <c:pt idx="346">
                  <c:v>2.0023148148148099E-2</c:v>
                </c:pt>
                <c:pt idx="347">
                  <c:v>2.0081018518518502E-2</c:v>
                </c:pt>
                <c:pt idx="348">
                  <c:v>2.0138888888888901E-2</c:v>
                </c:pt>
                <c:pt idx="349">
                  <c:v>2.01967592592593E-2</c:v>
                </c:pt>
                <c:pt idx="350">
                  <c:v>2.0254629629629602E-2</c:v>
                </c:pt>
                <c:pt idx="351">
                  <c:v>2.0312500000000001E-2</c:v>
                </c:pt>
                <c:pt idx="352">
                  <c:v>2.03703703703704E-2</c:v>
                </c:pt>
                <c:pt idx="353">
                  <c:v>2.0428240740740702E-2</c:v>
                </c:pt>
                <c:pt idx="354">
                  <c:v>2.0486111111111101E-2</c:v>
                </c:pt>
                <c:pt idx="355">
                  <c:v>2.05439814814815E-2</c:v>
                </c:pt>
                <c:pt idx="356">
                  <c:v>2.0601851851851899E-2</c:v>
                </c:pt>
                <c:pt idx="357">
                  <c:v>2.0659722222222201E-2</c:v>
                </c:pt>
                <c:pt idx="358">
                  <c:v>2.07175925925926E-2</c:v>
                </c:pt>
                <c:pt idx="359">
                  <c:v>2.0775462962962999E-2</c:v>
                </c:pt>
                <c:pt idx="360">
                  <c:v>2.0833333333333301E-2</c:v>
                </c:pt>
                <c:pt idx="361">
                  <c:v>2.08912037037037E-2</c:v>
                </c:pt>
                <c:pt idx="362">
                  <c:v>2.0949074074074099E-2</c:v>
                </c:pt>
                <c:pt idx="363">
                  <c:v>2.1006944444444401E-2</c:v>
                </c:pt>
                <c:pt idx="364">
                  <c:v>2.10648148148148E-2</c:v>
                </c:pt>
                <c:pt idx="365">
                  <c:v>2.1122685185185199E-2</c:v>
                </c:pt>
                <c:pt idx="366">
                  <c:v>2.1180555555555598E-2</c:v>
                </c:pt>
                <c:pt idx="367">
                  <c:v>2.12384259259259E-2</c:v>
                </c:pt>
                <c:pt idx="368">
                  <c:v>2.1296296296296299E-2</c:v>
                </c:pt>
                <c:pt idx="369">
                  <c:v>2.1354166666666698E-2</c:v>
                </c:pt>
                <c:pt idx="370">
                  <c:v>2.1412037037037E-2</c:v>
                </c:pt>
                <c:pt idx="371">
                  <c:v>2.1469907407407399E-2</c:v>
                </c:pt>
                <c:pt idx="372">
                  <c:v>2.1527777777777798E-2</c:v>
                </c:pt>
                <c:pt idx="373">
                  <c:v>2.15856481481481E-2</c:v>
                </c:pt>
                <c:pt idx="374">
                  <c:v>2.1643518518518499E-2</c:v>
                </c:pt>
                <c:pt idx="375">
                  <c:v>2.1701388888888899E-2</c:v>
                </c:pt>
                <c:pt idx="376">
                  <c:v>2.1759259259259301E-2</c:v>
                </c:pt>
                <c:pt idx="377">
                  <c:v>2.18171296296296E-2</c:v>
                </c:pt>
                <c:pt idx="378">
                  <c:v>2.1874999999999999E-2</c:v>
                </c:pt>
                <c:pt idx="379">
                  <c:v>2.1932870370370401E-2</c:v>
                </c:pt>
                <c:pt idx="380">
                  <c:v>2.19907407407407E-2</c:v>
                </c:pt>
                <c:pt idx="381">
                  <c:v>2.2048611111111099E-2</c:v>
                </c:pt>
                <c:pt idx="382">
                  <c:v>2.2106481481481501E-2</c:v>
                </c:pt>
                <c:pt idx="383">
                  <c:v>2.21643518518519E-2</c:v>
                </c:pt>
                <c:pt idx="384">
                  <c:v>2.2222222222222199E-2</c:v>
                </c:pt>
                <c:pt idx="385">
                  <c:v>2.2280092592592601E-2</c:v>
                </c:pt>
                <c:pt idx="386">
                  <c:v>2.2337962962963E-2</c:v>
                </c:pt>
                <c:pt idx="387">
                  <c:v>2.2395833333333299E-2</c:v>
                </c:pt>
                <c:pt idx="388">
                  <c:v>2.2453703703703701E-2</c:v>
                </c:pt>
                <c:pt idx="389">
                  <c:v>2.25115740740741E-2</c:v>
                </c:pt>
                <c:pt idx="390">
                  <c:v>2.2569444444444399E-2</c:v>
                </c:pt>
                <c:pt idx="391">
                  <c:v>2.2627314814814802E-2</c:v>
                </c:pt>
                <c:pt idx="392">
                  <c:v>2.2685185185185201E-2</c:v>
                </c:pt>
                <c:pt idx="393">
                  <c:v>2.27430555555556E-2</c:v>
                </c:pt>
                <c:pt idx="394">
                  <c:v>2.2800925925925902E-2</c:v>
                </c:pt>
                <c:pt idx="395">
                  <c:v>2.2858796296296301E-2</c:v>
                </c:pt>
                <c:pt idx="396">
                  <c:v>2.29166666666667E-2</c:v>
                </c:pt>
                <c:pt idx="397">
                  <c:v>2.2974537037037002E-2</c:v>
                </c:pt>
                <c:pt idx="398">
                  <c:v>2.3032407407407401E-2</c:v>
                </c:pt>
                <c:pt idx="399">
                  <c:v>2.30902777777778E-2</c:v>
                </c:pt>
                <c:pt idx="400">
                  <c:v>2.3148148148148098E-2</c:v>
                </c:pt>
                <c:pt idx="401">
                  <c:v>2.3206018518518501E-2</c:v>
                </c:pt>
                <c:pt idx="402">
                  <c:v>2.32638888888889E-2</c:v>
                </c:pt>
                <c:pt idx="403">
                  <c:v>2.3321759259259299E-2</c:v>
                </c:pt>
                <c:pt idx="404">
                  <c:v>2.3379629629629601E-2</c:v>
                </c:pt>
                <c:pt idx="405">
                  <c:v>2.34375E-2</c:v>
                </c:pt>
                <c:pt idx="406">
                  <c:v>2.3495370370370399E-2</c:v>
                </c:pt>
                <c:pt idx="407">
                  <c:v>2.3553240740740701E-2</c:v>
                </c:pt>
                <c:pt idx="408">
                  <c:v>2.36111111111111E-2</c:v>
                </c:pt>
                <c:pt idx="409">
                  <c:v>2.3668981481481499E-2</c:v>
                </c:pt>
                <c:pt idx="410">
                  <c:v>2.3726851851851801E-2</c:v>
                </c:pt>
                <c:pt idx="411">
                  <c:v>2.37847222222222E-2</c:v>
                </c:pt>
                <c:pt idx="412">
                  <c:v>2.3842592592592599E-2</c:v>
                </c:pt>
                <c:pt idx="413">
                  <c:v>2.3900462962962998E-2</c:v>
                </c:pt>
                <c:pt idx="414">
                  <c:v>2.39583333333333E-2</c:v>
                </c:pt>
                <c:pt idx="415">
                  <c:v>2.4016203703703699E-2</c:v>
                </c:pt>
                <c:pt idx="416">
                  <c:v>2.4074074074074098E-2</c:v>
                </c:pt>
                <c:pt idx="417">
                  <c:v>2.41319444444444E-2</c:v>
                </c:pt>
                <c:pt idx="418">
                  <c:v>2.4189814814814799E-2</c:v>
                </c:pt>
                <c:pt idx="419">
                  <c:v>2.4247685185185198E-2</c:v>
                </c:pt>
                <c:pt idx="420">
                  <c:v>2.4305555555555601E-2</c:v>
                </c:pt>
                <c:pt idx="421">
                  <c:v>2.43634259259259E-2</c:v>
                </c:pt>
                <c:pt idx="422">
                  <c:v>2.4421296296296299E-2</c:v>
                </c:pt>
                <c:pt idx="423">
                  <c:v>2.4479166666666701E-2</c:v>
                </c:pt>
                <c:pt idx="424">
                  <c:v>2.4537037037037E-2</c:v>
                </c:pt>
                <c:pt idx="425">
                  <c:v>2.4594907407407399E-2</c:v>
                </c:pt>
                <c:pt idx="426">
                  <c:v>2.4652777777777801E-2</c:v>
                </c:pt>
                <c:pt idx="427">
                  <c:v>2.47106481481481E-2</c:v>
                </c:pt>
                <c:pt idx="428">
                  <c:v>2.4768518518518499E-2</c:v>
                </c:pt>
                <c:pt idx="429">
                  <c:v>2.4826388888888901E-2</c:v>
                </c:pt>
                <c:pt idx="430">
                  <c:v>2.48842592592593E-2</c:v>
                </c:pt>
                <c:pt idx="431">
                  <c:v>2.4942129629629599E-2</c:v>
                </c:pt>
                <c:pt idx="432">
                  <c:v>2.5000000000000001E-2</c:v>
                </c:pt>
                <c:pt idx="433">
                  <c:v>2.50578703703704E-2</c:v>
                </c:pt>
                <c:pt idx="434">
                  <c:v>2.5115740740740699E-2</c:v>
                </c:pt>
                <c:pt idx="435">
                  <c:v>2.5173611111111101E-2</c:v>
                </c:pt>
                <c:pt idx="436">
                  <c:v>2.5231481481481501E-2</c:v>
                </c:pt>
                <c:pt idx="437">
                  <c:v>2.52893518518519E-2</c:v>
                </c:pt>
                <c:pt idx="438">
                  <c:v>2.5347222222222202E-2</c:v>
                </c:pt>
                <c:pt idx="439">
                  <c:v>2.5405092592592601E-2</c:v>
                </c:pt>
                <c:pt idx="440">
                  <c:v>2.5462962962963E-2</c:v>
                </c:pt>
                <c:pt idx="441">
                  <c:v>2.5520833333333302E-2</c:v>
                </c:pt>
                <c:pt idx="442">
                  <c:v>2.5578703703703701E-2</c:v>
                </c:pt>
                <c:pt idx="443">
                  <c:v>2.56365740740741E-2</c:v>
                </c:pt>
                <c:pt idx="444">
                  <c:v>2.5694444444444402E-2</c:v>
                </c:pt>
                <c:pt idx="445">
                  <c:v>2.5752314814814801E-2</c:v>
                </c:pt>
                <c:pt idx="446">
                  <c:v>2.58101851851852E-2</c:v>
                </c:pt>
                <c:pt idx="447">
                  <c:v>2.5868055555555599E-2</c:v>
                </c:pt>
                <c:pt idx="448">
                  <c:v>2.5925925925925901E-2</c:v>
                </c:pt>
                <c:pt idx="449">
                  <c:v>2.59837962962963E-2</c:v>
                </c:pt>
                <c:pt idx="450">
                  <c:v>2.6041666666666699E-2</c:v>
                </c:pt>
                <c:pt idx="451">
                  <c:v>2.6099537037037001E-2</c:v>
                </c:pt>
                <c:pt idx="452">
                  <c:v>2.61574074074074E-2</c:v>
                </c:pt>
                <c:pt idx="453">
                  <c:v>2.6215277777777799E-2</c:v>
                </c:pt>
                <c:pt idx="454">
                  <c:v>2.6273148148148101E-2</c:v>
                </c:pt>
                <c:pt idx="455">
                  <c:v>2.63310185185185E-2</c:v>
                </c:pt>
                <c:pt idx="456">
                  <c:v>2.6388888888888899E-2</c:v>
                </c:pt>
                <c:pt idx="457">
                  <c:v>2.6446759259259298E-2</c:v>
                </c:pt>
                <c:pt idx="458">
                  <c:v>2.65046296296296E-2</c:v>
                </c:pt>
                <c:pt idx="459">
                  <c:v>2.6562499999999999E-2</c:v>
                </c:pt>
                <c:pt idx="460">
                  <c:v>2.6620370370370398E-2</c:v>
                </c:pt>
                <c:pt idx="461">
                  <c:v>2.66782407407407E-2</c:v>
                </c:pt>
                <c:pt idx="462">
                  <c:v>2.6736111111111099E-2</c:v>
                </c:pt>
                <c:pt idx="463">
                  <c:v>2.6793981481481498E-2</c:v>
                </c:pt>
                <c:pt idx="464">
                  <c:v>2.68518518518518E-2</c:v>
                </c:pt>
                <c:pt idx="465">
                  <c:v>2.6909722222222199E-2</c:v>
                </c:pt>
                <c:pt idx="466">
                  <c:v>2.6967592592592599E-2</c:v>
                </c:pt>
                <c:pt idx="467">
                  <c:v>2.7025462962963001E-2</c:v>
                </c:pt>
                <c:pt idx="468">
                  <c:v>2.70833333333333E-2</c:v>
                </c:pt>
                <c:pt idx="469">
                  <c:v>2.7141203703703699E-2</c:v>
                </c:pt>
                <c:pt idx="470">
                  <c:v>2.7199074074074101E-2</c:v>
                </c:pt>
                <c:pt idx="471">
                  <c:v>2.72569444444444E-2</c:v>
                </c:pt>
                <c:pt idx="472">
                  <c:v>2.7314814814814799E-2</c:v>
                </c:pt>
                <c:pt idx="473">
                  <c:v>2.7372685185185201E-2</c:v>
                </c:pt>
                <c:pt idx="474">
                  <c:v>2.74305555555556E-2</c:v>
                </c:pt>
                <c:pt idx="475">
                  <c:v>2.7488425925925899E-2</c:v>
                </c:pt>
                <c:pt idx="476">
                  <c:v>2.7546296296296301E-2</c:v>
                </c:pt>
                <c:pt idx="477">
                  <c:v>2.76041666666667E-2</c:v>
                </c:pt>
                <c:pt idx="478">
                  <c:v>2.7662037037036999E-2</c:v>
                </c:pt>
                <c:pt idx="479">
                  <c:v>2.7719907407407401E-2</c:v>
                </c:pt>
                <c:pt idx="480">
                  <c:v>2.7777777777777801E-2</c:v>
                </c:pt>
                <c:pt idx="481">
                  <c:v>2.7835648148148099E-2</c:v>
                </c:pt>
                <c:pt idx="482">
                  <c:v>2.7893518518518502E-2</c:v>
                </c:pt>
                <c:pt idx="483">
                  <c:v>2.7951388888888901E-2</c:v>
                </c:pt>
                <c:pt idx="484">
                  <c:v>2.80092592592593E-2</c:v>
                </c:pt>
                <c:pt idx="485">
                  <c:v>2.8067129629629602E-2</c:v>
                </c:pt>
                <c:pt idx="486">
                  <c:v>2.8125000000000001E-2</c:v>
                </c:pt>
                <c:pt idx="487">
                  <c:v>2.81828703703704E-2</c:v>
                </c:pt>
                <c:pt idx="488">
                  <c:v>2.8240740740740702E-2</c:v>
                </c:pt>
                <c:pt idx="489">
                  <c:v>2.8298611111111101E-2</c:v>
                </c:pt>
                <c:pt idx="490">
                  <c:v>2.83564814814815E-2</c:v>
                </c:pt>
                <c:pt idx="491">
                  <c:v>2.8414351851851899E-2</c:v>
                </c:pt>
                <c:pt idx="492">
                  <c:v>2.8472222222222201E-2</c:v>
                </c:pt>
                <c:pt idx="493">
                  <c:v>2.85300925925926E-2</c:v>
                </c:pt>
                <c:pt idx="494">
                  <c:v>2.8587962962962999E-2</c:v>
                </c:pt>
                <c:pt idx="495">
                  <c:v>2.8645833333333301E-2</c:v>
                </c:pt>
                <c:pt idx="496">
                  <c:v>2.87037037037037E-2</c:v>
                </c:pt>
                <c:pt idx="497">
                  <c:v>2.8761574074074099E-2</c:v>
                </c:pt>
                <c:pt idx="498">
                  <c:v>2.8819444444444401E-2</c:v>
                </c:pt>
                <c:pt idx="499">
                  <c:v>2.88773148148148E-2</c:v>
                </c:pt>
                <c:pt idx="500">
                  <c:v>2.8935185185185199E-2</c:v>
                </c:pt>
                <c:pt idx="501">
                  <c:v>2.8993055555555598E-2</c:v>
                </c:pt>
                <c:pt idx="502">
                  <c:v>2.90509259259259E-2</c:v>
                </c:pt>
                <c:pt idx="503">
                  <c:v>2.9108796296296299E-2</c:v>
                </c:pt>
                <c:pt idx="504">
                  <c:v>2.9166666666666698E-2</c:v>
                </c:pt>
                <c:pt idx="505">
                  <c:v>2.9224537037037E-2</c:v>
                </c:pt>
                <c:pt idx="506">
                  <c:v>2.9282407407407399E-2</c:v>
                </c:pt>
                <c:pt idx="507">
                  <c:v>2.9340277777777798E-2</c:v>
                </c:pt>
                <c:pt idx="508">
                  <c:v>2.93981481481481E-2</c:v>
                </c:pt>
                <c:pt idx="509">
                  <c:v>2.9456018518518499E-2</c:v>
                </c:pt>
                <c:pt idx="510">
                  <c:v>2.9513888888888899E-2</c:v>
                </c:pt>
                <c:pt idx="511">
                  <c:v>2.9571759259259301E-2</c:v>
                </c:pt>
                <c:pt idx="512">
                  <c:v>2.96296296296296E-2</c:v>
                </c:pt>
                <c:pt idx="513">
                  <c:v>2.9687499999999999E-2</c:v>
                </c:pt>
                <c:pt idx="514">
                  <c:v>2.9745370370370401E-2</c:v>
                </c:pt>
                <c:pt idx="515">
                  <c:v>2.98032407407407E-2</c:v>
                </c:pt>
                <c:pt idx="516">
                  <c:v>2.9861111111111099E-2</c:v>
                </c:pt>
                <c:pt idx="517">
                  <c:v>2.9918981481481501E-2</c:v>
                </c:pt>
                <c:pt idx="518">
                  <c:v>2.99768518518518E-2</c:v>
                </c:pt>
                <c:pt idx="519">
                  <c:v>3.0034722222222199E-2</c:v>
                </c:pt>
                <c:pt idx="520">
                  <c:v>3.0092592592592601E-2</c:v>
                </c:pt>
                <c:pt idx="521">
                  <c:v>3.0150462962963E-2</c:v>
                </c:pt>
                <c:pt idx="522">
                  <c:v>3.0208333333333299E-2</c:v>
                </c:pt>
              </c:numCache>
            </c:numRef>
          </c:xVal>
          <c:yVal>
            <c:numRef>
              <c:f>Hartslagen!$C$1649:$C$2171</c:f>
              <c:numCache>
                <c:formatCode>General</c:formatCode>
                <c:ptCount val="523"/>
                <c:pt idx="0">
                  <c:v>101</c:v>
                </c:pt>
                <c:pt idx="1">
                  <c:v>101</c:v>
                </c:pt>
                <c:pt idx="2">
                  <c:v>113</c:v>
                </c:pt>
                <c:pt idx="3">
                  <c:v>126</c:v>
                </c:pt>
                <c:pt idx="4">
                  <c:v>132</c:v>
                </c:pt>
                <c:pt idx="5">
                  <c:v>137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151</c:v>
                </c:pt>
                <c:pt idx="10">
                  <c:v>151</c:v>
                </c:pt>
                <c:pt idx="11">
                  <c:v>152</c:v>
                </c:pt>
                <c:pt idx="12">
                  <c:v>153</c:v>
                </c:pt>
                <c:pt idx="13">
                  <c:v>155</c:v>
                </c:pt>
                <c:pt idx="14">
                  <c:v>156</c:v>
                </c:pt>
                <c:pt idx="15">
                  <c:v>158</c:v>
                </c:pt>
                <c:pt idx="16">
                  <c:v>159</c:v>
                </c:pt>
                <c:pt idx="17">
                  <c:v>160</c:v>
                </c:pt>
                <c:pt idx="18">
                  <c:v>161</c:v>
                </c:pt>
                <c:pt idx="19">
                  <c:v>161</c:v>
                </c:pt>
                <c:pt idx="20">
                  <c:v>158</c:v>
                </c:pt>
                <c:pt idx="21">
                  <c:v>159</c:v>
                </c:pt>
                <c:pt idx="22">
                  <c:v>159</c:v>
                </c:pt>
                <c:pt idx="23">
                  <c:v>156</c:v>
                </c:pt>
                <c:pt idx="24">
                  <c:v>149</c:v>
                </c:pt>
                <c:pt idx="25">
                  <c:v>148</c:v>
                </c:pt>
                <c:pt idx="26">
                  <c:v>148</c:v>
                </c:pt>
                <c:pt idx="27">
                  <c:v>148</c:v>
                </c:pt>
                <c:pt idx="28">
                  <c:v>152</c:v>
                </c:pt>
                <c:pt idx="29">
                  <c:v>152</c:v>
                </c:pt>
                <c:pt idx="30">
                  <c:v>156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161</c:v>
                </c:pt>
                <c:pt idx="38">
                  <c:v>162</c:v>
                </c:pt>
                <c:pt idx="39">
                  <c:v>162</c:v>
                </c:pt>
                <c:pt idx="40">
                  <c:v>163</c:v>
                </c:pt>
                <c:pt idx="41">
                  <c:v>163</c:v>
                </c:pt>
                <c:pt idx="42">
                  <c:v>163</c:v>
                </c:pt>
                <c:pt idx="43">
                  <c:v>163</c:v>
                </c:pt>
                <c:pt idx="44">
                  <c:v>163</c:v>
                </c:pt>
                <c:pt idx="45">
                  <c:v>163</c:v>
                </c:pt>
                <c:pt idx="46">
                  <c:v>163</c:v>
                </c:pt>
                <c:pt idx="47">
                  <c:v>163</c:v>
                </c:pt>
                <c:pt idx="48">
                  <c:v>163</c:v>
                </c:pt>
                <c:pt idx="49">
                  <c:v>158</c:v>
                </c:pt>
                <c:pt idx="50">
                  <c:v>154</c:v>
                </c:pt>
                <c:pt idx="51">
                  <c:v>154</c:v>
                </c:pt>
                <c:pt idx="52">
                  <c:v>152</c:v>
                </c:pt>
                <c:pt idx="53">
                  <c:v>153</c:v>
                </c:pt>
                <c:pt idx="54">
                  <c:v>153</c:v>
                </c:pt>
                <c:pt idx="55">
                  <c:v>153</c:v>
                </c:pt>
                <c:pt idx="56">
                  <c:v>155</c:v>
                </c:pt>
                <c:pt idx="57">
                  <c:v>152</c:v>
                </c:pt>
                <c:pt idx="58">
                  <c:v>155</c:v>
                </c:pt>
                <c:pt idx="59">
                  <c:v>156</c:v>
                </c:pt>
                <c:pt idx="60">
                  <c:v>156</c:v>
                </c:pt>
                <c:pt idx="61">
                  <c:v>156</c:v>
                </c:pt>
                <c:pt idx="62">
                  <c:v>160</c:v>
                </c:pt>
                <c:pt idx="63">
                  <c:v>160</c:v>
                </c:pt>
                <c:pt idx="64">
                  <c:v>160</c:v>
                </c:pt>
                <c:pt idx="65">
                  <c:v>162</c:v>
                </c:pt>
                <c:pt idx="66">
                  <c:v>164</c:v>
                </c:pt>
                <c:pt idx="67">
                  <c:v>165</c:v>
                </c:pt>
                <c:pt idx="68">
                  <c:v>166</c:v>
                </c:pt>
                <c:pt idx="69">
                  <c:v>167</c:v>
                </c:pt>
                <c:pt idx="70">
                  <c:v>167</c:v>
                </c:pt>
                <c:pt idx="71">
                  <c:v>167</c:v>
                </c:pt>
                <c:pt idx="72">
                  <c:v>167</c:v>
                </c:pt>
                <c:pt idx="73">
                  <c:v>164</c:v>
                </c:pt>
                <c:pt idx="74">
                  <c:v>160</c:v>
                </c:pt>
                <c:pt idx="75">
                  <c:v>157</c:v>
                </c:pt>
                <c:pt idx="76">
                  <c:v>155</c:v>
                </c:pt>
                <c:pt idx="77">
                  <c:v>155</c:v>
                </c:pt>
                <c:pt idx="78">
                  <c:v>155</c:v>
                </c:pt>
                <c:pt idx="79">
                  <c:v>155</c:v>
                </c:pt>
                <c:pt idx="80">
                  <c:v>158</c:v>
                </c:pt>
                <c:pt idx="81">
                  <c:v>159</c:v>
                </c:pt>
                <c:pt idx="82">
                  <c:v>159</c:v>
                </c:pt>
                <c:pt idx="83">
                  <c:v>160</c:v>
                </c:pt>
                <c:pt idx="84">
                  <c:v>160</c:v>
                </c:pt>
                <c:pt idx="85">
                  <c:v>160</c:v>
                </c:pt>
                <c:pt idx="86">
                  <c:v>163</c:v>
                </c:pt>
                <c:pt idx="87">
                  <c:v>165</c:v>
                </c:pt>
                <c:pt idx="88">
                  <c:v>165</c:v>
                </c:pt>
                <c:pt idx="89">
                  <c:v>166</c:v>
                </c:pt>
                <c:pt idx="90">
                  <c:v>167</c:v>
                </c:pt>
                <c:pt idx="91">
                  <c:v>167</c:v>
                </c:pt>
                <c:pt idx="92">
                  <c:v>168</c:v>
                </c:pt>
                <c:pt idx="93">
                  <c:v>168</c:v>
                </c:pt>
                <c:pt idx="94">
                  <c:v>169</c:v>
                </c:pt>
                <c:pt idx="95">
                  <c:v>169</c:v>
                </c:pt>
                <c:pt idx="96">
                  <c:v>170</c:v>
                </c:pt>
                <c:pt idx="97">
                  <c:v>168</c:v>
                </c:pt>
                <c:pt idx="98">
                  <c:v>165</c:v>
                </c:pt>
                <c:pt idx="99">
                  <c:v>163</c:v>
                </c:pt>
                <c:pt idx="100">
                  <c:v>160</c:v>
                </c:pt>
                <c:pt idx="101">
                  <c:v>157</c:v>
                </c:pt>
                <c:pt idx="102">
                  <c:v>157</c:v>
                </c:pt>
                <c:pt idx="103">
                  <c:v>156</c:v>
                </c:pt>
                <c:pt idx="104">
                  <c:v>155</c:v>
                </c:pt>
                <c:pt idx="105">
                  <c:v>157</c:v>
                </c:pt>
                <c:pt idx="106">
                  <c:v>158</c:v>
                </c:pt>
                <c:pt idx="107">
                  <c:v>159</c:v>
                </c:pt>
                <c:pt idx="108">
                  <c:v>159</c:v>
                </c:pt>
                <c:pt idx="109">
                  <c:v>159</c:v>
                </c:pt>
                <c:pt idx="110">
                  <c:v>159</c:v>
                </c:pt>
                <c:pt idx="111">
                  <c:v>161</c:v>
                </c:pt>
                <c:pt idx="112">
                  <c:v>164</c:v>
                </c:pt>
                <c:pt idx="113">
                  <c:v>164</c:v>
                </c:pt>
                <c:pt idx="114">
                  <c:v>165</c:v>
                </c:pt>
                <c:pt idx="115">
                  <c:v>165</c:v>
                </c:pt>
                <c:pt idx="116">
                  <c:v>167</c:v>
                </c:pt>
                <c:pt idx="117">
                  <c:v>167</c:v>
                </c:pt>
                <c:pt idx="118">
                  <c:v>167</c:v>
                </c:pt>
                <c:pt idx="119">
                  <c:v>168</c:v>
                </c:pt>
                <c:pt idx="120">
                  <c:v>169</c:v>
                </c:pt>
                <c:pt idx="121">
                  <c:v>168</c:v>
                </c:pt>
                <c:pt idx="122">
                  <c:v>168</c:v>
                </c:pt>
                <c:pt idx="123">
                  <c:v>167</c:v>
                </c:pt>
                <c:pt idx="124">
                  <c:v>166</c:v>
                </c:pt>
                <c:pt idx="125">
                  <c:v>163</c:v>
                </c:pt>
                <c:pt idx="126">
                  <c:v>160</c:v>
                </c:pt>
                <c:pt idx="127">
                  <c:v>160</c:v>
                </c:pt>
                <c:pt idx="128">
                  <c:v>160</c:v>
                </c:pt>
                <c:pt idx="129">
                  <c:v>160</c:v>
                </c:pt>
                <c:pt idx="130">
                  <c:v>160</c:v>
                </c:pt>
                <c:pt idx="131">
                  <c:v>162</c:v>
                </c:pt>
                <c:pt idx="132">
                  <c:v>163</c:v>
                </c:pt>
                <c:pt idx="133">
                  <c:v>165</c:v>
                </c:pt>
                <c:pt idx="134">
                  <c:v>166</c:v>
                </c:pt>
                <c:pt idx="135">
                  <c:v>167</c:v>
                </c:pt>
                <c:pt idx="136">
                  <c:v>168</c:v>
                </c:pt>
                <c:pt idx="137">
                  <c:v>169</c:v>
                </c:pt>
                <c:pt idx="138">
                  <c:v>168</c:v>
                </c:pt>
                <c:pt idx="139">
                  <c:v>169</c:v>
                </c:pt>
                <c:pt idx="140">
                  <c:v>169</c:v>
                </c:pt>
                <c:pt idx="141">
                  <c:v>169</c:v>
                </c:pt>
                <c:pt idx="142">
                  <c:v>169</c:v>
                </c:pt>
                <c:pt idx="143">
                  <c:v>169</c:v>
                </c:pt>
                <c:pt idx="144">
                  <c:v>169</c:v>
                </c:pt>
                <c:pt idx="145">
                  <c:v>170</c:v>
                </c:pt>
                <c:pt idx="146">
                  <c:v>170</c:v>
                </c:pt>
                <c:pt idx="147">
                  <c:v>171</c:v>
                </c:pt>
                <c:pt idx="148">
                  <c:v>170</c:v>
                </c:pt>
                <c:pt idx="149">
                  <c:v>168</c:v>
                </c:pt>
                <c:pt idx="150">
                  <c:v>164</c:v>
                </c:pt>
                <c:pt idx="151">
                  <c:v>160</c:v>
                </c:pt>
                <c:pt idx="152">
                  <c:v>160</c:v>
                </c:pt>
                <c:pt idx="153">
                  <c:v>160</c:v>
                </c:pt>
                <c:pt idx="154">
                  <c:v>158</c:v>
                </c:pt>
                <c:pt idx="155">
                  <c:v>159</c:v>
                </c:pt>
                <c:pt idx="156">
                  <c:v>159</c:v>
                </c:pt>
                <c:pt idx="157">
                  <c:v>159</c:v>
                </c:pt>
                <c:pt idx="158">
                  <c:v>161</c:v>
                </c:pt>
                <c:pt idx="159">
                  <c:v>163</c:v>
                </c:pt>
                <c:pt idx="160">
                  <c:v>166</c:v>
                </c:pt>
                <c:pt idx="161">
                  <c:v>167</c:v>
                </c:pt>
                <c:pt idx="162">
                  <c:v>167</c:v>
                </c:pt>
                <c:pt idx="163">
                  <c:v>167</c:v>
                </c:pt>
                <c:pt idx="164">
                  <c:v>167</c:v>
                </c:pt>
                <c:pt idx="165">
                  <c:v>167</c:v>
                </c:pt>
                <c:pt idx="166">
                  <c:v>168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170</c:v>
                </c:pt>
                <c:pt idx="172">
                  <c:v>168</c:v>
                </c:pt>
                <c:pt idx="173">
                  <c:v>166</c:v>
                </c:pt>
                <c:pt idx="174">
                  <c:v>165</c:v>
                </c:pt>
                <c:pt idx="175">
                  <c:v>159</c:v>
                </c:pt>
                <c:pt idx="176">
                  <c:v>159</c:v>
                </c:pt>
                <c:pt idx="177">
                  <c:v>159</c:v>
                </c:pt>
                <c:pt idx="178">
                  <c:v>158</c:v>
                </c:pt>
                <c:pt idx="179">
                  <c:v>158</c:v>
                </c:pt>
                <c:pt idx="180">
                  <c:v>158</c:v>
                </c:pt>
                <c:pt idx="181">
                  <c:v>159</c:v>
                </c:pt>
                <c:pt idx="182">
                  <c:v>160</c:v>
                </c:pt>
                <c:pt idx="183">
                  <c:v>162</c:v>
                </c:pt>
                <c:pt idx="184">
                  <c:v>162</c:v>
                </c:pt>
                <c:pt idx="185">
                  <c:v>165</c:v>
                </c:pt>
                <c:pt idx="186">
                  <c:v>164</c:v>
                </c:pt>
                <c:pt idx="187">
                  <c:v>165</c:v>
                </c:pt>
                <c:pt idx="188">
                  <c:v>167</c:v>
                </c:pt>
                <c:pt idx="189">
                  <c:v>168</c:v>
                </c:pt>
                <c:pt idx="190">
                  <c:v>168</c:v>
                </c:pt>
                <c:pt idx="191">
                  <c:v>168</c:v>
                </c:pt>
                <c:pt idx="192">
                  <c:v>169</c:v>
                </c:pt>
                <c:pt idx="193">
                  <c:v>170</c:v>
                </c:pt>
                <c:pt idx="194">
                  <c:v>169</c:v>
                </c:pt>
                <c:pt idx="195">
                  <c:v>171</c:v>
                </c:pt>
                <c:pt idx="196">
                  <c:v>171</c:v>
                </c:pt>
                <c:pt idx="197">
                  <c:v>172</c:v>
                </c:pt>
                <c:pt idx="198">
                  <c:v>170</c:v>
                </c:pt>
                <c:pt idx="199">
                  <c:v>167</c:v>
                </c:pt>
                <c:pt idx="200">
                  <c:v>164</c:v>
                </c:pt>
                <c:pt idx="201">
                  <c:v>162</c:v>
                </c:pt>
                <c:pt idx="202">
                  <c:v>162</c:v>
                </c:pt>
                <c:pt idx="203">
                  <c:v>164</c:v>
                </c:pt>
                <c:pt idx="204">
                  <c:v>163</c:v>
                </c:pt>
                <c:pt idx="205">
                  <c:v>162</c:v>
                </c:pt>
                <c:pt idx="206">
                  <c:v>163</c:v>
                </c:pt>
                <c:pt idx="207">
                  <c:v>164</c:v>
                </c:pt>
                <c:pt idx="208">
                  <c:v>164</c:v>
                </c:pt>
                <c:pt idx="209">
                  <c:v>165</c:v>
                </c:pt>
                <c:pt idx="210">
                  <c:v>165</c:v>
                </c:pt>
                <c:pt idx="211">
                  <c:v>167</c:v>
                </c:pt>
                <c:pt idx="212">
                  <c:v>167</c:v>
                </c:pt>
                <c:pt idx="213">
                  <c:v>167</c:v>
                </c:pt>
                <c:pt idx="214">
                  <c:v>167</c:v>
                </c:pt>
                <c:pt idx="215">
                  <c:v>167</c:v>
                </c:pt>
                <c:pt idx="216">
                  <c:v>168</c:v>
                </c:pt>
                <c:pt idx="217">
                  <c:v>169</c:v>
                </c:pt>
                <c:pt idx="218">
                  <c:v>170</c:v>
                </c:pt>
                <c:pt idx="219">
                  <c:v>171</c:v>
                </c:pt>
                <c:pt idx="220">
                  <c:v>171</c:v>
                </c:pt>
                <c:pt idx="221">
                  <c:v>170</c:v>
                </c:pt>
                <c:pt idx="222">
                  <c:v>170</c:v>
                </c:pt>
                <c:pt idx="223">
                  <c:v>168</c:v>
                </c:pt>
                <c:pt idx="224">
                  <c:v>166</c:v>
                </c:pt>
                <c:pt idx="225">
                  <c:v>165</c:v>
                </c:pt>
                <c:pt idx="226">
                  <c:v>162</c:v>
                </c:pt>
                <c:pt idx="227">
                  <c:v>161</c:v>
                </c:pt>
                <c:pt idx="228">
                  <c:v>161</c:v>
                </c:pt>
                <c:pt idx="229">
                  <c:v>161</c:v>
                </c:pt>
                <c:pt idx="230">
                  <c:v>162</c:v>
                </c:pt>
                <c:pt idx="231">
                  <c:v>162</c:v>
                </c:pt>
                <c:pt idx="232">
                  <c:v>163</c:v>
                </c:pt>
                <c:pt idx="233">
                  <c:v>164</c:v>
                </c:pt>
                <c:pt idx="234">
                  <c:v>165</c:v>
                </c:pt>
                <c:pt idx="235">
                  <c:v>166</c:v>
                </c:pt>
                <c:pt idx="236">
                  <c:v>166</c:v>
                </c:pt>
                <c:pt idx="237">
                  <c:v>168</c:v>
                </c:pt>
                <c:pt idx="238">
                  <c:v>168</c:v>
                </c:pt>
                <c:pt idx="239">
                  <c:v>168</c:v>
                </c:pt>
                <c:pt idx="240">
                  <c:v>168</c:v>
                </c:pt>
                <c:pt idx="241">
                  <c:v>169</c:v>
                </c:pt>
                <c:pt idx="242">
                  <c:v>168</c:v>
                </c:pt>
                <c:pt idx="243">
                  <c:v>169</c:v>
                </c:pt>
                <c:pt idx="244">
                  <c:v>170</c:v>
                </c:pt>
                <c:pt idx="245">
                  <c:v>170</c:v>
                </c:pt>
                <c:pt idx="246">
                  <c:v>170</c:v>
                </c:pt>
                <c:pt idx="247">
                  <c:v>170</c:v>
                </c:pt>
                <c:pt idx="248">
                  <c:v>169</c:v>
                </c:pt>
                <c:pt idx="249">
                  <c:v>168</c:v>
                </c:pt>
                <c:pt idx="250">
                  <c:v>165</c:v>
                </c:pt>
                <c:pt idx="251">
                  <c:v>164</c:v>
                </c:pt>
                <c:pt idx="252">
                  <c:v>163</c:v>
                </c:pt>
                <c:pt idx="253">
                  <c:v>163</c:v>
                </c:pt>
                <c:pt idx="254">
                  <c:v>158</c:v>
                </c:pt>
                <c:pt idx="255">
                  <c:v>158</c:v>
                </c:pt>
                <c:pt idx="256">
                  <c:v>158</c:v>
                </c:pt>
                <c:pt idx="257">
                  <c:v>159</c:v>
                </c:pt>
                <c:pt idx="258">
                  <c:v>160</c:v>
                </c:pt>
                <c:pt idx="259">
                  <c:v>162</c:v>
                </c:pt>
                <c:pt idx="260">
                  <c:v>163</c:v>
                </c:pt>
                <c:pt idx="261">
                  <c:v>164</c:v>
                </c:pt>
                <c:pt idx="262">
                  <c:v>164</c:v>
                </c:pt>
                <c:pt idx="263">
                  <c:v>165</c:v>
                </c:pt>
                <c:pt idx="264">
                  <c:v>165</c:v>
                </c:pt>
                <c:pt idx="265">
                  <c:v>166</c:v>
                </c:pt>
                <c:pt idx="266">
                  <c:v>167</c:v>
                </c:pt>
                <c:pt idx="267">
                  <c:v>169</c:v>
                </c:pt>
                <c:pt idx="268">
                  <c:v>170</c:v>
                </c:pt>
                <c:pt idx="269">
                  <c:v>171</c:v>
                </c:pt>
                <c:pt idx="270">
                  <c:v>172</c:v>
                </c:pt>
                <c:pt idx="271">
                  <c:v>171</c:v>
                </c:pt>
                <c:pt idx="272">
                  <c:v>172</c:v>
                </c:pt>
                <c:pt idx="273">
                  <c:v>170</c:v>
                </c:pt>
                <c:pt idx="274">
                  <c:v>169</c:v>
                </c:pt>
                <c:pt idx="275">
                  <c:v>166</c:v>
                </c:pt>
                <c:pt idx="276">
                  <c:v>165</c:v>
                </c:pt>
                <c:pt idx="277">
                  <c:v>159</c:v>
                </c:pt>
                <c:pt idx="278">
                  <c:v>159</c:v>
                </c:pt>
                <c:pt idx="279">
                  <c:v>159</c:v>
                </c:pt>
                <c:pt idx="280">
                  <c:v>159</c:v>
                </c:pt>
                <c:pt idx="281">
                  <c:v>161</c:v>
                </c:pt>
                <c:pt idx="282">
                  <c:v>161</c:v>
                </c:pt>
                <c:pt idx="283">
                  <c:v>163</c:v>
                </c:pt>
                <c:pt idx="284">
                  <c:v>165</c:v>
                </c:pt>
                <c:pt idx="285">
                  <c:v>165</c:v>
                </c:pt>
                <c:pt idx="286">
                  <c:v>166</c:v>
                </c:pt>
                <c:pt idx="287">
                  <c:v>166</c:v>
                </c:pt>
                <c:pt idx="288">
                  <c:v>167</c:v>
                </c:pt>
                <c:pt idx="289">
                  <c:v>168</c:v>
                </c:pt>
                <c:pt idx="290">
                  <c:v>168</c:v>
                </c:pt>
                <c:pt idx="291">
                  <c:v>169</c:v>
                </c:pt>
                <c:pt idx="292">
                  <c:v>169</c:v>
                </c:pt>
                <c:pt idx="293">
                  <c:v>170</c:v>
                </c:pt>
                <c:pt idx="294">
                  <c:v>170</c:v>
                </c:pt>
                <c:pt idx="295">
                  <c:v>171</c:v>
                </c:pt>
                <c:pt idx="296">
                  <c:v>171</c:v>
                </c:pt>
                <c:pt idx="297">
                  <c:v>170</c:v>
                </c:pt>
                <c:pt idx="298">
                  <c:v>170</c:v>
                </c:pt>
                <c:pt idx="299">
                  <c:v>169</c:v>
                </c:pt>
                <c:pt idx="300">
                  <c:v>167</c:v>
                </c:pt>
                <c:pt idx="301">
                  <c:v>164</c:v>
                </c:pt>
                <c:pt idx="302">
                  <c:v>159</c:v>
                </c:pt>
                <c:pt idx="303">
                  <c:v>155</c:v>
                </c:pt>
                <c:pt idx="304">
                  <c:v>155</c:v>
                </c:pt>
                <c:pt idx="305">
                  <c:v>152</c:v>
                </c:pt>
                <c:pt idx="306">
                  <c:v>152</c:v>
                </c:pt>
                <c:pt idx="307">
                  <c:v>154</c:v>
                </c:pt>
                <c:pt idx="308">
                  <c:v>154</c:v>
                </c:pt>
                <c:pt idx="309">
                  <c:v>157</c:v>
                </c:pt>
                <c:pt idx="310">
                  <c:v>159</c:v>
                </c:pt>
                <c:pt idx="311">
                  <c:v>163</c:v>
                </c:pt>
                <c:pt idx="312">
                  <c:v>164</c:v>
                </c:pt>
                <c:pt idx="313">
                  <c:v>166</c:v>
                </c:pt>
                <c:pt idx="314">
                  <c:v>166</c:v>
                </c:pt>
                <c:pt idx="315">
                  <c:v>167</c:v>
                </c:pt>
                <c:pt idx="316">
                  <c:v>167</c:v>
                </c:pt>
                <c:pt idx="317">
                  <c:v>168</c:v>
                </c:pt>
                <c:pt idx="318">
                  <c:v>168</c:v>
                </c:pt>
                <c:pt idx="319">
                  <c:v>169</c:v>
                </c:pt>
                <c:pt idx="320">
                  <c:v>170</c:v>
                </c:pt>
                <c:pt idx="321">
                  <c:v>171</c:v>
                </c:pt>
                <c:pt idx="322">
                  <c:v>171</c:v>
                </c:pt>
                <c:pt idx="323">
                  <c:v>171</c:v>
                </c:pt>
                <c:pt idx="324">
                  <c:v>172</c:v>
                </c:pt>
                <c:pt idx="325">
                  <c:v>171</c:v>
                </c:pt>
                <c:pt idx="326">
                  <c:v>168</c:v>
                </c:pt>
                <c:pt idx="327">
                  <c:v>166</c:v>
                </c:pt>
                <c:pt idx="328">
                  <c:v>163</c:v>
                </c:pt>
                <c:pt idx="329">
                  <c:v>161</c:v>
                </c:pt>
                <c:pt idx="330">
                  <c:v>163</c:v>
                </c:pt>
                <c:pt idx="331">
                  <c:v>160</c:v>
                </c:pt>
                <c:pt idx="332">
                  <c:v>161</c:v>
                </c:pt>
                <c:pt idx="333">
                  <c:v>163</c:v>
                </c:pt>
                <c:pt idx="334">
                  <c:v>165</c:v>
                </c:pt>
                <c:pt idx="335">
                  <c:v>167</c:v>
                </c:pt>
                <c:pt idx="336">
                  <c:v>168</c:v>
                </c:pt>
                <c:pt idx="337">
                  <c:v>168</c:v>
                </c:pt>
                <c:pt idx="338">
                  <c:v>168</c:v>
                </c:pt>
                <c:pt idx="339">
                  <c:v>168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172</c:v>
                </c:pt>
                <c:pt idx="344">
                  <c:v>172</c:v>
                </c:pt>
                <c:pt idx="345">
                  <c:v>173</c:v>
                </c:pt>
                <c:pt idx="346">
                  <c:v>171</c:v>
                </c:pt>
                <c:pt idx="347">
                  <c:v>172</c:v>
                </c:pt>
                <c:pt idx="348">
                  <c:v>173</c:v>
                </c:pt>
                <c:pt idx="349">
                  <c:v>173</c:v>
                </c:pt>
                <c:pt idx="350">
                  <c:v>171</c:v>
                </c:pt>
                <c:pt idx="351">
                  <c:v>169</c:v>
                </c:pt>
                <c:pt idx="352">
                  <c:v>166</c:v>
                </c:pt>
                <c:pt idx="353">
                  <c:v>164</c:v>
                </c:pt>
                <c:pt idx="354">
                  <c:v>163</c:v>
                </c:pt>
                <c:pt idx="355">
                  <c:v>164</c:v>
                </c:pt>
                <c:pt idx="356">
                  <c:v>164</c:v>
                </c:pt>
                <c:pt idx="357">
                  <c:v>159</c:v>
                </c:pt>
                <c:pt idx="358">
                  <c:v>162</c:v>
                </c:pt>
                <c:pt idx="359">
                  <c:v>165</c:v>
                </c:pt>
                <c:pt idx="360">
                  <c:v>167</c:v>
                </c:pt>
                <c:pt idx="361">
                  <c:v>168</c:v>
                </c:pt>
                <c:pt idx="362">
                  <c:v>169</c:v>
                </c:pt>
                <c:pt idx="363">
                  <c:v>169</c:v>
                </c:pt>
                <c:pt idx="364">
                  <c:v>169</c:v>
                </c:pt>
                <c:pt idx="365">
                  <c:v>169</c:v>
                </c:pt>
                <c:pt idx="366">
                  <c:v>169</c:v>
                </c:pt>
                <c:pt idx="367">
                  <c:v>169</c:v>
                </c:pt>
                <c:pt idx="368">
                  <c:v>170</c:v>
                </c:pt>
                <c:pt idx="369">
                  <c:v>171</c:v>
                </c:pt>
                <c:pt idx="370">
                  <c:v>172</c:v>
                </c:pt>
                <c:pt idx="371">
                  <c:v>172</c:v>
                </c:pt>
                <c:pt idx="372">
                  <c:v>172</c:v>
                </c:pt>
                <c:pt idx="373">
                  <c:v>172</c:v>
                </c:pt>
                <c:pt idx="374">
                  <c:v>170</c:v>
                </c:pt>
                <c:pt idx="375">
                  <c:v>170</c:v>
                </c:pt>
                <c:pt idx="376">
                  <c:v>168</c:v>
                </c:pt>
                <c:pt idx="377">
                  <c:v>165</c:v>
                </c:pt>
                <c:pt idx="378">
                  <c:v>162</c:v>
                </c:pt>
                <c:pt idx="379">
                  <c:v>160</c:v>
                </c:pt>
                <c:pt idx="380">
                  <c:v>160</c:v>
                </c:pt>
                <c:pt idx="381">
                  <c:v>162</c:v>
                </c:pt>
                <c:pt idx="382">
                  <c:v>163</c:v>
                </c:pt>
                <c:pt idx="383">
                  <c:v>164</c:v>
                </c:pt>
                <c:pt idx="384">
                  <c:v>166</c:v>
                </c:pt>
                <c:pt idx="385">
                  <c:v>168</c:v>
                </c:pt>
                <c:pt idx="386">
                  <c:v>169</c:v>
                </c:pt>
                <c:pt idx="387">
                  <c:v>169</c:v>
                </c:pt>
                <c:pt idx="388">
                  <c:v>168</c:v>
                </c:pt>
                <c:pt idx="389">
                  <c:v>168</c:v>
                </c:pt>
                <c:pt idx="390">
                  <c:v>169</c:v>
                </c:pt>
                <c:pt idx="391">
                  <c:v>170</c:v>
                </c:pt>
                <c:pt idx="392">
                  <c:v>171</c:v>
                </c:pt>
                <c:pt idx="393">
                  <c:v>172</c:v>
                </c:pt>
                <c:pt idx="394">
                  <c:v>173</c:v>
                </c:pt>
                <c:pt idx="395">
                  <c:v>174</c:v>
                </c:pt>
                <c:pt idx="396">
                  <c:v>173</c:v>
                </c:pt>
                <c:pt idx="397">
                  <c:v>174</c:v>
                </c:pt>
                <c:pt idx="398">
                  <c:v>174</c:v>
                </c:pt>
                <c:pt idx="399">
                  <c:v>172</c:v>
                </c:pt>
                <c:pt idx="400">
                  <c:v>171</c:v>
                </c:pt>
                <c:pt idx="401">
                  <c:v>169</c:v>
                </c:pt>
                <c:pt idx="402">
                  <c:v>166</c:v>
                </c:pt>
                <c:pt idx="403">
                  <c:v>163</c:v>
                </c:pt>
                <c:pt idx="404">
                  <c:v>165</c:v>
                </c:pt>
                <c:pt idx="405">
                  <c:v>166</c:v>
                </c:pt>
                <c:pt idx="406">
                  <c:v>166</c:v>
                </c:pt>
                <c:pt idx="407">
                  <c:v>167</c:v>
                </c:pt>
                <c:pt idx="408">
                  <c:v>168</c:v>
                </c:pt>
                <c:pt idx="409">
                  <c:v>168</c:v>
                </c:pt>
                <c:pt idx="410">
                  <c:v>170</c:v>
                </c:pt>
                <c:pt idx="411">
                  <c:v>171</c:v>
                </c:pt>
                <c:pt idx="412">
                  <c:v>171</c:v>
                </c:pt>
                <c:pt idx="413">
                  <c:v>171</c:v>
                </c:pt>
                <c:pt idx="414">
                  <c:v>170</c:v>
                </c:pt>
                <c:pt idx="415">
                  <c:v>171</c:v>
                </c:pt>
                <c:pt idx="416">
                  <c:v>171</c:v>
                </c:pt>
                <c:pt idx="417">
                  <c:v>172</c:v>
                </c:pt>
                <c:pt idx="418">
                  <c:v>172</c:v>
                </c:pt>
                <c:pt idx="419">
                  <c:v>173</c:v>
                </c:pt>
                <c:pt idx="420">
                  <c:v>173</c:v>
                </c:pt>
                <c:pt idx="421">
                  <c:v>174</c:v>
                </c:pt>
                <c:pt idx="422">
                  <c:v>175</c:v>
                </c:pt>
                <c:pt idx="423">
                  <c:v>177</c:v>
                </c:pt>
                <c:pt idx="424">
                  <c:v>176</c:v>
                </c:pt>
                <c:pt idx="425">
                  <c:v>172</c:v>
                </c:pt>
                <c:pt idx="426">
                  <c:v>171</c:v>
                </c:pt>
                <c:pt idx="427">
                  <c:v>167</c:v>
                </c:pt>
                <c:pt idx="428">
                  <c:v>166</c:v>
                </c:pt>
                <c:pt idx="429">
                  <c:v>166</c:v>
                </c:pt>
                <c:pt idx="430">
                  <c:v>167</c:v>
                </c:pt>
                <c:pt idx="431">
                  <c:v>168</c:v>
                </c:pt>
                <c:pt idx="432">
                  <c:v>169</c:v>
                </c:pt>
                <c:pt idx="433">
                  <c:v>170</c:v>
                </c:pt>
                <c:pt idx="434">
                  <c:v>170</c:v>
                </c:pt>
                <c:pt idx="435">
                  <c:v>171</c:v>
                </c:pt>
                <c:pt idx="436">
                  <c:v>171</c:v>
                </c:pt>
                <c:pt idx="437">
                  <c:v>171</c:v>
                </c:pt>
                <c:pt idx="438">
                  <c:v>171</c:v>
                </c:pt>
                <c:pt idx="439">
                  <c:v>172</c:v>
                </c:pt>
                <c:pt idx="440">
                  <c:v>172</c:v>
                </c:pt>
                <c:pt idx="441">
                  <c:v>172</c:v>
                </c:pt>
                <c:pt idx="442">
                  <c:v>172</c:v>
                </c:pt>
                <c:pt idx="443">
                  <c:v>173</c:v>
                </c:pt>
                <c:pt idx="444">
                  <c:v>174</c:v>
                </c:pt>
                <c:pt idx="445">
                  <c:v>175</c:v>
                </c:pt>
                <c:pt idx="446">
                  <c:v>176</c:v>
                </c:pt>
                <c:pt idx="447">
                  <c:v>175</c:v>
                </c:pt>
                <c:pt idx="448">
                  <c:v>176</c:v>
                </c:pt>
                <c:pt idx="449">
                  <c:v>173</c:v>
                </c:pt>
                <c:pt idx="450">
                  <c:v>171</c:v>
                </c:pt>
                <c:pt idx="451">
                  <c:v>169</c:v>
                </c:pt>
                <c:pt idx="452">
                  <c:v>167</c:v>
                </c:pt>
                <c:pt idx="453">
                  <c:v>166</c:v>
                </c:pt>
                <c:pt idx="454">
                  <c:v>166</c:v>
                </c:pt>
                <c:pt idx="455">
                  <c:v>165</c:v>
                </c:pt>
                <c:pt idx="456">
                  <c:v>166</c:v>
                </c:pt>
                <c:pt idx="457">
                  <c:v>167</c:v>
                </c:pt>
                <c:pt idx="458">
                  <c:v>166</c:v>
                </c:pt>
                <c:pt idx="459">
                  <c:v>167</c:v>
                </c:pt>
                <c:pt idx="460">
                  <c:v>169</c:v>
                </c:pt>
                <c:pt idx="461">
                  <c:v>169</c:v>
                </c:pt>
                <c:pt idx="462">
                  <c:v>171</c:v>
                </c:pt>
                <c:pt idx="463">
                  <c:v>171</c:v>
                </c:pt>
                <c:pt idx="464">
                  <c:v>171</c:v>
                </c:pt>
                <c:pt idx="465">
                  <c:v>171</c:v>
                </c:pt>
                <c:pt idx="466">
                  <c:v>172</c:v>
                </c:pt>
                <c:pt idx="467">
                  <c:v>174</c:v>
                </c:pt>
                <c:pt idx="468">
                  <c:v>175</c:v>
                </c:pt>
                <c:pt idx="469">
                  <c:v>174</c:v>
                </c:pt>
                <c:pt idx="470">
                  <c:v>174</c:v>
                </c:pt>
                <c:pt idx="471">
                  <c:v>174</c:v>
                </c:pt>
                <c:pt idx="472">
                  <c:v>174</c:v>
                </c:pt>
                <c:pt idx="473">
                  <c:v>175</c:v>
                </c:pt>
                <c:pt idx="474">
                  <c:v>173</c:v>
                </c:pt>
                <c:pt idx="475">
                  <c:v>172</c:v>
                </c:pt>
                <c:pt idx="476">
                  <c:v>170</c:v>
                </c:pt>
                <c:pt idx="477">
                  <c:v>168</c:v>
                </c:pt>
                <c:pt idx="478">
                  <c:v>167</c:v>
                </c:pt>
                <c:pt idx="479">
                  <c:v>166</c:v>
                </c:pt>
                <c:pt idx="480">
                  <c:v>165</c:v>
                </c:pt>
                <c:pt idx="481">
                  <c:v>166</c:v>
                </c:pt>
                <c:pt idx="482">
                  <c:v>167</c:v>
                </c:pt>
                <c:pt idx="483">
                  <c:v>168</c:v>
                </c:pt>
                <c:pt idx="484">
                  <c:v>168</c:v>
                </c:pt>
                <c:pt idx="485">
                  <c:v>168</c:v>
                </c:pt>
                <c:pt idx="486">
                  <c:v>169</c:v>
                </c:pt>
                <c:pt idx="487">
                  <c:v>170</c:v>
                </c:pt>
                <c:pt idx="488">
                  <c:v>170</c:v>
                </c:pt>
                <c:pt idx="489">
                  <c:v>171</c:v>
                </c:pt>
                <c:pt idx="490">
                  <c:v>171</c:v>
                </c:pt>
                <c:pt idx="491">
                  <c:v>172</c:v>
                </c:pt>
                <c:pt idx="492">
                  <c:v>172</c:v>
                </c:pt>
                <c:pt idx="493">
                  <c:v>172</c:v>
                </c:pt>
                <c:pt idx="494">
                  <c:v>170</c:v>
                </c:pt>
                <c:pt idx="495">
                  <c:v>170</c:v>
                </c:pt>
                <c:pt idx="496">
                  <c:v>171</c:v>
                </c:pt>
                <c:pt idx="497">
                  <c:v>172</c:v>
                </c:pt>
                <c:pt idx="498">
                  <c:v>172</c:v>
                </c:pt>
                <c:pt idx="499">
                  <c:v>172</c:v>
                </c:pt>
                <c:pt idx="500">
                  <c:v>170</c:v>
                </c:pt>
                <c:pt idx="501">
                  <c:v>168</c:v>
                </c:pt>
                <c:pt idx="502">
                  <c:v>165</c:v>
                </c:pt>
                <c:pt idx="503">
                  <c:v>160</c:v>
                </c:pt>
                <c:pt idx="504">
                  <c:v>157</c:v>
                </c:pt>
                <c:pt idx="505">
                  <c:v>153</c:v>
                </c:pt>
                <c:pt idx="506">
                  <c:v>153</c:v>
                </c:pt>
                <c:pt idx="507">
                  <c:v>146</c:v>
                </c:pt>
                <c:pt idx="508">
                  <c:v>143</c:v>
                </c:pt>
                <c:pt idx="509">
                  <c:v>141</c:v>
                </c:pt>
                <c:pt idx="510">
                  <c:v>139</c:v>
                </c:pt>
                <c:pt idx="511">
                  <c:v>137</c:v>
                </c:pt>
                <c:pt idx="512">
                  <c:v>135</c:v>
                </c:pt>
                <c:pt idx="513">
                  <c:v>134</c:v>
                </c:pt>
                <c:pt idx="514">
                  <c:v>132</c:v>
                </c:pt>
                <c:pt idx="515">
                  <c:v>131</c:v>
                </c:pt>
                <c:pt idx="516">
                  <c:v>130</c:v>
                </c:pt>
                <c:pt idx="517">
                  <c:v>130</c:v>
                </c:pt>
                <c:pt idx="518">
                  <c:v>130</c:v>
                </c:pt>
                <c:pt idx="519">
                  <c:v>129</c:v>
                </c:pt>
                <c:pt idx="520">
                  <c:v>129</c:v>
                </c:pt>
                <c:pt idx="521">
                  <c:v>128</c:v>
                </c:pt>
                <c:pt idx="522">
                  <c:v>128</c:v>
                </c:pt>
              </c:numCache>
            </c:numRef>
          </c:yVal>
          <c:smooth val="1"/>
        </c:ser>
        <c:ser>
          <c:idx val="4"/>
          <c:order val="5"/>
          <c:tx>
            <c:v>Interval (03/03/02)</c:v>
          </c:tx>
          <c:spPr>
            <a:ln w="3175">
              <a:solidFill>
                <a:srgbClr val="800080"/>
              </a:solidFill>
              <a:prstDash val="solid"/>
            </a:ln>
          </c:spPr>
          <c:marker>
            <c:symbol val="star"/>
            <c:size val="2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Hartslagen!$B$2172:$B$2442</c:f>
              <c:numCache>
                <c:formatCode>h:mm:ss</c:formatCode>
                <c:ptCount val="271"/>
                <c:pt idx="0">
                  <c:v>0</c:v>
                </c:pt>
                <c:pt idx="1">
                  <c:v>5.7870370370370366E-5</c:v>
                </c:pt>
                <c:pt idx="2">
                  <c:v>1.15740740740741E-4</c:v>
                </c:pt>
                <c:pt idx="3">
                  <c:v>1.7361111111111101E-4</c:v>
                </c:pt>
                <c:pt idx="4">
                  <c:v>2.31481481481481E-4</c:v>
                </c:pt>
                <c:pt idx="5">
                  <c:v>2.89351851851852E-4</c:v>
                </c:pt>
                <c:pt idx="6">
                  <c:v>3.4722222222222202E-4</c:v>
                </c:pt>
                <c:pt idx="7">
                  <c:v>4.0509259259259301E-4</c:v>
                </c:pt>
                <c:pt idx="8">
                  <c:v>4.6296296296296298E-4</c:v>
                </c:pt>
                <c:pt idx="9">
                  <c:v>5.20833333333333E-4</c:v>
                </c:pt>
                <c:pt idx="10">
                  <c:v>5.78703703703704E-4</c:v>
                </c:pt>
                <c:pt idx="11">
                  <c:v>6.3657407407407402E-4</c:v>
                </c:pt>
                <c:pt idx="12">
                  <c:v>6.9444444444444404E-4</c:v>
                </c:pt>
                <c:pt idx="13">
                  <c:v>7.5231481481481503E-4</c:v>
                </c:pt>
                <c:pt idx="14">
                  <c:v>8.1018518518518505E-4</c:v>
                </c:pt>
                <c:pt idx="15">
                  <c:v>8.6805555555555605E-4</c:v>
                </c:pt>
                <c:pt idx="16">
                  <c:v>9.2592592592592596E-4</c:v>
                </c:pt>
                <c:pt idx="17">
                  <c:v>9.8379629629629598E-4</c:v>
                </c:pt>
                <c:pt idx="18">
                  <c:v>1.0416666666666699E-3</c:v>
                </c:pt>
                <c:pt idx="19">
                  <c:v>1.0995370370370399E-3</c:v>
                </c:pt>
                <c:pt idx="20">
                  <c:v>1.1574074074074099E-3</c:v>
                </c:pt>
                <c:pt idx="21">
                  <c:v>1.21527777777778E-3</c:v>
                </c:pt>
                <c:pt idx="22">
                  <c:v>1.27314814814815E-3</c:v>
                </c:pt>
                <c:pt idx="23">
                  <c:v>1.33101851851852E-3</c:v>
                </c:pt>
                <c:pt idx="24">
                  <c:v>1.38888888888889E-3</c:v>
                </c:pt>
                <c:pt idx="25">
                  <c:v>1.44675925925926E-3</c:v>
                </c:pt>
                <c:pt idx="26">
                  <c:v>1.5046296296296301E-3</c:v>
                </c:pt>
                <c:pt idx="27">
                  <c:v>1.5625000000000001E-3</c:v>
                </c:pt>
                <c:pt idx="28">
                  <c:v>1.6203703703703701E-3</c:v>
                </c:pt>
                <c:pt idx="29">
                  <c:v>1.6782407407407399E-3</c:v>
                </c:pt>
                <c:pt idx="30">
                  <c:v>1.7361111111111099E-3</c:v>
                </c:pt>
                <c:pt idx="31">
                  <c:v>1.79398148148148E-3</c:v>
                </c:pt>
                <c:pt idx="32">
                  <c:v>1.85185185185185E-3</c:v>
                </c:pt>
                <c:pt idx="33">
                  <c:v>1.90972222222222E-3</c:v>
                </c:pt>
                <c:pt idx="34">
                  <c:v>1.9675925925925898E-3</c:v>
                </c:pt>
                <c:pt idx="35">
                  <c:v>2.0254629629629598E-3</c:v>
                </c:pt>
                <c:pt idx="36">
                  <c:v>2.0833333333333298E-3</c:v>
                </c:pt>
                <c:pt idx="37">
                  <c:v>2.1412037037036999E-3</c:v>
                </c:pt>
                <c:pt idx="38">
                  <c:v>2.1990740740740699E-3</c:v>
                </c:pt>
                <c:pt idx="39">
                  <c:v>2.2569444444444399E-3</c:v>
                </c:pt>
                <c:pt idx="40">
                  <c:v>2.3148148148148099E-3</c:v>
                </c:pt>
                <c:pt idx="41">
                  <c:v>2.3726851851851899E-3</c:v>
                </c:pt>
                <c:pt idx="42">
                  <c:v>2.4305555555555599E-3</c:v>
                </c:pt>
                <c:pt idx="43">
                  <c:v>2.48842592592593E-3</c:v>
                </c:pt>
                <c:pt idx="44">
                  <c:v>2.5462962962963E-3</c:v>
                </c:pt>
                <c:pt idx="45">
                  <c:v>2.60416666666667E-3</c:v>
                </c:pt>
                <c:pt idx="46">
                  <c:v>2.66203703703704E-3</c:v>
                </c:pt>
                <c:pt idx="47">
                  <c:v>2.71990740740741E-3</c:v>
                </c:pt>
                <c:pt idx="48">
                  <c:v>2.7777777777777801E-3</c:v>
                </c:pt>
                <c:pt idx="49">
                  <c:v>2.8356481481481501E-3</c:v>
                </c:pt>
                <c:pt idx="50">
                  <c:v>2.8935185185185201E-3</c:v>
                </c:pt>
                <c:pt idx="51">
                  <c:v>2.9513888888888901E-3</c:v>
                </c:pt>
                <c:pt idx="52">
                  <c:v>3.0092592592592601E-3</c:v>
                </c:pt>
                <c:pt idx="53">
                  <c:v>3.0671296296296302E-3</c:v>
                </c:pt>
                <c:pt idx="54">
                  <c:v>3.1250000000000002E-3</c:v>
                </c:pt>
                <c:pt idx="55">
                  <c:v>3.1828703703703702E-3</c:v>
                </c:pt>
                <c:pt idx="56">
                  <c:v>3.2407407407407402E-3</c:v>
                </c:pt>
                <c:pt idx="57">
                  <c:v>3.2986111111111098E-3</c:v>
                </c:pt>
                <c:pt idx="58">
                  <c:v>3.3564814814814798E-3</c:v>
                </c:pt>
                <c:pt idx="59">
                  <c:v>3.4143518518518498E-3</c:v>
                </c:pt>
                <c:pt idx="60">
                  <c:v>3.4722222222222199E-3</c:v>
                </c:pt>
                <c:pt idx="61">
                  <c:v>3.5300925925925899E-3</c:v>
                </c:pt>
                <c:pt idx="62">
                  <c:v>3.5879629629629599E-3</c:v>
                </c:pt>
                <c:pt idx="63">
                  <c:v>3.6458333333333299E-3</c:v>
                </c:pt>
                <c:pt idx="64">
                  <c:v>3.7037037037036999E-3</c:v>
                </c:pt>
                <c:pt idx="65">
                  <c:v>3.76157407407407E-3</c:v>
                </c:pt>
                <c:pt idx="66">
                  <c:v>3.81944444444444E-3</c:v>
                </c:pt>
                <c:pt idx="67">
                  <c:v>3.87731481481481E-3</c:v>
                </c:pt>
                <c:pt idx="68">
                  <c:v>3.9351851851851796E-3</c:v>
                </c:pt>
                <c:pt idx="69">
                  <c:v>3.9930555555555596E-3</c:v>
                </c:pt>
                <c:pt idx="70">
                  <c:v>4.05092592592593E-3</c:v>
                </c:pt>
                <c:pt idx="71">
                  <c:v>4.1087962962962996E-3</c:v>
                </c:pt>
                <c:pt idx="72">
                  <c:v>4.1666666666666701E-3</c:v>
                </c:pt>
                <c:pt idx="73">
                  <c:v>4.2245370370370397E-3</c:v>
                </c:pt>
                <c:pt idx="74">
                  <c:v>4.2824074074074101E-3</c:v>
                </c:pt>
                <c:pt idx="75">
                  <c:v>4.3402777777777797E-3</c:v>
                </c:pt>
                <c:pt idx="76">
                  <c:v>4.3981481481481502E-3</c:v>
                </c:pt>
                <c:pt idx="77">
                  <c:v>4.4560185185185197E-3</c:v>
                </c:pt>
                <c:pt idx="78">
                  <c:v>4.5138888888888902E-3</c:v>
                </c:pt>
                <c:pt idx="79">
                  <c:v>4.5717592592592598E-3</c:v>
                </c:pt>
                <c:pt idx="80">
                  <c:v>4.6296296296296302E-3</c:v>
                </c:pt>
                <c:pt idx="81">
                  <c:v>4.6874999999999998E-3</c:v>
                </c:pt>
                <c:pt idx="82">
                  <c:v>4.7453703703703703E-3</c:v>
                </c:pt>
                <c:pt idx="83">
                  <c:v>4.8032407407407399E-3</c:v>
                </c:pt>
                <c:pt idx="84">
                  <c:v>4.8611111111111103E-3</c:v>
                </c:pt>
                <c:pt idx="85">
                  <c:v>4.9189814814814799E-3</c:v>
                </c:pt>
                <c:pt idx="86">
                  <c:v>4.9768518518518504E-3</c:v>
                </c:pt>
                <c:pt idx="87">
                  <c:v>5.0347222222222199E-3</c:v>
                </c:pt>
                <c:pt idx="88">
                  <c:v>5.0925925925925904E-3</c:v>
                </c:pt>
                <c:pt idx="89">
                  <c:v>5.15046296296296E-3</c:v>
                </c:pt>
                <c:pt idx="90">
                  <c:v>5.2083333333333296E-3</c:v>
                </c:pt>
                <c:pt idx="91">
                  <c:v>5.2662037037037E-3</c:v>
                </c:pt>
                <c:pt idx="92">
                  <c:v>5.3240740740740696E-3</c:v>
                </c:pt>
                <c:pt idx="93">
                  <c:v>5.3819444444444401E-3</c:v>
                </c:pt>
                <c:pt idx="94">
                  <c:v>5.4398148148148097E-3</c:v>
                </c:pt>
                <c:pt idx="95">
                  <c:v>5.4976851851851801E-3</c:v>
                </c:pt>
                <c:pt idx="96">
                  <c:v>5.5555555555555497E-3</c:v>
                </c:pt>
                <c:pt idx="97">
                  <c:v>5.6134259259259297E-3</c:v>
                </c:pt>
                <c:pt idx="98">
                  <c:v>5.6712962962963001E-3</c:v>
                </c:pt>
                <c:pt idx="99">
                  <c:v>5.7291666666666697E-3</c:v>
                </c:pt>
                <c:pt idx="100">
                  <c:v>5.7870370370370402E-3</c:v>
                </c:pt>
                <c:pt idx="101">
                  <c:v>5.8449074074074098E-3</c:v>
                </c:pt>
                <c:pt idx="102">
                  <c:v>5.9027777777777802E-3</c:v>
                </c:pt>
                <c:pt idx="103">
                  <c:v>5.9606481481481498E-3</c:v>
                </c:pt>
                <c:pt idx="104">
                  <c:v>6.0185185185185203E-3</c:v>
                </c:pt>
                <c:pt idx="105">
                  <c:v>6.0763888888888899E-3</c:v>
                </c:pt>
                <c:pt idx="106">
                  <c:v>6.1342592592592603E-3</c:v>
                </c:pt>
                <c:pt idx="107">
                  <c:v>6.1921296296296299E-3</c:v>
                </c:pt>
                <c:pt idx="108">
                  <c:v>6.2500000000000003E-3</c:v>
                </c:pt>
                <c:pt idx="109">
                  <c:v>6.3078703703703699E-3</c:v>
                </c:pt>
                <c:pt idx="110">
                  <c:v>6.3657407407407404E-3</c:v>
                </c:pt>
                <c:pt idx="111">
                  <c:v>6.42361111111111E-3</c:v>
                </c:pt>
                <c:pt idx="112">
                  <c:v>6.4814814814814804E-3</c:v>
                </c:pt>
                <c:pt idx="113">
                  <c:v>6.53935185185185E-3</c:v>
                </c:pt>
                <c:pt idx="114">
                  <c:v>6.5972222222222196E-3</c:v>
                </c:pt>
                <c:pt idx="115">
                  <c:v>6.6550925925925901E-3</c:v>
                </c:pt>
                <c:pt idx="116">
                  <c:v>6.7129629629629596E-3</c:v>
                </c:pt>
                <c:pt idx="117">
                  <c:v>6.7708333333333301E-3</c:v>
                </c:pt>
                <c:pt idx="118">
                  <c:v>6.8287037037036997E-3</c:v>
                </c:pt>
                <c:pt idx="119">
                  <c:v>6.8865740740740701E-3</c:v>
                </c:pt>
                <c:pt idx="120">
                  <c:v>6.9444444444444397E-3</c:v>
                </c:pt>
                <c:pt idx="121">
                  <c:v>7.0023148148148102E-3</c:v>
                </c:pt>
                <c:pt idx="122">
                  <c:v>7.0601851851851798E-3</c:v>
                </c:pt>
                <c:pt idx="123">
                  <c:v>7.1180555555555598E-3</c:v>
                </c:pt>
                <c:pt idx="124">
                  <c:v>7.1759259259259302E-3</c:v>
                </c:pt>
                <c:pt idx="125">
                  <c:v>7.2337962962962998E-3</c:v>
                </c:pt>
                <c:pt idx="126">
                  <c:v>7.2916666666666703E-3</c:v>
                </c:pt>
                <c:pt idx="127">
                  <c:v>7.3495370370370398E-3</c:v>
                </c:pt>
                <c:pt idx="128">
                  <c:v>7.4074074074074103E-3</c:v>
                </c:pt>
                <c:pt idx="129">
                  <c:v>7.4652777777777799E-3</c:v>
                </c:pt>
                <c:pt idx="130">
                  <c:v>7.5231481481481503E-3</c:v>
                </c:pt>
                <c:pt idx="131">
                  <c:v>7.5810185185185199E-3</c:v>
                </c:pt>
                <c:pt idx="132">
                  <c:v>7.6388888888888904E-3</c:v>
                </c:pt>
                <c:pt idx="133">
                  <c:v>7.69675925925926E-3</c:v>
                </c:pt>
                <c:pt idx="134">
                  <c:v>7.7546296296296304E-3</c:v>
                </c:pt>
                <c:pt idx="135">
                  <c:v>7.8125E-3</c:v>
                </c:pt>
                <c:pt idx="136">
                  <c:v>7.8703703703703696E-3</c:v>
                </c:pt>
                <c:pt idx="137">
                  <c:v>7.9282407407407392E-3</c:v>
                </c:pt>
                <c:pt idx="138">
                  <c:v>7.9861111111111105E-3</c:v>
                </c:pt>
                <c:pt idx="139">
                  <c:v>8.0439814814814801E-3</c:v>
                </c:pt>
                <c:pt idx="140">
                  <c:v>8.1018518518518497E-3</c:v>
                </c:pt>
                <c:pt idx="141">
                  <c:v>8.1597222222222193E-3</c:v>
                </c:pt>
                <c:pt idx="142">
                  <c:v>8.2175925925925906E-3</c:v>
                </c:pt>
                <c:pt idx="143">
                  <c:v>8.2754629629629602E-3</c:v>
                </c:pt>
                <c:pt idx="144">
                  <c:v>8.3333333333333297E-3</c:v>
                </c:pt>
                <c:pt idx="145">
                  <c:v>8.3912037037036993E-3</c:v>
                </c:pt>
                <c:pt idx="146">
                  <c:v>8.4490740740740707E-3</c:v>
                </c:pt>
                <c:pt idx="147">
                  <c:v>8.5069444444444402E-3</c:v>
                </c:pt>
                <c:pt idx="148">
                  <c:v>8.5648148148148098E-3</c:v>
                </c:pt>
                <c:pt idx="149">
                  <c:v>8.6226851851851794E-3</c:v>
                </c:pt>
                <c:pt idx="150">
                  <c:v>8.6805555555555507E-3</c:v>
                </c:pt>
                <c:pt idx="151">
                  <c:v>8.7384259259259307E-3</c:v>
                </c:pt>
                <c:pt idx="152">
                  <c:v>8.7962962962963003E-3</c:v>
                </c:pt>
                <c:pt idx="153">
                  <c:v>8.8541666666666699E-3</c:v>
                </c:pt>
                <c:pt idx="154">
                  <c:v>8.9120370370370395E-3</c:v>
                </c:pt>
                <c:pt idx="155">
                  <c:v>8.9699074074074108E-3</c:v>
                </c:pt>
                <c:pt idx="156">
                  <c:v>9.0277777777777804E-3</c:v>
                </c:pt>
                <c:pt idx="157">
                  <c:v>9.08564814814815E-3</c:v>
                </c:pt>
                <c:pt idx="158">
                  <c:v>9.1435185185185196E-3</c:v>
                </c:pt>
                <c:pt idx="159">
                  <c:v>9.2013888888888892E-3</c:v>
                </c:pt>
                <c:pt idx="160">
                  <c:v>9.2592592592592605E-3</c:v>
                </c:pt>
                <c:pt idx="161">
                  <c:v>9.3171296296296301E-3</c:v>
                </c:pt>
                <c:pt idx="162">
                  <c:v>9.3749999999999997E-3</c:v>
                </c:pt>
                <c:pt idx="163">
                  <c:v>9.4328703703703692E-3</c:v>
                </c:pt>
                <c:pt idx="164">
                  <c:v>9.4907407407407406E-3</c:v>
                </c:pt>
                <c:pt idx="165">
                  <c:v>9.5486111111111101E-3</c:v>
                </c:pt>
                <c:pt idx="166">
                  <c:v>9.6064814814814797E-3</c:v>
                </c:pt>
                <c:pt idx="167">
                  <c:v>9.6643518518518493E-3</c:v>
                </c:pt>
                <c:pt idx="168">
                  <c:v>9.7222222222222206E-3</c:v>
                </c:pt>
                <c:pt idx="169">
                  <c:v>9.7800925925925902E-3</c:v>
                </c:pt>
                <c:pt idx="170">
                  <c:v>9.8379629629629598E-3</c:v>
                </c:pt>
                <c:pt idx="171">
                  <c:v>9.8958333333333294E-3</c:v>
                </c:pt>
                <c:pt idx="172">
                  <c:v>9.9537037037037007E-3</c:v>
                </c:pt>
                <c:pt idx="173">
                  <c:v>1.00115740740741E-2</c:v>
                </c:pt>
                <c:pt idx="174">
                  <c:v>1.00694444444444E-2</c:v>
                </c:pt>
                <c:pt idx="175">
                  <c:v>1.0127314814814801E-2</c:v>
                </c:pt>
                <c:pt idx="176">
                  <c:v>1.01851851851852E-2</c:v>
                </c:pt>
                <c:pt idx="177">
                  <c:v>1.0243055555555601E-2</c:v>
                </c:pt>
                <c:pt idx="178">
                  <c:v>1.0300925925925899E-2</c:v>
                </c:pt>
                <c:pt idx="179">
                  <c:v>1.03587962962963E-2</c:v>
                </c:pt>
                <c:pt idx="180">
                  <c:v>1.0416666666666701E-2</c:v>
                </c:pt>
                <c:pt idx="181">
                  <c:v>1.0474537037036999E-2</c:v>
                </c:pt>
                <c:pt idx="182">
                  <c:v>1.05324074074074E-2</c:v>
                </c:pt>
                <c:pt idx="183">
                  <c:v>1.0590277777777799E-2</c:v>
                </c:pt>
                <c:pt idx="184">
                  <c:v>1.0648148148148099E-2</c:v>
                </c:pt>
                <c:pt idx="185">
                  <c:v>1.07060185185185E-2</c:v>
                </c:pt>
                <c:pt idx="186">
                  <c:v>1.0763888888888899E-2</c:v>
                </c:pt>
                <c:pt idx="187">
                  <c:v>1.08217592592593E-2</c:v>
                </c:pt>
                <c:pt idx="188">
                  <c:v>1.08796296296296E-2</c:v>
                </c:pt>
                <c:pt idx="189">
                  <c:v>1.0937499999999999E-2</c:v>
                </c:pt>
                <c:pt idx="190">
                  <c:v>1.09953703703704E-2</c:v>
                </c:pt>
                <c:pt idx="191">
                  <c:v>1.10532407407407E-2</c:v>
                </c:pt>
                <c:pt idx="192">
                  <c:v>1.1111111111111099E-2</c:v>
                </c:pt>
                <c:pt idx="193">
                  <c:v>1.11689814814815E-2</c:v>
                </c:pt>
                <c:pt idx="194">
                  <c:v>1.1226851851851899E-2</c:v>
                </c:pt>
                <c:pt idx="195">
                  <c:v>1.1284722222222199E-2</c:v>
                </c:pt>
                <c:pt idx="196">
                  <c:v>1.13425925925926E-2</c:v>
                </c:pt>
                <c:pt idx="197">
                  <c:v>1.1400462962962999E-2</c:v>
                </c:pt>
                <c:pt idx="198">
                  <c:v>1.14583333333333E-2</c:v>
                </c:pt>
                <c:pt idx="199">
                  <c:v>1.15162037037037E-2</c:v>
                </c:pt>
                <c:pt idx="200">
                  <c:v>1.1574074074074099E-2</c:v>
                </c:pt>
                <c:pt idx="201">
                  <c:v>1.16319444444444E-2</c:v>
                </c:pt>
                <c:pt idx="202">
                  <c:v>1.16898148148148E-2</c:v>
                </c:pt>
                <c:pt idx="203">
                  <c:v>1.17476851851852E-2</c:v>
                </c:pt>
                <c:pt idx="204">
                  <c:v>1.18055555555556E-2</c:v>
                </c:pt>
                <c:pt idx="205">
                  <c:v>1.1863425925925901E-2</c:v>
                </c:pt>
                <c:pt idx="206">
                  <c:v>1.19212962962963E-2</c:v>
                </c:pt>
                <c:pt idx="207">
                  <c:v>1.19791666666667E-2</c:v>
                </c:pt>
                <c:pt idx="208">
                  <c:v>1.2037037037037001E-2</c:v>
                </c:pt>
                <c:pt idx="209">
                  <c:v>1.20949074074074E-2</c:v>
                </c:pt>
                <c:pt idx="210">
                  <c:v>1.2152777777777801E-2</c:v>
                </c:pt>
                <c:pt idx="211">
                  <c:v>1.2210648148148101E-2</c:v>
                </c:pt>
                <c:pt idx="212">
                  <c:v>1.22685185185185E-2</c:v>
                </c:pt>
                <c:pt idx="213">
                  <c:v>1.2326388888888901E-2</c:v>
                </c:pt>
                <c:pt idx="214">
                  <c:v>1.23842592592593E-2</c:v>
                </c:pt>
                <c:pt idx="215">
                  <c:v>1.24421296296296E-2</c:v>
                </c:pt>
                <c:pt idx="216">
                  <c:v>1.2500000000000001E-2</c:v>
                </c:pt>
                <c:pt idx="217">
                  <c:v>1.25578703703704E-2</c:v>
                </c:pt>
                <c:pt idx="218">
                  <c:v>1.26157407407407E-2</c:v>
                </c:pt>
                <c:pt idx="219">
                  <c:v>1.2673611111111101E-2</c:v>
                </c:pt>
                <c:pt idx="220">
                  <c:v>1.27314814814815E-2</c:v>
                </c:pt>
                <c:pt idx="221">
                  <c:v>1.2789351851851901E-2</c:v>
                </c:pt>
                <c:pt idx="222">
                  <c:v>1.2847222222222201E-2</c:v>
                </c:pt>
                <c:pt idx="223">
                  <c:v>1.29050925925926E-2</c:v>
                </c:pt>
                <c:pt idx="224">
                  <c:v>1.2962962962963001E-2</c:v>
                </c:pt>
                <c:pt idx="225">
                  <c:v>1.3020833333333299E-2</c:v>
                </c:pt>
                <c:pt idx="226">
                  <c:v>1.30787037037037E-2</c:v>
                </c:pt>
                <c:pt idx="227">
                  <c:v>1.3136574074074101E-2</c:v>
                </c:pt>
                <c:pt idx="228">
                  <c:v>1.3194444444444399E-2</c:v>
                </c:pt>
                <c:pt idx="229">
                  <c:v>1.32523148148148E-2</c:v>
                </c:pt>
                <c:pt idx="230">
                  <c:v>1.3310185185185199E-2</c:v>
                </c:pt>
                <c:pt idx="231">
                  <c:v>1.33680555555556E-2</c:v>
                </c:pt>
                <c:pt idx="232">
                  <c:v>1.34259259259259E-2</c:v>
                </c:pt>
                <c:pt idx="233">
                  <c:v>1.3483796296296299E-2</c:v>
                </c:pt>
                <c:pt idx="234">
                  <c:v>1.35416666666667E-2</c:v>
                </c:pt>
                <c:pt idx="235">
                  <c:v>1.3599537037037E-2</c:v>
                </c:pt>
                <c:pt idx="236">
                  <c:v>1.3657407407407399E-2</c:v>
                </c:pt>
                <c:pt idx="237">
                  <c:v>1.37152777777778E-2</c:v>
                </c:pt>
                <c:pt idx="238">
                  <c:v>1.37731481481481E-2</c:v>
                </c:pt>
                <c:pt idx="239">
                  <c:v>1.3831018518518499E-2</c:v>
                </c:pt>
                <c:pt idx="240">
                  <c:v>1.38888888888889E-2</c:v>
                </c:pt>
                <c:pt idx="241">
                  <c:v>1.3946759259259299E-2</c:v>
                </c:pt>
                <c:pt idx="242">
                  <c:v>1.40046296296296E-2</c:v>
                </c:pt>
                <c:pt idx="243">
                  <c:v>1.40625E-2</c:v>
                </c:pt>
                <c:pt idx="244">
                  <c:v>1.4120370370370399E-2</c:v>
                </c:pt>
                <c:pt idx="245">
                  <c:v>1.41782407407407E-2</c:v>
                </c:pt>
                <c:pt idx="246">
                  <c:v>1.42361111111111E-2</c:v>
                </c:pt>
                <c:pt idx="247">
                  <c:v>1.42939814814815E-2</c:v>
                </c:pt>
                <c:pt idx="248">
                  <c:v>1.43518518518519E-2</c:v>
                </c:pt>
                <c:pt idx="249">
                  <c:v>1.4409722222222201E-2</c:v>
                </c:pt>
                <c:pt idx="250">
                  <c:v>1.44675925925926E-2</c:v>
                </c:pt>
                <c:pt idx="251">
                  <c:v>1.4525462962963E-2</c:v>
                </c:pt>
                <c:pt idx="252">
                  <c:v>1.4583333333333301E-2</c:v>
                </c:pt>
                <c:pt idx="253">
                  <c:v>1.46412037037037E-2</c:v>
                </c:pt>
                <c:pt idx="254">
                  <c:v>1.46990740740741E-2</c:v>
                </c:pt>
                <c:pt idx="255">
                  <c:v>1.4756944444444401E-2</c:v>
                </c:pt>
                <c:pt idx="256">
                  <c:v>1.48148148148148E-2</c:v>
                </c:pt>
                <c:pt idx="257">
                  <c:v>1.4872685185185201E-2</c:v>
                </c:pt>
                <c:pt idx="258">
                  <c:v>1.49305555555556E-2</c:v>
                </c:pt>
                <c:pt idx="259">
                  <c:v>1.49884259259259E-2</c:v>
                </c:pt>
                <c:pt idx="260">
                  <c:v>1.5046296296296301E-2</c:v>
                </c:pt>
                <c:pt idx="261">
                  <c:v>1.51041666666667E-2</c:v>
                </c:pt>
                <c:pt idx="262">
                  <c:v>1.5162037037037E-2</c:v>
                </c:pt>
                <c:pt idx="263">
                  <c:v>1.5219907407407401E-2</c:v>
                </c:pt>
                <c:pt idx="264">
                  <c:v>1.52777777777778E-2</c:v>
                </c:pt>
                <c:pt idx="265">
                  <c:v>1.53356481481481E-2</c:v>
                </c:pt>
                <c:pt idx="266">
                  <c:v>1.5393518518518501E-2</c:v>
                </c:pt>
                <c:pt idx="267">
                  <c:v>1.54513888888889E-2</c:v>
                </c:pt>
                <c:pt idx="268">
                  <c:v>1.5509259259259301E-2</c:v>
                </c:pt>
                <c:pt idx="269">
                  <c:v>1.5567129629629599E-2</c:v>
                </c:pt>
                <c:pt idx="270">
                  <c:v>1.5625E-2</c:v>
                </c:pt>
              </c:numCache>
            </c:numRef>
          </c:xVal>
          <c:yVal>
            <c:numRef>
              <c:f>Hartslagen!$C$2172:$C$2442</c:f>
              <c:numCache>
                <c:formatCode>General</c:formatCode>
                <c:ptCount val="271"/>
                <c:pt idx="0">
                  <c:v>109</c:v>
                </c:pt>
                <c:pt idx="1">
                  <c:v>109</c:v>
                </c:pt>
                <c:pt idx="2">
                  <c:v>123</c:v>
                </c:pt>
                <c:pt idx="3">
                  <c:v>132</c:v>
                </c:pt>
                <c:pt idx="4">
                  <c:v>151</c:v>
                </c:pt>
                <c:pt idx="5">
                  <c:v>155</c:v>
                </c:pt>
                <c:pt idx="6">
                  <c:v>157</c:v>
                </c:pt>
                <c:pt idx="7">
                  <c:v>157</c:v>
                </c:pt>
                <c:pt idx="8">
                  <c:v>159</c:v>
                </c:pt>
                <c:pt idx="9">
                  <c:v>160</c:v>
                </c:pt>
                <c:pt idx="10">
                  <c:v>162</c:v>
                </c:pt>
                <c:pt idx="11">
                  <c:v>163</c:v>
                </c:pt>
                <c:pt idx="12">
                  <c:v>165</c:v>
                </c:pt>
                <c:pt idx="13">
                  <c:v>166</c:v>
                </c:pt>
                <c:pt idx="14">
                  <c:v>166</c:v>
                </c:pt>
                <c:pt idx="15">
                  <c:v>167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168</c:v>
                </c:pt>
                <c:pt idx="20">
                  <c:v>167</c:v>
                </c:pt>
                <c:pt idx="21">
                  <c:v>167</c:v>
                </c:pt>
                <c:pt idx="22">
                  <c:v>164</c:v>
                </c:pt>
                <c:pt idx="23">
                  <c:v>159</c:v>
                </c:pt>
                <c:pt idx="24">
                  <c:v>156</c:v>
                </c:pt>
                <c:pt idx="25">
                  <c:v>149</c:v>
                </c:pt>
                <c:pt idx="26">
                  <c:v>148</c:v>
                </c:pt>
                <c:pt idx="27">
                  <c:v>150</c:v>
                </c:pt>
                <c:pt idx="28">
                  <c:v>151</c:v>
                </c:pt>
                <c:pt idx="29">
                  <c:v>152</c:v>
                </c:pt>
                <c:pt idx="30">
                  <c:v>158</c:v>
                </c:pt>
                <c:pt idx="31">
                  <c:v>159</c:v>
                </c:pt>
                <c:pt idx="32">
                  <c:v>160</c:v>
                </c:pt>
                <c:pt idx="33">
                  <c:v>162</c:v>
                </c:pt>
                <c:pt idx="34">
                  <c:v>163</c:v>
                </c:pt>
                <c:pt idx="35">
                  <c:v>164</c:v>
                </c:pt>
                <c:pt idx="36">
                  <c:v>165</c:v>
                </c:pt>
                <c:pt idx="37">
                  <c:v>165</c:v>
                </c:pt>
                <c:pt idx="38">
                  <c:v>166</c:v>
                </c:pt>
                <c:pt idx="39">
                  <c:v>167</c:v>
                </c:pt>
                <c:pt idx="40">
                  <c:v>168</c:v>
                </c:pt>
                <c:pt idx="41">
                  <c:v>168</c:v>
                </c:pt>
                <c:pt idx="42">
                  <c:v>170</c:v>
                </c:pt>
                <c:pt idx="43">
                  <c:v>170</c:v>
                </c:pt>
                <c:pt idx="44">
                  <c:v>167</c:v>
                </c:pt>
                <c:pt idx="45">
                  <c:v>170</c:v>
                </c:pt>
                <c:pt idx="46">
                  <c:v>169</c:v>
                </c:pt>
                <c:pt idx="47">
                  <c:v>166</c:v>
                </c:pt>
                <c:pt idx="48">
                  <c:v>160</c:v>
                </c:pt>
                <c:pt idx="49">
                  <c:v>157</c:v>
                </c:pt>
                <c:pt idx="50">
                  <c:v>153</c:v>
                </c:pt>
                <c:pt idx="51">
                  <c:v>152</c:v>
                </c:pt>
                <c:pt idx="52">
                  <c:v>153</c:v>
                </c:pt>
                <c:pt idx="53">
                  <c:v>155</c:v>
                </c:pt>
                <c:pt idx="54">
                  <c:v>157</c:v>
                </c:pt>
                <c:pt idx="55">
                  <c:v>159</c:v>
                </c:pt>
                <c:pt idx="56">
                  <c:v>161</c:v>
                </c:pt>
                <c:pt idx="57">
                  <c:v>162</c:v>
                </c:pt>
                <c:pt idx="58">
                  <c:v>162</c:v>
                </c:pt>
                <c:pt idx="59">
                  <c:v>169</c:v>
                </c:pt>
                <c:pt idx="60">
                  <c:v>170</c:v>
                </c:pt>
                <c:pt idx="61">
                  <c:v>171</c:v>
                </c:pt>
                <c:pt idx="62">
                  <c:v>172</c:v>
                </c:pt>
                <c:pt idx="63">
                  <c:v>173</c:v>
                </c:pt>
                <c:pt idx="64">
                  <c:v>174</c:v>
                </c:pt>
                <c:pt idx="65">
                  <c:v>175</c:v>
                </c:pt>
                <c:pt idx="66">
                  <c:v>176</c:v>
                </c:pt>
                <c:pt idx="67">
                  <c:v>176</c:v>
                </c:pt>
                <c:pt idx="68">
                  <c:v>175</c:v>
                </c:pt>
                <c:pt idx="69">
                  <c:v>175</c:v>
                </c:pt>
                <c:pt idx="70">
                  <c:v>175</c:v>
                </c:pt>
                <c:pt idx="71">
                  <c:v>173</c:v>
                </c:pt>
                <c:pt idx="72">
                  <c:v>171</c:v>
                </c:pt>
                <c:pt idx="73">
                  <c:v>168</c:v>
                </c:pt>
                <c:pt idx="74">
                  <c:v>165</c:v>
                </c:pt>
                <c:pt idx="75">
                  <c:v>159</c:v>
                </c:pt>
                <c:pt idx="76">
                  <c:v>158</c:v>
                </c:pt>
                <c:pt idx="77">
                  <c:v>157</c:v>
                </c:pt>
                <c:pt idx="78">
                  <c:v>157</c:v>
                </c:pt>
                <c:pt idx="79">
                  <c:v>157</c:v>
                </c:pt>
                <c:pt idx="80">
                  <c:v>157</c:v>
                </c:pt>
                <c:pt idx="81">
                  <c:v>161</c:v>
                </c:pt>
                <c:pt idx="82">
                  <c:v>165</c:v>
                </c:pt>
                <c:pt idx="83">
                  <c:v>167</c:v>
                </c:pt>
                <c:pt idx="84">
                  <c:v>169</c:v>
                </c:pt>
                <c:pt idx="85">
                  <c:v>172</c:v>
                </c:pt>
                <c:pt idx="86">
                  <c:v>172</c:v>
                </c:pt>
                <c:pt idx="87">
                  <c:v>172</c:v>
                </c:pt>
                <c:pt idx="88">
                  <c:v>171</c:v>
                </c:pt>
                <c:pt idx="89">
                  <c:v>171</c:v>
                </c:pt>
                <c:pt idx="90">
                  <c:v>170</c:v>
                </c:pt>
                <c:pt idx="91">
                  <c:v>172</c:v>
                </c:pt>
                <c:pt idx="92">
                  <c:v>174</c:v>
                </c:pt>
                <c:pt idx="93">
                  <c:v>175</c:v>
                </c:pt>
                <c:pt idx="94">
                  <c:v>175</c:v>
                </c:pt>
                <c:pt idx="95">
                  <c:v>177</c:v>
                </c:pt>
                <c:pt idx="96">
                  <c:v>175</c:v>
                </c:pt>
                <c:pt idx="97">
                  <c:v>172</c:v>
                </c:pt>
                <c:pt idx="98">
                  <c:v>169</c:v>
                </c:pt>
                <c:pt idx="99">
                  <c:v>167</c:v>
                </c:pt>
                <c:pt idx="100">
                  <c:v>160</c:v>
                </c:pt>
                <c:pt idx="101">
                  <c:v>157</c:v>
                </c:pt>
                <c:pt idx="102">
                  <c:v>158</c:v>
                </c:pt>
                <c:pt idx="103">
                  <c:v>159</c:v>
                </c:pt>
                <c:pt idx="104">
                  <c:v>161</c:v>
                </c:pt>
                <c:pt idx="105">
                  <c:v>163</c:v>
                </c:pt>
                <c:pt idx="106">
                  <c:v>166</c:v>
                </c:pt>
                <c:pt idx="107">
                  <c:v>168</c:v>
                </c:pt>
                <c:pt idx="108">
                  <c:v>169</c:v>
                </c:pt>
                <c:pt idx="109">
                  <c:v>172</c:v>
                </c:pt>
                <c:pt idx="110">
                  <c:v>172</c:v>
                </c:pt>
                <c:pt idx="111">
                  <c:v>174</c:v>
                </c:pt>
                <c:pt idx="112">
                  <c:v>176</c:v>
                </c:pt>
                <c:pt idx="113">
                  <c:v>176</c:v>
                </c:pt>
                <c:pt idx="114">
                  <c:v>177</c:v>
                </c:pt>
                <c:pt idx="115">
                  <c:v>177</c:v>
                </c:pt>
                <c:pt idx="116">
                  <c:v>178</c:v>
                </c:pt>
                <c:pt idx="117">
                  <c:v>179</c:v>
                </c:pt>
                <c:pt idx="118">
                  <c:v>179</c:v>
                </c:pt>
                <c:pt idx="119">
                  <c:v>179</c:v>
                </c:pt>
                <c:pt idx="120">
                  <c:v>177</c:v>
                </c:pt>
                <c:pt idx="121">
                  <c:v>177</c:v>
                </c:pt>
                <c:pt idx="122">
                  <c:v>177</c:v>
                </c:pt>
                <c:pt idx="123">
                  <c:v>172</c:v>
                </c:pt>
                <c:pt idx="124">
                  <c:v>169</c:v>
                </c:pt>
                <c:pt idx="125">
                  <c:v>166</c:v>
                </c:pt>
                <c:pt idx="126">
                  <c:v>164</c:v>
                </c:pt>
                <c:pt idx="127">
                  <c:v>162</c:v>
                </c:pt>
                <c:pt idx="128">
                  <c:v>161</c:v>
                </c:pt>
                <c:pt idx="129">
                  <c:v>162</c:v>
                </c:pt>
                <c:pt idx="130">
                  <c:v>164</c:v>
                </c:pt>
                <c:pt idx="131">
                  <c:v>167</c:v>
                </c:pt>
                <c:pt idx="132">
                  <c:v>170</c:v>
                </c:pt>
                <c:pt idx="133">
                  <c:v>173</c:v>
                </c:pt>
                <c:pt idx="134">
                  <c:v>173</c:v>
                </c:pt>
                <c:pt idx="135">
                  <c:v>174</c:v>
                </c:pt>
                <c:pt idx="136">
                  <c:v>174</c:v>
                </c:pt>
                <c:pt idx="137">
                  <c:v>174</c:v>
                </c:pt>
                <c:pt idx="138">
                  <c:v>174</c:v>
                </c:pt>
                <c:pt idx="139">
                  <c:v>176</c:v>
                </c:pt>
                <c:pt idx="140">
                  <c:v>177</c:v>
                </c:pt>
                <c:pt idx="141">
                  <c:v>178</c:v>
                </c:pt>
                <c:pt idx="142">
                  <c:v>178</c:v>
                </c:pt>
                <c:pt idx="143">
                  <c:v>178</c:v>
                </c:pt>
                <c:pt idx="144">
                  <c:v>178</c:v>
                </c:pt>
                <c:pt idx="145">
                  <c:v>178</c:v>
                </c:pt>
                <c:pt idx="146">
                  <c:v>178</c:v>
                </c:pt>
                <c:pt idx="147">
                  <c:v>173</c:v>
                </c:pt>
                <c:pt idx="148">
                  <c:v>170</c:v>
                </c:pt>
                <c:pt idx="149">
                  <c:v>167</c:v>
                </c:pt>
                <c:pt idx="150">
                  <c:v>165</c:v>
                </c:pt>
                <c:pt idx="151">
                  <c:v>162</c:v>
                </c:pt>
                <c:pt idx="152">
                  <c:v>161</c:v>
                </c:pt>
                <c:pt idx="153">
                  <c:v>162</c:v>
                </c:pt>
                <c:pt idx="154">
                  <c:v>164</c:v>
                </c:pt>
                <c:pt idx="155">
                  <c:v>164</c:v>
                </c:pt>
                <c:pt idx="156">
                  <c:v>166</c:v>
                </c:pt>
                <c:pt idx="157">
                  <c:v>166</c:v>
                </c:pt>
                <c:pt idx="158">
                  <c:v>169</c:v>
                </c:pt>
                <c:pt idx="159">
                  <c:v>170</c:v>
                </c:pt>
                <c:pt idx="160">
                  <c:v>170</c:v>
                </c:pt>
                <c:pt idx="161">
                  <c:v>173</c:v>
                </c:pt>
                <c:pt idx="162">
                  <c:v>175</c:v>
                </c:pt>
                <c:pt idx="163">
                  <c:v>176</c:v>
                </c:pt>
                <c:pt idx="164">
                  <c:v>177</c:v>
                </c:pt>
                <c:pt idx="165">
                  <c:v>178</c:v>
                </c:pt>
                <c:pt idx="166">
                  <c:v>179</c:v>
                </c:pt>
                <c:pt idx="167">
                  <c:v>179</c:v>
                </c:pt>
                <c:pt idx="168">
                  <c:v>179</c:v>
                </c:pt>
                <c:pt idx="169">
                  <c:v>180</c:v>
                </c:pt>
                <c:pt idx="170">
                  <c:v>176</c:v>
                </c:pt>
                <c:pt idx="171">
                  <c:v>178</c:v>
                </c:pt>
                <c:pt idx="172">
                  <c:v>176</c:v>
                </c:pt>
                <c:pt idx="173">
                  <c:v>173</c:v>
                </c:pt>
                <c:pt idx="174">
                  <c:v>171</c:v>
                </c:pt>
                <c:pt idx="175">
                  <c:v>168</c:v>
                </c:pt>
                <c:pt idx="176">
                  <c:v>163</c:v>
                </c:pt>
                <c:pt idx="177">
                  <c:v>161</c:v>
                </c:pt>
                <c:pt idx="178">
                  <c:v>160</c:v>
                </c:pt>
                <c:pt idx="179">
                  <c:v>160</c:v>
                </c:pt>
                <c:pt idx="180">
                  <c:v>164</c:v>
                </c:pt>
                <c:pt idx="181">
                  <c:v>168</c:v>
                </c:pt>
                <c:pt idx="182">
                  <c:v>169</c:v>
                </c:pt>
                <c:pt idx="183">
                  <c:v>171</c:v>
                </c:pt>
                <c:pt idx="184">
                  <c:v>172</c:v>
                </c:pt>
                <c:pt idx="185">
                  <c:v>172</c:v>
                </c:pt>
                <c:pt idx="186">
                  <c:v>173</c:v>
                </c:pt>
                <c:pt idx="187">
                  <c:v>174</c:v>
                </c:pt>
                <c:pt idx="188">
                  <c:v>175</c:v>
                </c:pt>
                <c:pt idx="189">
                  <c:v>174</c:v>
                </c:pt>
                <c:pt idx="190">
                  <c:v>175</c:v>
                </c:pt>
                <c:pt idx="191">
                  <c:v>177</c:v>
                </c:pt>
                <c:pt idx="192">
                  <c:v>178</c:v>
                </c:pt>
                <c:pt idx="193">
                  <c:v>178</c:v>
                </c:pt>
                <c:pt idx="194">
                  <c:v>177</c:v>
                </c:pt>
                <c:pt idx="195">
                  <c:v>177</c:v>
                </c:pt>
                <c:pt idx="196">
                  <c:v>177</c:v>
                </c:pt>
                <c:pt idx="197">
                  <c:v>175</c:v>
                </c:pt>
                <c:pt idx="198">
                  <c:v>172</c:v>
                </c:pt>
                <c:pt idx="199">
                  <c:v>170</c:v>
                </c:pt>
                <c:pt idx="200">
                  <c:v>166</c:v>
                </c:pt>
                <c:pt idx="201">
                  <c:v>161</c:v>
                </c:pt>
                <c:pt idx="202">
                  <c:v>160</c:v>
                </c:pt>
                <c:pt idx="203">
                  <c:v>160</c:v>
                </c:pt>
                <c:pt idx="204">
                  <c:v>161</c:v>
                </c:pt>
                <c:pt idx="205">
                  <c:v>163</c:v>
                </c:pt>
                <c:pt idx="206">
                  <c:v>165</c:v>
                </c:pt>
                <c:pt idx="207">
                  <c:v>164</c:v>
                </c:pt>
                <c:pt idx="208">
                  <c:v>164</c:v>
                </c:pt>
                <c:pt idx="209">
                  <c:v>166</c:v>
                </c:pt>
                <c:pt idx="210">
                  <c:v>167</c:v>
                </c:pt>
                <c:pt idx="211">
                  <c:v>166</c:v>
                </c:pt>
                <c:pt idx="212">
                  <c:v>168</c:v>
                </c:pt>
                <c:pt idx="213">
                  <c:v>172</c:v>
                </c:pt>
                <c:pt idx="214">
                  <c:v>174</c:v>
                </c:pt>
                <c:pt idx="215">
                  <c:v>177</c:v>
                </c:pt>
                <c:pt idx="216">
                  <c:v>179</c:v>
                </c:pt>
                <c:pt idx="217">
                  <c:v>180</c:v>
                </c:pt>
                <c:pt idx="218">
                  <c:v>179</c:v>
                </c:pt>
                <c:pt idx="219">
                  <c:v>179</c:v>
                </c:pt>
                <c:pt idx="220">
                  <c:v>178</c:v>
                </c:pt>
                <c:pt idx="221">
                  <c:v>178</c:v>
                </c:pt>
                <c:pt idx="222">
                  <c:v>178</c:v>
                </c:pt>
                <c:pt idx="223">
                  <c:v>176</c:v>
                </c:pt>
                <c:pt idx="224">
                  <c:v>174</c:v>
                </c:pt>
                <c:pt idx="225">
                  <c:v>171</c:v>
                </c:pt>
                <c:pt idx="226">
                  <c:v>166</c:v>
                </c:pt>
                <c:pt idx="227">
                  <c:v>164</c:v>
                </c:pt>
                <c:pt idx="228">
                  <c:v>162</c:v>
                </c:pt>
                <c:pt idx="229">
                  <c:v>162</c:v>
                </c:pt>
                <c:pt idx="230">
                  <c:v>166</c:v>
                </c:pt>
                <c:pt idx="231">
                  <c:v>168</c:v>
                </c:pt>
                <c:pt idx="232">
                  <c:v>172</c:v>
                </c:pt>
                <c:pt idx="233">
                  <c:v>177</c:v>
                </c:pt>
                <c:pt idx="234">
                  <c:v>181</c:v>
                </c:pt>
                <c:pt idx="235">
                  <c:v>184</c:v>
                </c:pt>
                <c:pt idx="236">
                  <c:v>185</c:v>
                </c:pt>
                <c:pt idx="237">
                  <c:v>187</c:v>
                </c:pt>
                <c:pt idx="238">
                  <c:v>189</c:v>
                </c:pt>
                <c:pt idx="239">
                  <c:v>190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193</c:v>
                </c:pt>
                <c:pt idx="244">
                  <c:v>192</c:v>
                </c:pt>
                <c:pt idx="245">
                  <c:v>190</c:v>
                </c:pt>
                <c:pt idx="246">
                  <c:v>188</c:v>
                </c:pt>
                <c:pt idx="247">
                  <c:v>183</c:v>
                </c:pt>
                <c:pt idx="248">
                  <c:v>179</c:v>
                </c:pt>
                <c:pt idx="249">
                  <c:v>176</c:v>
                </c:pt>
                <c:pt idx="250">
                  <c:v>173</c:v>
                </c:pt>
                <c:pt idx="251">
                  <c:v>170</c:v>
                </c:pt>
                <c:pt idx="252">
                  <c:v>165</c:v>
                </c:pt>
                <c:pt idx="253">
                  <c:v>158</c:v>
                </c:pt>
                <c:pt idx="254">
                  <c:v>153</c:v>
                </c:pt>
                <c:pt idx="255">
                  <c:v>150</c:v>
                </c:pt>
                <c:pt idx="256">
                  <c:v>149</c:v>
                </c:pt>
                <c:pt idx="257">
                  <c:v>147</c:v>
                </c:pt>
                <c:pt idx="258">
                  <c:v>145</c:v>
                </c:pt>
                <c:pt idx="259">
                  <c:v>144</c:v>
                </c:pt>
                <c:pt idx="260">
                  <c:v>143</c:v>
                </c:pt>
                <c:pt idx="261">
                  <c:v>141</c:v>
                </c:pt>
                <c:pt idx="262">
                  <c:v>139</c:v>
                </c:pt>
                <c:pt idx="263">
                  <c:v>137</c:v>
                </c:pt>
                <c:pt idx="264">
                  <c:v>135</c:v>
                </c:pt>
                <c:pt idx="265">
                  <c:v>133</c:v>
                </c:pt>
                <c:pt idx="266">
                  <c:v>132</c:v>
                </c:pt>
                <c:pt idx="267">
                  <c:v>133</c:v>
                </c:pt>
                <c:pt idx="268">
                  <c:v>132</c:v>
                </c:pt>
                <c:pt idx="269">
                  <c:v>129</c:v>
                </c:pt>
                <c:pt idx="270">
                  <c:v>129</c:v>
                </c:pt>
              </c:numCache>
            </c:numRef>
          </c:yVal>
          <c:smooth val="1"/>
        </c:ser>
        <c:ser>
          <c:idx val="5"/>
          <c:order val="6"/>
          <c:tx>
            <c:v>Jogging Schoorhei (01/06/01)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8000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Hartslagen!$B$1025:$B$1074</c:f>
              <c:numCache>
                <c:formatCode>h:mm:ss</c:formatCode>
                <c:ptCount val="50"/>
                <c:pt idx="0">
                  <c:v>0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2.0833333333333333E-3</c:v>
                </c:pt>
                <c:pt idx="4">
                  <c:v>2.7777777777777779E-3</c:v>
                </c:pt>
                <c:pt idx="5">
                  <c:v>3.472222222222222E-3</c:v>
                </c:pt>
                <c:pt idx="6">
                  <c:v>4.1666666666666666E-3</c:v>
                </c:pt>
                <c:pt idx="7">
                  <c:v>4.8611111111111112E-3</c:v>
                </c:pt>
                <c:pt idx="8">
                  <c:v>5.5555555555555558E-3</c:v>
                </c:pt>
                <c:pt idx="9">
                  <c:v>6.2500000000000003E-3</c:v>
                </c:pt>
                <c:pt idx="10">
                  <c:v>6.9444444444444441E-3</c:v>
                </c:pt>
                <c:pt idx="11">
                  <c:v>7.6388888888888886E-3</c:v>
                </c:pt>
                <c:pt idx="12">
                  <c:v>8.3333333333333332E-3</c:v>
                </c:pt>
                <c:pt idx="13">
                  <c:v>9.0277777777777769E-3</c:v>
                </c:pt>
                <c:pt idx="14">
                  <c:v>9.7222222222222224E-3</c:v>
                </c:pt>
                <c:pt idx="15">
                  <c:v>1.0416666666666666E-2</c:v>
                </c:pt>
                <c:pt idx="16">
                  <c:v>1.1111111111111112E-2</c:v>
                </c:pt>
                <c:pt idx="17">
                  <c:v>1.1805555555555555E-2</c:v>
                </c:pt>
                <c:pt idx="18">
                  <c:v>1.2500000000000001E-2</c:v>
                </c:pt>
                <c:pt idx="19">
                  <c:v>1.3194444444444444E-2</c:v>
                </c:pt>
                <c:pt idx="20">
                  <c:v>1.3888888888888888E-2</c:v>
                </c:pt>
                <c:pt idx="21">
                  <c:v>1.4583333333333334E-2</c:v>
                </c:pt>
                <c:pt idx="22">
                  <c:v>1.5277777777777777E-2</c:v>
                </c:pt>
                <c:pt idx="23">
                  <c:v>1.5972222222222221E-2</c:v>
                </c:pt>
                <c:pt idx="24">
                  <c:v>1.6666666666666666E-2</c:v>
                </c:pt>
                <c:pt idx="25">
                  <c:v>1.7361111111111112E-2</c:v>
                </c:pt>
                <c:pt idx="26">
                  <c:v>1.8055555555555554E-2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2.5694444444444499E-2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2.8472222222222301E-2</c:v>
                </c:pt>
                <c:pt idx="42">
                  <c:v>2.9166666666666698E-2</c:v>
                </c:pt>
                <c:pt idx="43">
                  <c:v>2.9861111111111199E-2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3.2638888888888801E-2</c:v>
                </c:pt>
                <c:pt idx="48">
                  <c:v>3.3333333333333201E-2</c:v>
                </c:pt>
                <c:pt idx="49">
                  <c:v>3.4027777777777601E-2</c:v>
                </c:pt>
              </c:numCache>
            </c:numRef>
          </c:xVal>
          <c:yVal>
            <c:numRef>
              <c:f>Hartslagen!$C$1025:$C$1074</c:f>
              <c:numCache>
                <c:formatCode>General</c:formatCode>
                <c:ptCount val="50"/>
                <c:pt idx="0">
                  <c:v>83</c:v>
                </c:pt>
                <c:pt idx="1">
                  <c:v>159</c:v>
                </c:pt>
                <c:pt idx="2">
                  <c:v>167</c:v>
                </c:pt>
                <c:pt idx="3">
                  <c:v>168</c:v>
                </c:pt>
                <c:pt idx="4">
                  <c:v>171</c:v>
                </c:pt>
                <c:pt idx="5">
                  <c:v>170</c:v>
                </c:pt>
                <c:pt idx="6">
                  <c:v>173</c:v>
                </c:pt>
                <c:pt idx="7">
                  <c:v>172</c:v>
                </c:pt>
                <c:pt idx="8">
                  <c:v>172</c:v>
                </c:pt>
                <c:pt idx="9">
                  <c:v>174</c:v>
                </c:pt>
                <c:pt idx="10">
                  <c:v>175</c:v>
                </c:pt>
                <c:pt idx="11">
                  <c:v>174</c:v>
                </c:pt>
                <c:pt idx="12">
                  <c:v>175</c:v>
                </c:pt>
                <c:pt idx="13">
                  <c:v>176</c:v>
                </c:pt>
                <c:pt idx="14">
                  <c:v>178</c:v>
                </c:pt>
                <c:pt idx="15">
                  <c:v>177</c:v>
                </c:pt>
                <c:pt idx="16">
                  <c:v>178</c:v>
                </c:pt>
                <c:pt idx="17">
                  <c:v>177</c:v>
                </c:pt>
                <c:pt idx="18">
                  <c:v>176</c:v>
                </c:pt>
                <c:pt idx="19">
                  <c:v>175</c:v>
                </c:pt>
                <c:pt idx="20">
                  <c:v>177</c:v>
                </c:pt>
                <c:pt idx="21">
                  <c:v>175</c:v>
                </c:pt>
                <c:pt idx="22">
                  <c:v>178</c:v>
                </c:pt>
                <c:pt idx="23">
                  <c:v>175</c:v>
                </c:pt>
                <c:pt idx="24">
                  <c:v>174</c:v>
                </c:pt>
                <c:pt idx="25">
                  <c:v>175</c:v>
                </c:pt>
                <c:pt idx="26">
                  <c:v>178</c:v>
                </c:pt>
                <c:pt idx="27">
                  <c:v>179</c:v>
                </c:pt>
                <c:pt idx="28">
                  <c:v>177</c:v>
                </c:pt>
                <c:pt idx="29">
                  <c:v>179</c:v>
                </c:pt>
                <c:pt idx="30">
                  <c:v>180</c:v>
                </c:pt>
                <c:pt idx="31">
                  <c:v>179</c:v>
                </c:pt>
                <c:pt idx="32">
                  <c:v>178</c:v>
                </c:pt>
                <c:pt idx="33">
                  <c:v>180</c:v>
                </c:pt>
                <c:pt idx="34">
                  <c:v>181</c:v>
                </c:pt>
                <c:pt idx="35">
                  <c:v>180</c:v>
                </c:pt>
                <c:pt idx="36">
                  <c:v>182</c:v>
                </c:pt>
                <c:pt idx="37">
                  <c:v>181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184</c:v>
                </c:pt>
                <c:pt idx="44">
                  <c:v>184</c:v>
                </c:pt>
                <c:pt idx="45">
                  <c:v>184</c:v>
                </c:pt>
                <c:pt idx="46">
                  <c:v>183</c:v>
                </c:pt>
                <c:pt idx="47">
                  <c:v>185</c:v>
                </c:pt>
                <c:pt idx="48">
                  <c:v>187</c:v>
                </c:pt>
                <c:pt idx="49">
                  <c:v>185</c:v>
                </c:pt>
              </c:numCache>
            </c:numRef>
          </c:yVal>
          <c:smooth val="1"/>
        </c:ser>
        <c:ser>
          <c:idx val="6"/>
          <c:order val="7"/>
          <c:tx>
            <c:v>Conconi</c:v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2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7"/>
          <c:order val="8"/>
          <c:tx>
            <c:v>Test 6km (12/03/2002)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Hartslagen!$B$2443:$B$2468</c:f>
              <c:numCache>
                <c:formatCode>h:mm:ss</c:formatCode>
                <c:ptCount val="26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1.7361111111111199E-2</c:v>
                </c:pt>
              </c:numCache>
            </c:numRef>
          </c:xVal>
          <c:yVal>
            <c:numRef>
              <c:f>Hartslagen!$C$2443:$C$2468</c:f>
              <c:numCache>
                <c:formatCode>General</c:formatCode>
                <c:ptCount val="26"/>
                <c:pt idx="0">
                  <c:v>123</c:v>
                </c:pt>
                <c:pt idx="1">
                  <c:v>153</c:v>
                </c:pt>
                <c:pt idx="2">
                  <c:v>158</c:v>
                </c:pt>
                <c:pt idx="3">
                  <c:v>158</c:v>
                </c:pt>
                <c:pt idx="4">
                  <c:v>167</c:v>
                </c:pt>
                <c:pt idx="5">
                  <c:v>173</c:v>
                </c:pt>
                <c:pt idx="6">
                  <c:v>174</c:v>
                </c:pt>
                <c:pt idx="7">
                  <c:v>175</c:v>
                </c:pt>
                <c:pt idx="8">
                  <c:v>174</c:v>
                </c:pt>
                <c:pt idx="9">
                  <c:v>176</c:v>
                </c:pt>
                <c:pt idx="10">
                  <c:v>175</c:v>
                </c:pt>
                <c:pt idx="11">
                  <c:v>175</c:v>
                </c:pt>
                <c:pt idx="12">
                  <c:v>176</c:v>
                </c:pt>
                <c:pt idx="13">
                  <c:v>176</c:v>
                </c:pt>
                <c:pt idx="14">
                  <c:v>179</c:v>
                </c:pt>
                <c:pt idx="15">
                  <c:v>180</c:v>
                </c:pt>
                <c:pt idx="16">
                  <c:v>178</c:v>
                </c:pt>
                <c:pt idx="17">
                  <c:v>180</c:v>
                </c:pt>
                <c:pt idx="18">
                  <c:v>178</c:v>
                </c:pt>
                <c:pt idx="19">
                  <c:v>181</c:v>
                </c:pt>
                <c:pt idx="20">
                  <c:v>180</c:v>
                </c:pt>
                <c:pt idx="21">
                  <c:v>183</c:v>
                </c:pt>
                <c:pt idx="22">
                  <c:v>183</c:v>
                </c:pt>
                <c:pt idx="23">
                  <c:v>185</c:v>
                </c:pt>
                <c:pt idx="24">
                  <c:v>186</c:v>
                </c:pt>
                <c:pt idx="25">
                  <c:v>187</c:v>
                </c:pt>
              </c:numCache>
            </c:numRef>
          </c:yVal>
          <c:smooth val="1"/>
        </c:ser>
        <c:ser>
          <c:idx val="8"/>
          <c:order val="9"/>
          <c:tx>
            <c:v>20/03/2002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Hartslagen!$B$2520:$B$2553</c:f>
              <c:numCache>
                <c:formatCode>h:mm:ss</c:formatCode>
                <c:ptCount val="34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</c:numCache>
            </c:numRef>
          </c:xVal>
          <c:yVal>
            <c:numRef>
              <c:f>Hartslagen!$C$2520:$C$2553</c:f>
              <c:numCache>
                <c:formatCode>General</c:formatCode>
                <c:ptCount val="34"/>
                <c:pt idx="0">
                  <c:v>136</c:v>
                </c:pt>
                <c:pt idx="1">
                  <c:v>152</c:v>
                </c:pt>
                <c:pt idx="2">
                  <c:v>156</c:v>
                </c:pt>
                <c:pt idx="3">
                  <c:v>161</c:v>
                </c:pt>
                <c:pt idx="4">
                  <c:v>165</c:v>
                </c:pt>
                <c:pt idx="5">
                  <c:v>168</c:v>
                </c:pt>
                <c:pt idx="6">
                  <c:v>168</c:v>
                </c:pt>
                <c:pt idx="7">
                  <c:v>168</c:v>
                </c:pt>
                <c:pt idx="8">
                  <c:v>170</c:v>
                </c:pt>
                <c:pt idx="9">
                  <c:v>171</c:v>
                </c:pt>
                <c:pt idx="10">
                  <c:v>174</c:v>
                </c:pt>
                <c:pt idx="11">
                  <c:v>171</c:v>
                </c:pt>
                <c:pt idx="12">
                  <c:v>171</c:v>
                </c:pt>
                <c:pt idx="13">
                  <c:v>171</c:v>
                </c:pt>
                <c:pt idx="14">
                  <c:v>174</c:v>
                </c:pt>
                <c:pt idx="15">
                  <c:v>171</c:v>
                </c:pt>
                <c:pt idx="16">
                  <c:v>174</c:v>
                </c:pt>
                <c:pt idx="17">
                  <c:v>179</c:v>
                </c:pt>
                <c:pt idx="18">
                  <c:v>176</c:v>
                </c:pt>
                <c:pt idx="19">
                  <c:v>170</c:v>
                </c:pt>
                <c:pt idx="20">
                  <c:v>174</c:v>
                </c:pt>
                <c:pt idx="21">
                  <c:v>177</c:v>
                </c:pt>
                <c:pt idx="22">
                  <c:v>179</c:v>
                </c:pt>
                <c:pt idx="23">
                  <c:v>179</c:v>
                </c:pt>
                <c:pt idx="24">
                  <c:v>178</c:v>
                </c:pt>
                <c:pt idx="25">
                  <c:v>172</c:v>
                </c:pt>
                <c:pt idx="26">
                  <c:v>175</c:v>
                </c:pt>
                <c:pt idx="27">
                  <c:v>177</c:v>
                </c:pt>
                <c:pt idx="28">
                  <c:v>179</c:v>
                </c:pt>
                <c:pt idx="29">
                  <c:v>178</c:v>
                </c:pt>
                <c:pt idx="30">
                  <c:v>175</c:v>
                </c:pt>
                <c:pt idx="31">
                  <c:v>173</c:v>
                </c:pt>
                <c:pt idx="32">
                  <c:v>164</c:v>
                </c:pt>
                <c:pt idx="33">
                  <c:v>165</c:v>
                </c:pt>
              </c:numCache>
            </c:numRef>
          </c:yVal>
          <c:smooth val="1"/>
        </c:ser>
        <c:ser>
          <c:idx val="10"/>
          <c:order val="10"/>
          <c:tx>
            <c:v>Test 6 km (22/02/2002)</c:v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CCFFCC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Hartslagen!$B$2554:$B$2578</c:f>
              <c:numCache>
                <c:formatCode>h:mm:ss</c:formatCode>
                <c:ptCount val="25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</c:numCache>
            </c:numRef>
          </c:xVal>
          <c:yVal>
            <c:numRef>
              <c:f>Hartslagen!$C$2554:$C$2578</c:f>
              <c:numCache>
                <c:formatCode>General</c:formatCode>
                <c:ptCount val="25"/>
                <c:pt idx="0">
                  <c:v>120</c:v>
                </c:pt>
                <c:pt idx="1">
                  <c:v>153</c:v>
                </c:pt>
                <c:pt idx="2">
                  <c:v>160</c:v>
                </c:pt>
                <c:pt idx="3">
                  <c:v>163</c:v>
                </c:pt>
                <c:pt idx="4">
                  <c:v>167</c:v>
                </c:pt>
                <c:pt idx="5">
                  <c:v>169</c:v>
                </c:pt>
                <c:pt idx="6">
                  <c:v>170</c:v>
                </c:pt>
                <c:pt idx="7">
                  <c:v>171</c:v>
                </c:pt>
                <c:pt idx="8">
                  <c:v>169</c:v>
                </c:pt>
                <c:pt idx="9">
                  <c:v>173</c:v>
                </c:pt>
                <c:pt idx="10">
                  <c:v>171</c:v>
                </c:pt>
                <c:pt idx="11">
                  <c:v>172</c:v>
                </c:pt>
                <c:pt idx="12">
                  <c:v>173</c:v>
                </c:pt>
                <c:pt idx="13">
                  <c:v>175</c:v>
                </c:pt>
                <c:pt idx="14">
                  <c:v>177</c:v>
                </c:pt>
                <c:pt idx="15">
                  <c:v>178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179</c:v>
                </c:pt>
                <c:pt idx="20">
                  <c:v>177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</c:numCache>
            </c:numRef>
          </c:yVal>
          <c:smooth val="1"/>
        </c:ser>
        <c:ser>
          <c:idx val="11"/>
          <c:order val="11"/>
          <c:tx>
            <c:v>Paasjogging (01/04/2002)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FFFF99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Hartslagen!$B$2579:$B$2767</c:f>
              <c:numCache>
                <c:formatCode>h:mm:ss</c:formatCode>
                <c:ptCount val="18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</c:numCache>
            </c:numRef>
          </c:xVal>
          <c:yVal>
            <c:numRef>
              <c:f>Hartslagen!$C$2579:$C$2767</c:f>
              <c:numCache>
                <c:formatCode>General</c:formatCode>
                <c:ptCount val="189"/>
                <c:pt idx="0">
                  <c:v>113</c:v>
                </c:pt>
                <c:pt idx="1">
                  <c:v>135</c:v>
                </c:pt>
                <c:pt idx="2">
                  <c:v>150</c:v>
                </c:pt>
                <c:pt idx="3">
                  <c:v>151</c:v>
                </c:pt>
                <c:pt idx="4">
                  <c:v>151</c:v>
                </c:pt>
                <c:pt idx="5">
                  <c:v>151</c:v>
                </c:pt>
                <c:pt idx="6">
                  <c:v>159</c:v>
                </c:pt>
                <c:pt idx="7">
                  <c:v>160</c:v>
                </c:pt>
                <c:pt idx="8">
                  <c:v>162</c:v>
                </c:pt>
                <c:pt idx="9">
                  <c:v>165</c:v>
                </c:pt>
                <c:pt idx="10">
                  <c:v>165</c:v>
                </c:pt>
                <c:pt idx="11">
                  <c:v>163</c:v>
                </c:pt>
                <c:pt idx="12">
                  <c:v>164</c:v>
                </c:pt>
                <c:pt idx="13">
                  <c:v>167</c:v>
                </c:pt>
                <c:pt idx="14">
                  <c:v>169</c:v>
                </c:pt>
                <c:pt idx="15">
                  <c:v>169</c:v>
                </c:pt>
                <c:pt idx="16">
                  <c:v>169</c:v>
                </c:pt>
                <c:pt idx="17">
                  <c:v>169</c:v>
                </c:pt>
                <c:pt idx="18">
                  <c:v>172</c:v>
                </c:pt>
                <c:pt idx="19">
                  <c:v>171</c:v>
                </c:pt>
                <c:pt idx="20">
                  <c:v>172</c:v>
                </c:pt>
                <c:pt idx="21">
                  <c:v>172</c:v>
                </c:pt>
                <c:pt idx="22">
                  <c:v>171</c:v>
                </c:pt>
                <c:pt idx="23">
                  <c:v>173</c:v>
                </c:pt>
                <c:pt idx="24">
                  <c:v>173</c:v>
                </c:pt>
                <c:pt idx="25">
                  <c:v>175</c:v>
                </c:pt>
                <c:pt idx="26">
                  <c:v>174</c:v>
                </c:pt>
                <c:pt idx="27">
                  <c:v>174</c:v>
                </c:pt>
                <c:pt idx="28">
                  <c:v>170</c:v>
                </c:pt>
                <c:pt idx="29">
                  <c:v>172</c:v>
                </c:pt>
                <c:pt idx="30">
                  <c:v>176</c:v>
                </c:pt>
                <c:pt idx="31">
                  <c:v>175</c:v>
                </c:pt>
                <c:pt idx="32">
                  <c:v>176</c:v>
                </c:pt>
                <c:pt idx="33">
                  <c:v>176</c:v>
                </c:pt>
                <c:pt idx="34">
                  <c:v>176</c:v>
                </c:pt>
                <c:pt idx="35">
                  <c:v>176</c:v>
                </c:pt>
                <c:pt idx="36">
                  <c:v>174</c:v>
                </c:pt>
                <c:pt idx="37">
                  <c:v>174</c:v>
                </c:pt>
                <c:pt idx="38">
                  <c:v>176</c:v>
                </c:pt>
                <c:pt idx="39">
                  <c:v>175</c:v>
                </c:pt>
                <c:pt idx="40">
                  <c:v>176</c:v>
                </c:pt>
                <c:pt idx="41">
                  <c:v>176</c:v>
                </c:pt>
                <c:pt idx="42">
                  <c:v>174</c:v>
                </c:pt>
                <c:pt idx="43">
                  <c:v>175</c:v>
                </c:pt>
                <c:pt idx="44">
                  <c:v>175</c:v>
                </c:pt>
                <c:pt idx="45">
                  <c:v>173</c:v>
                </c:pt>
                <c:pt idx="46">
                  <c:v>173</c:v>
                </c:pt>
                <c:pt idx="47">
                  <c:v>173</c:v>
                </c:pt>
                <c:pt idx="48">
                  <c:v>174</c:v>
                </c:pt>
                <c:pt idx="49">
                  <c:v>174</c:v>
                </c:pt>
                <c:pt idx="50">
                  <c:v>174</c:v>
                </c:pt>
                <c:pt idx="51">
                  <c:v>174</c:v>
                </c:pt>
                <c:pt idx="52">
                  <c:v>173</c:v>
                </c:pt>
                <c:pt idx="53">
                  <c:v>173</c:v>
                </c:pt>
                <c:pt idx="54">
                  <c:v>175</c:v>
                </c:pt>
                <c:pt idx="55">
                  <c:v>175</c:v>
                </c:pt>
                <c:pt idx="56">
                  <c:v>173</c:v>
                </c:pt>
                <c:pt idx="57">
                  <c:v>176</c:v>
                </c:pt>
                <c:pt idx="58">
                  <c:v>176</c:v>
                </c:pt>
                <c:pt idx="59">
                  <c:v>178</c:v>
                </c:pt>
                <c:pt idx="60">
                  <c:v>177</c:v>
                </c:pt>
                <c:pt idx="61">
                  <c:v>178</c:v>
                </c:pt>
                <c:pt idx="62">
                  <c:v>178</c:v>
                </c:pt>
                <c:pt idx="63">
                  <c:v>177</c:v>
                </c:pt>
                <c:pt idx="64">
                  <c:v>179</c:v>
                </c:pt>
                <c:pt idx="65">
                  <c:v>181</c:v>
                </c:pt>
                <c:pt idx="66">
                  <c:v>181</c:v>
                </c:pt>
                <c:pt idx="67">
                  <c:v>178</c:v>
                </c:pt>
                <c:pt idx="68">
                  <c:v>177</c:v>
                </c:pt>
                <c:pt idx="69">
                  <c:v>178</c:v>
                </c:pt>
                <c:pt idx="70">
                  <c:v>178</c:v>
                </c:pt>
                <c:pt idx="71">
                  <c:v>178</c:v>
                </c:pt>
                <c:pt idx="72">
                  <c:v>178</c:v>
                </c:pt>
                <c:pt idx="73">
                  <c:v>178</c:v>
                </c:pt>
                <c:pt idx="74">
                  <c:v>178</c:v>
                </c:pt>
                <c:pt idx="75">
                  <c:v>178</c:v>
                </c:pt>
                <c:pt idx="76">
                  <c:v>179</c:v>
                </c:pt>
                <c:pt idx="77">
                  <c:v>179</c:v>
                </c:pt>
                <c:pt idx="78">
                  <c:v>178</c:v>
                </c:pt>
                <c:pt idx="79">
                  <c:v>178</c:v>
                </c:pt>
                <c:pt idx="80">
                  <c:v>178</c:v>
                </c:pt>
                <c:pt idx="81">
                  <c:v>177</c:v>
                </c:pt>
                <c:pt idx="82">
                  <c:v>176</c:v>
                </c:pt>
                <c:pt idx="83">
                  <c:v>177</c:v>
                </c:pt>
                <c:pt idx="84">
                  <c:v>177</c:v>
                </c:pt>
                <c:pt idx="85">
                  <c:v>177</c:v>
                </c:pt>
                <c:pt idx="86">
                  <c:v>177</c:v>
                </c:pt>
                <c:pt idx="87">
                  <c:v>178</c:v>
                </c:pt>
                <c:pt idx="88">
                  <c:v>177</c:v>
                </c:pt>
                <c:pt idx="89">
                  <c:v>177</c:v>
                </c:pt>
                <c:pt idx="90">
                  <c:v>179</c:v>
                </c:pt>
                <c:pt idx="91">
                  <c:v>178</c:v>
                </c:pt>
                <c:pt idx="92">
                  <c:v>179</c:v>
                </c:pt>
                <c:pt idx="93">
                  <c:v>179</c:v>
                </c:pt>
                <c:pt idx="94">
                  <c:v>177</c:v>
                </c:pt>
                <c:pt idx="95">
                  <c:v>176</c:v>
                </c:pt>
                <c:pt idx="96">
                  <c:v>176</c:v>
                </c:pt>
                <c:pt idx="97">
                  <c:v>177</c:v>
                </c:pt>
                <c:pt idx="98">
                  <c:v>178</c:v>
                </c:pt>
                <c:pt idx="99">
                  <c:v>179</c:v>
                </c:pt>
                <c:pt idx="100">
                  <c:v>180</c:v>
                </c:pt>
                <c:pt idx="101">
                  <c:v>180</c:v>
                </c:pt>
                <c:pt idx="102">
                  <c:v>179</c:v>
                </c:pt>
                <c:pt idx="103">
                  <c:v>178</c:v>
                </c:pt>
                <c:pt idx="104">
                  <c:v>179</c:v>
                </c:pt>
                <c:pt idx="105">
                  <c:v>179</c:v>
                </c:pt>
                <c:pt idx="106">
                  <c:v>179</c:v>
                </c:pt>
                <c:pt idx="107">
                  <c:v>177</c:v>
                </c:pt>
                <c:pt idx="108">
                  <c:v>178</c:v>
                </c:pt>
                <c:pt idx="109">
                  <c:v>179</c:v>
                </c:pt>
                <c:pt idx="110">
                  <c:v>178</c:v>
                </c:pt>
                <c:pt idx="111">
                  <c:v>179</c:v>
                </c:pt>
                <c:pt idx="112">
                  <c:v>178</c:v>
                </c:pt>
                <c:pt idx="113">
                  <c:v>179</c:v>
                </c:pt>
                <c:pt idx="114">
                  <c:v>180</c:v>
                </c:pt>
                <c:pt idx="115">
                  <c:v>179</c:v>
                </c:pt>
                <c:pt idx="116">
                  <c:v>179</c:v>
                </c:pt>
                <c:pt idx="117">
                  <c:v>178</c:v>
                </c:pt>
                <c:pt idx="118">
                  <c:v>178</c:v>
                </c:pt>
                <c:pt idx="119">
                  <c:v>179</c:v>
                </c:pt>
                <c:pt idx="120">
                  <c:v>179</c:v>
                </c:pt>
                <c:pt idx="121">
                  <c:v>179</c:v>
                </c:pt>
                <c:pt idx="122">
                  <c:v>181</c:v>
                </c:pt>
                <c:pt idx="123">
                  <c:v>179</c:v>
                </c:pt>
                <c:pt idx="124">
                  <c:v>180</c:v>
                </c:pt>
                <c:pt idx="125">
                  <c:v>181</c:v>
                </c:pt>
                <c:pt idx="126">
                  <c:v>182</c:v>
                </c:pt>
                <c:pt idx="127">
                  <c:v>181</c:v>
                </c:pt>
                <c:pt idx="128">
                  <c:v>180</c:v>
                </c:pt>
                <c:pt idx="129">
                  <c:v>181</c:v>
                </c:pt>
                <c:pt idx="130">
                  <c:v>180</c:v>
                </c:pt>
                <c:pt idx="131">
                  <c:v>180</c:v>
                </c:pt>
                <c:pt idx="132">
                  <c:v>181</c:v>
                </c:pt>
                <c:pt idx="133">
                  <c:v>181</c:v>
                </c:pt>
                <c:pt idx="134">
                  <c:v>180</c:v>
                </c:pt>
                <c:pt idx="135">
                  <c:v>180</c:v>
                </c:pt>
                <c:pt idx="136">
                  <c:v>181</c:v>
                </c:pt>
                <c:pt idx="137">
                  <c:v>182</c:v>
                </c:pt>
                <c:pt idx="138">
                  <c:v>180</c:v>
                </c:pt>
                <c:pt idx="139">
                  <c:v>180</c:v>
                </c:pt>
                <c:pt idx="140">
                  <c:v>182</c:v>
                </c:pt>
                <c:pt idx="141">
                  <c:v>183</c:v>
                </c:pt>
                <c:pt idx="142">
                  <c:v>182</c:v>
                </c:pt>
                <c:pt idx="143">
                  <c:v>181</c:v>
                </c:pt>
                <c:pt idx="144">
                  <c:v>180</c:v>
                </c:pt>
                <c:pt idx="145">
                  <c:v>182</c:v>
                </c:pt>
                <c:pt idx="146">
                  <c:v>184</c:v>
                </c:pt>
                <c:pt idx="147">
                  <c:v>184</c:v>
                </c:pt>
                <c:pt idx="148">
                  <c:v>184</c:v>
                </c:pt>
                <c:pt idx="149">
                  <c:v>182</c:v>
                </c:pt>
                <c:pt idx="150">
                  <c:v>183</c:v>
                </c:pt>
                <c:pt idx="151">
                  <c:v>183</c:v>
                </c:pt>
                <c:pt idx="152">
                  <c:v>184</c:v>
                </c:pt>
                <c:pt idx="153">
                  <c:v>183</c:v>
                </c:pt>
                <c:pt idx="154">
                  <c:v>183</c:v>
                </c:pt>
                <c:pt idx="155">
                  <c:v>185</c:v>
                </c:pt>
                <c:pt idx="156">
                  <c:v>186</c:v>
                </c:pt>
                <c:pt idx="157">
                  <c:v>183</c:v>
                </c:pt>
                <c:pt idx="158">
                  <c:v>186</c:v>
                </c:pt>
                <c:pt idx="159">
                  <c:v>185</c:v>
                </c:pt>
                <c:pt idx="160">
                  <c:v>186</c:v>
                </c:pt>
                <c:pt idx="161">
                  <c:v>184</c:v>
                </c:pt>
                <c:pt idx="162">
                  <c:v>185</c:v>
                </c:pt>
                <c:pt idx="163">
                  <c:v>187</c:v>
                </c:pt>
                <c:pt idx="164">
                  <c:v>187</c:v>
                </c:pt>
                <c:pt idx="165">
                  <c:v>186</c:v>
                </c:pt>
                <c:pt idx="166">
                  <c:v>186</c:v>
                </c:pt>
                <c:pt idx="167">
                  <c:v>186</c:v>
                </c:pt>
                <c:pt idx="168">
                  <c:v>188</c:v>
                </c:pt>
                <c:pt idx="169">
                  <c:v>189</c:v>
                </c:pt>
                <c:pt idx="170">
                  <c:v>186</c:v>
                </c:pt>
                <c:pt idx="171">
                  <c:v>187</c:v>
                </c:pt>
                <c:pt idx="172">
                  <c:v>187</c:v>
                </c:pt>
                <c:pt idx="173">
                  <c:v>187</c:v>
                </c:pt>
                <c:pt idx="174">
                  <c:v>188</c:v>
                </c:pt>
                <c:pt idx="175">
                  <c:v>187</c:v>
                </c:pt>
                <c:pt idx="176">
                  <c:v>187</c:v>
                </c:pt>
                <c:pt idx="177">
                  <c:v>188</c:v>
                </c:pt>
                <c:pt idx="178">
                  <c:v>188</c:v>
                </c:pt>
                <c:pt idx="179">
                  <c:v>188</c:v>
                </c:pt>
                <c:pt idx="180">
                  <c:v>187</c:v>
                </c:pt>
                <c:pt idx="181">
                  <c:v>187</c:v>
                </c:pt>
                <c:pt idx="182">
                  <c:v>188</c:v>
                </c:pt>
                <c:pt idx="183">
                  <c:v>188</c:v>
                </c:pt>
                <c:pt idx="184">
                  <c:v>189</c:v>
                </c:pt>
                <c:pt idx="185">
                  <c:v>188</c:v>
                </c:pt>
                <c:pt idx="186">
                  <c:v>188</c:v>
                </c:pt>
                <c:pt idx="187">
                  <c:v>189</c:v>
                </c:pt>
                <c:pt idx="188">
                  <c:v>189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Hartslagen!$A$2768</c:f>
              <c:strCache>
                <c:ptCount val="1"/>
                <c:pt idx="0">
                  <c:v>vr 05/04/2002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2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Hartslagen!$B$2768:$B$2969</c:f>
              <c:numCache>
                <c:formatCode>h:mm:ss</c:formatCode>
                <c:ptCount val="202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2.1006944444444401E-2</c:v>
                </c:pt>
                <c:pt idx="121">
                  <c:v>2.1180555555555598E-2</c:v>
                </c:pt>
                <c:pt idx="122">
                  <c:v>2.1354166666666698E-2</c:v>
                </c:pt>
                <c:pt idx="123">
                  <c:v>2.1527777777777798E-2</c:v>
                </c:pt>
                <c:pt idx="124">
                  <c:v>2.1701388888888899E-2</c:v>
                </c:pt>
                <c:pt idx="125">
                  <c:v>2.1874999999999999E-2</c:v>
                </c:pt>
                <c:pt idx="126">
                  <c:v>2.2048611111111099E-2</c:v>
                </c:pt>
                <c:pt idx="127">
                  <c:v>2.2222222222222199E-2</c:v>
                </c:pt>
                <c:pt idx="128">
                  <c:v>2.2395833333333299E-2</c:v>
                </c:pt>
                <c:pt idx="129">
                  <c:v>2.2569444444444399E-2</c:v>
                </c:pt>
                <c:pt idx="130">
                  <c:v>2.27430555555556E-2</c:v>
                </c:pt>
                <c:pt idx="131">
                  <c:v>2.29166666666667E-2</c:v>
                </c:pt>
                <c:pt idx="132">
                  <c:v>2.30902777777778E-2</c:v>
                </c:pt>
                <c:pt idx="133">
                  <c:v>2.32638888888889E-2</c:v>
                </c:pt>
                <c:pt idx="134">
                  <c:v>2.34375E-2</c:v>
                </c:pt>
                <c:pt idx="135">
                  <c:v>2.36111111111111E-2</c:v>
                </c:pt>
                <c:pt idx="136">
                  <c:v>2.37847222222222E-2</c:v>
                </c:pt>
                <c:pt idx="137">
                  <c:v>2.39583333333333E-2</c:v>
                </c:pt>
                <c:pt idx="138">
                  <c:v>2.41319444444444E-2</c:v>
                </c:pt>
                <c:pt idx="139">
                  <c:v>2.4305555555555601E-2</c:v>
                </c:pt>
                <c:pt idx="140">
                  <c:v>2.4479166666666701E-2</c:v>
                </c:pt>
                <c:pt idx="141">
                  <c:v>2.4652777777777801E-2</c:v>
                </c:pt>
                <c:pt idx="142">
                  <c:v>2.4826388888888901E-2</c:v>
                </c:pt>
                <c:pt idx="143">
                  <c:v>2.5000000000000001E-2</c:v>
                </c:pt>
                <c:pt idx="144">
                  <c:v>2.5173611111111101E-2</c:v>
                </c:pt>
                <c:pt idx="145">
                  <c:v>2.5347222222222202E-2</c:v>
                </c:pt>
                <c:pt idx="146">
                  <c:v>2.5520833333333302E-2</c:v>
                </c:pt>
                <c:pt idx="147">
                  <c:v>2.5694444444444402E-2</c:v>
                </c:pt>
                <c:pt idx="148">
                  <c:v>2.5868055555555599E-2</c:v>
                </c:pt>
                <c:pt idx="149">
                  <c:v>2.6041666666666699E-2</c:v>
                </c:pt>
                <c:pt idx="150">
                  <c:v>2.6215277777777799E-2</c:v>
                </c:pt>
                <c:pt idx="151">
                  <c:v>2.6388888888888899E-2</c:v>
                </c:pt>
                <c:pt idx="152">
                  <c:v>2.6562499999999999E-2</c:v>
                </c:pt>
                <c:pt idx="153">
                  <c:v>2.6736111111111099E-2</c:v>
                </c:pt>
                <c:pt idx="154">
                  <c:v>2.6909722222222199E-2</c:v>
                </c:pt>
                <c:pt idx="155">
                  <c:v>2.70833333333333E-2</c:v>
                </c:pt>
                <c:pt idx="156">
                  <c:v>2.72569444444444E-2</c:v>
                </c:pt>
                <c:pt idx="157">
                  <c:v>2.74305555555556E-2</c:v>
                </c:pt>
                <c:pt idx="158">
                  <c:v>2.76041666666667E-2</c:v>
                </c:pt>
                <c:pt idx="159">
                  <c:v>2.7777777777777801E-2</c:v>
                </c:pt>
                <c:pt idx="160">
                  <c:v>2.7951388888888901E-2</c:v>
                </c:pt>
                <c:pt idx="161">
                  <c:v>2.8125000000000001E-2</c:v>
                </c:pt>
                <c:pt idx="162">
                  <c:v>2.8298611111111101E-2</c:v>
                </c:pt>
                <c:pt idx="163">
                  <c:v>2.8472222222222201E-2</c:v>
                </c:pt>
                <c:pt idx="164">
                  <c:v>2.8645833333333301E-2</c:v>
                </c:pt>
                <c:pt idx="165">
                  <c:v>2.8819444444444401E-2</c:v>
                </c:pt>
                <c:pt idx="166">
                  <c:v>2.8993055555555598E-2</c:v>
                </c:pt>
                <c:pt idx="167">
                  <c:v>2.9166666666666698E-2</c:v>
                </c:pt>
                <c:pt idx="168">
                  <c:v>2.9340277777777798E-2</c:v>
                </c:pt>
                <c:pt idx="169">
                  <c:v>2.9513888888888899E-2</c:v>
                </c:pt>
                <c:pt idx="170">
                  <c:v>2.9687499999999999E-2</c:v>
                </c:pt>
                <c:pt idx="171">
                  <c:v>2.9861111111111099E-2</c:v>
                </c:pt>
                <c:pt idx="172">
                  <c:v>3.0034722222222199E-2</c:v>
                </c:pt>
                <c:pt idx="173">
                  <c:v>3.0208333333333299E-2</c:v>
                </c:pt>
                <c:pt idx="174">
                  <c:v>3.0381944444444399E-2</c:v>
                </c:pt>
                <c:pt idx="175">
                  <c:v>3.05555555555556E-2</c:v>
                </c:pt>
                <c:pt idx="176">
                  <c:v>3.07291666666667E-2</c:v>
                </c:pt>
                <c:pt idx="177">
                  <c:v>3.09027777777778E-2</c:v>
                </c:pt>
                <c:pt idx="178">
                  <c:v>3.10763888888889E-2</c:v>
                </c:pt>
                <c:pt idx="179">
                  <c:v>3.125E-2</c:v>
                </c:pt>
                <c:pt idx="180">
                  <c:v>3.1423611111111097E-2</c:v>
                </c:pt>
                <c:pt idx="181">
                  <c:v>3.15972222222222E-2</c:v>
                </c:pt>
                <c:pt idx="182">
                  <c:v>3.1770833333333297E-2</c:v>
                </c:pt>
                <c:pt idx="183">
                  <c:v>3.19444444444444E-2</c:v>
                </c:pt>
                <c:pt idx="184">
                  <c:v>3.2118055555555601E-2</c:v>
                </c:pt>
                <c:pt idx="185">
                  <c:v>3.2291666666666698E-2</c:v>
                </c:pt>
                <c:pt idx="186">
                  <c:v>3.2465277777777801E-2</c:v>
                </c:pt>
                <c:pt idx="187">
                  <c:v>3.2638888888888898E-2</c:v>
                </c:pt>
                <c:pt idx="188">
                  <c:v>3.2812500000000001E-2</c:v>
                </c:pt>
                <c:pt idx="189">
                  <c:v>3.2986111111111098E-2</c:v>
                </c:pt>
                <c:pt idx="190">
                  <c:v>3.3159722222222202E-2</c:v>
                </c:pt>
                <c:pt idx="191">
                  <c:v>3.3333333333333298E-2</c:v>
                </c:pt>
                <c:pt idx="192">
                  <c:v>3.3506944444444402E-2</c:v>
                </c:pt>
                <c:pt idx="193">
                  <c:v>3.3680555555555498E-2</c:v>
                </c:pt>
                <c:pt idx="194">
                  <c:v>3.3854166666666602E-2</c:v>
                </c:pt>
                <c:pt idx="195">
                  <c:v>3.4027777777777699E-2</c:v>
                </c:pt>
                <c:pt idx="196">
                  <c:v>3.4201388888888802E-2</c:v>
                </c:pt>
                <c:pt idx="197">
                  <c:v>3.4374999999999899E-2</c:v>
                </c:pt>
                <c:pt idx="198">
                  <c:v>3.4548611111111002E-2</c:v>
                </c:pt>
                <c:pt idx="199">
                  <c:v>3.4722222222222099E-2</c:v>
                </c:pt>
                <c:pt idx="200">
                  <c:v>3.4895833333333202E-2</c:v>
                </c:pt>
                <c:pt idx="201">
                  <c:v>3.5069444444444299E-2</c:v>
                </c:pt>
              </c:numCache>
            </c:numRef>
          </c:xVal>
          <c:yVal>
            <c:numRef>
              <c:f>Hartslagen!$C$2768:$C$2969</c:f>
              <c:numCache>
                <c:formatCode>General</c:formatCode>
                <c:ptCount val="202"/>
                <c:pt idx="0">
                  <c:v>123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127</c:v>
                </c:pt>
                <c:pt idx="5">
                  <c:v>121</c:v>
                </c:pt>
                <c:pt idx="6">
                  <c:v>122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124</c:v>
                </c:pt>
                <c:pt idx="11">
                  <c:v>128</c:v>
                </c:pt>
                <c:pt idx="12">
                  <c:v>128</c:v>
                </c:pt>
                <c:pt idx="13">
                  <c:v>131</c:v>
                </c:pt>
                <c:pt idx="14">
                  <c:v>132</c:v>
                </c:pt>
                <c:pt idx="15">
                  <c:v>131</c:v>
                </c:pt>
                <c:pt idx="16">
                  <c:v>133</c:v>
                </c:pt>
                <c:pt idx="17">
                  <c:v>129</c:v>
                </c:pt>
                <c:pt idx="18">
                  <c:v>131</c:v>
                </c:pt>
                <c:pt idx="19">
                  <c:v>130</c:v>
                </c:pt>
                <c:pt idx="20">
                  <c:v>132</c:v>
                </c:pt>
                <c:pt idx="21">
                  <c:v>132</c:v>
                </c:pt>
                <c:pt idx="22">
                  <c:v>129</c:v>
                </c:pt>
                <c:pt idx="23">
                  <c:v>127</c:v>
                </c:pt>
                <c:pt idx="24">
                  <c:v>133</c:v>
                </c:pt>
                <c:pt idx="25">
                  <c:v>133</c:v>
                </c:pt>
                <c:pt idx="26">
                  <c:v>131</c:v>
                </c:pt>
                <c:pt idx="27">
                  <c:v>132</c:v>
                </c:pt>
                <c:pt idx="28">
                  <c:v>134</c:v>
                </c:pt>
                <c:pt idx="29">
                  <c:v>132</c:v>
                </c:pt>
                <c:pt idx="30">
                  <c:v>130</c:v>
                </c:pt>
                <c:pt idx="31">
                  <c:v>130</c:v>
                </c:pt>
                <c:pt idx="32">
                  <c:v>134</c:v>
                </c:pt>
                <c:pt idx="33">
                  <c:v>133</c:v>
                </c:pt>
                <c:pt idx="34">
                  <c:v>138</c:v>
                </c:pt>
                <c:pt idx="35">
                  <c:v>141</c:v>
                </c:pt>
                <c:pt idx="36">
                  <c:v>142</c:v>
                </c:pt>
                <c:pt idx="37">
                  <c:v>144</c:v>
                </c:pt>
                <c:pt idx="38">
                  <c:v>146</c:v>
                </c:pt>
                <c:pt idx="39">
                  <c:v>147</c:v>
                </c:pt>
                <c:pt idx="40">
                  <c:v>142</c:v>
                </c:pt>
                <c:pt idx="41">
                  <c:v>143</c:v>
                </c:pt>
                <c:pt idx="42">
                  <c:v>142</c:v>
                </c:pt>
                <c:pt idx="43">
                  <c:v>144</c:v>
                </c:pt>
                <c:pt idx="44">
                  <c:v>147</c:v>
                </c:pt>
                <c:pt idx="45">
                  <c:v>147</c:v>
                </c:pt>
                <c:pt idx="46">
                  <c:v>147</c:v>
                </c:pt>
                <c:pt idx="47">
                  <c:v>145</c:v>
                </c:pt>
                <c:pt idx="48">
                  <c:v>146</c:v>
                </c:pt>
                <c:pt idx="49">
                  <c:v>144</c:v>
                </c:pt>
                <c:pt idx="50">
                  <c:v>142</c:v>
                </c:pt>
                <c:pt idx="51">
                  <c:v>144</c:v>
                </c:pt>
                <c:pt idx="52">
                  <c:v>145</c:v>
                </c:pt>
                <c:pt idx="53">
                  <c:v>149</c:v>
                </c:pt>
                <c:pt idx="54">
                  <c:v>150</c:v>
                </c:pt>
                <c:pt idx="55">
                  <c:v>149</c:v>
                </c:pt>
                <c:pt idx="56">
                  <c:v>152</c:v>
                </c:pt>
                <c:pt idx="57">
                  <c:v>151</c:v>
                </c:pt>
                <c:pt idx="58">
                  <c:v>149</c:v>
                </c:pt>
                <c:pt idx="59">
                  <c:v>149</c:v>
                </c:pt>
                <c:pt idx="60">
                  <c:v>150</c:v>
                </c:pt>
                <c:pt idx="61">
                  <c:v>149</c:v>
                </c:pt>
                <c:pt idx="62">
                  <c:v>156</c:v>
                </c:pt>
                <c:pt idx="63">
                  <c:v>154</c:v>
                </c:pt>
                <c:pt idx="64">
                  <c:v>150</c:v>
                </c:pt>
                <c:pt idx="65">
                  <c:v>149</c:v>
                </c:pt>
                <c:pt idx="66">
                  <c:v>152</c:v>
                </c:pt>
                <c:pt idx="67">
                  <c:v>153</c:v>
                </c:pt>
                <c:pt idx="68">
                  <c:v>153</c:v>
                </c:pt>
                <c:pt idx="69">
                  <c:v>151</c:v>
                </c:pt>
                <c:pt idx="70">
                  <c:v>152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153</c:v>
                </c:pt>
                <c:pt idx="75">
                  <c:v>153</c:v>
                </c:pt>
                <c:pt idx="76">
                  <c:v>154</c:v>
                </c:pt>
                <c:pt idx="77">
                  <c:v>154</c:v>
                </c:pt>
                <c:pt idx="78">
                  <c:v>152</c:v>
                </c:pt>
                <c:pt idx="79">
                  <c:v>152</c:v>
                </c:pt>
                <c:pt idx="80">
                  <c:v>151</c:v>
                </c:pt>
                <c:pt idx="81">
                  <c:v>153</c:v>
                </c:pt>
                <c:pt idx="82">
                  <c:v>148</c:v>
                </c:pt>
                <c:pt idx="83">
                  <c:v>152</c:v>
                </c:pt>
                <c:pt idx="84">
                  <c:v>151</c:v>
                </c:pt>
                <c:pt idx="85">
                  <c:v>154</c:v>
                </c:pt>
                <c:pt idx="86">
                  <c:v>151</c:v>
                </c:pt>
                <c:pt idx="87">
                  <c:v>149</c:v>
                </c:pt>
                <c:pt idx="88">
                  <c:v>152</c:v>
                </c:pt>
                <c:pt idx="89">
                  <c:v>150</c:v>
                </c:pt>
                <c:pt idx="90">
                  <c:v>152</c:v>
                </c:pt>
                <c:pt idx="91">
                  <c:v>154</c:v>
                </c:pt>
                <c:pt idx="92">
                  <c:v>156</c:v>
                </c:pt>
                <c:pt idx="93">
                  <c:v>158</c:v>
                </c:pt>
                <c:pt idx="94">
                  <c:v>153</c:v>
                </c:pt>
                <c:pt idx="95">
                  <c:v>155</c:v>
                </c:pt>
                <c:pt idx="96">
                  <c:v>155</c:v>
                </c:pt>
                <c:pt idx="97">
                  <c:v>156</c:v>
                </c:pt>
                <c:pt idx="98">
                  <c:v>154</c:v>
                </c:pt>
                <c:pt idx="99">
                  <c:v>157</c:v>
                </c:pt>
                <c:pt idx="100">
                  <c:v>159</c:v>
                </c:pt>
                <c:pt idx="101">
                  <c:v>159</c:v>
                </c:pt>
                <c:pt idx="102">
                  <c:v>155</c:v>
                </c:pt>
                <c:pt idx="103">
                  <c:v>154</c:v>
                </c:pt>
                <c:pt idx="104">
                  <c:v>156</c:v>
                </c:pt>
                <c:pt idx="105">
                  <c:v>156</c:v>
                </c:pt>
                <c:pt idx="106">
                  <c:v>153</c:v>
                </c:pt>
                <c:pt idx="107">
                  <c:v>155</c:v>
                </c:pt>
                <c:pt idx="108">
                  <c:v>158</c:v>
                </c:pt>
                <c:pt idx="109">
                  <c:v>159</c:v>
                </c:pt>
                <c:pt idx="110">
                  <c:v>158</c:v>
                </c:pt>
                <c:pt idx="111">
                  <c:v>158</c:v>
                </c:pt>
                <c:pt idx="112">
                  <c:v>159</c:v>
                </c:pt>
                <c:pt idx="113">
                  <c:v>161</c:v>
                </c:pt>
                <c:pt idx="114">
                  <c:v>162</c:v>
                </c:pt>
                <c:pt idx="115">
                  <c:v>160</c:v>
                </c:pt>
                <c:pt idx="116">
                  <c:v>160</c:v>
                </c:pt>
                <c:pt idx="117">
                  <c:v>163</c:v>
                </c:pt>
                <c:pt idx="118">
                  <c:v>162</c:v>
                </c:pt>
                <c:pt idx="119">
                  <c:v>162</c:v>
                </c:pt>
                <c:pt idx="120">
                  <c:v>161</c:v>
                </c:pt>
                <c:pt idx="121">
                  <c:v>161</c:v>
                </c:pt>
                <c:pt idx="122">
                  <c:v>160</c:v>
                </c:pt>
                <c:pt idx="123">
                  <c:v>161</c:v>
                </c:pt>
                <c:pt idx="124">
                  <c:v>161</c:v>
                </c:pt>
                <c:pt idx="125">
                  <c:v>160</c:v>
                </c:pt>
                <c:pt idx="126">
                  <c:v>160</c:v>
                </c:pt>
                <c:pt idx="127">
                  <c:v>161</c:v>
                </c:pt>
                <c:pt idx="128">
                  <c:v>160</c:v>
                </c:pt>
                <c:pt idx="129">
                  <c:v>160</c:v>
                </c:pt>
                <c:pt idx="130">
                  <c:v>163</c:v>
                </c:pt>
                <c:pt idx="131">
                  <c:v>162</c:v>
                </c:pt>
                <c:pt idx="132">
                  <c:v>161</c:v>
                </c:pt>
                <c:pt idx="133">
                  <c:v>161</c:v>
                </c:pt>
                <c:pt idx="134">
                  <c:v>161</c:v>
                </c:pt>
                <c:pt idx="135">
                  <c:v>161</c:v>
                </c:pt>
                <c:pt idx="136">
                  <c:v>162</c:v>
                </c:pt>
                <c:pt idx="137">
                  <c:v>163</c:v>
                </c:pt>
                <c:pt idx="138">
                  <c:v>163</c:v>
                </c:pt>
                <c:pt idx="139">
                  <c:v>163</c:v>
                </c:pt>
                <c:pt idx="140">
                  <c:v>164</c:v>
                </c:pt>
                <c:pt idx="141">
                  <c:v>163</c:v>
                </c:pt>
                <c:pt idx="142">
                  <c:v>166</c:v>
                </c:pt>
                <c:pt idx="143">
                  <c:v>167</c:v>
                </c:pt>
                <c:pt idx="144">
                  <c:v>166</c:v>
                </c:pt>
                <c:pt idx="145">
                  <c:v>167</c:v>
                </c:pt>
                <c:pt idx="146">
                  <c:v>167</c:v>
                </c:pt>
                <c:pt idx="147">
                  <c:v>168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170</c:v>
                </c:pt>
                <c:pt idx="152">
                  <c:v>171</c:v>
                </c:pt>
                <c:pt idx="153">
                  <c:v>170</c:v>
                </c:pt>
                <c:pt idx="154">
                  <c:v>170</c:v>
                </c:pt>
                <c:pt idx="155">
                  <c:v>171</c:v>
                </c:pt>
                <c:pt idx="156">
                  <c:v>171</c:v>
                </c:pt>
                <c:pt idx="157">
                  <c:v>170</c:v>
                </c:pt>
                <c:pt idx="158">
                  <c:v>171</c:v>
                </c:pt>
                <c:pt idx="159">
                  <c:v>170</c:v>
                </c:pt>
                <c:pt idx="160">
                  <c:v>170</c:v>
                </c:pt>
                <c:pt idx="161">
                  <c:v>170</c:v>
                </c:pt>
                <c:pt idx="162">
                  <c:v>169</c:v>
                </c:pt>
                <c:pt idx="163">
                  <c:v>170</c:v>
                </c:pt>
                <c:pt idx="164">
                  <c:v>172</c:v>
                </c:pt>
                <c:pt idx="165">
                  <c:v>174</c:v>
                </c:pt>
                <c:pt idx="166">
                  <c:v>175</c:v>
                </c:pt>
                <c:pt idx="167">
                  <c:v>175</c:v>
                </c:pt>
                <c:pt idx="168">
                  <c:v>175</c:v>
                </c:pt>
                <c:pt idx="169">
                  <c:v>174</c:v>
                </c:pt>
                <c:pt idx="170">
                  <c:v>172</c:v>
                </c:pt>
                <c:pt idx="171">
                  <c:v>175</c:v>
                </c:pt>
                <c:pt idx="172">
                  <c:v>174</c:v>
                </c:pt>
                <c:pt idx="173">
                  <c:v>172</c:v>
                </c:pt>
                <c:pt idx="174">
                  <c:v>172</c:v>
                </c:pt>
                <c:pt idx="175">
                  <c:v>171</c:v>
                </c:pt>
                <c:pt idx="176">
                  <c:v>171</c:v>
                </c:pt>
                <c:pt idx="177">
                  <c:v>171</c:v>
                </c:pt>
                <c:pt idx="178">
                  <c:v>172</c:v>
                </c:pt>
                <c:pt idx="179">
                  <c:v>172</c:v>
                </c:pt>
                <c:pt idx="180">
                  <c:v>174</c:v>
                </c:pt>
                <c:pt idx="181">
                  <c:v>173</c:v>
                </c:pt>
                <c:pt idx="182">
                  <c:v>171</c:v>
                </c:pt>
                <c:pt idx="183">
                  <c:v>171</c:v>
                </c:pt>
                <c:pt idx="184">
                  <c:v>172</c:v>
                </c:pt>
                <c:pt idx="185">
                  <c:v>172</c:v>
                </c:pt>
                <c:pt idx="186">
                  <c:v>173</c:v>
                </c:pt>
                <c:pt idx="187">
                  <c:v>174</c:v>
                </c:pt>
                <c:pt idx="188">
                  <c:v>174</c:v>
                </c:pt>
                <c:pt idx="189">
                  <c:v>175</c:v>
                </c:pt>
                <c:pt idx="190">
                  <c:v>175</c:v>
                </c:pt>
                <c:pt idx="191">
                  <c:v>173</c:v>
                </c:pt>
                <c:pt idx="192">
                  <c:v>173</c:v>
                </c:pt>
                <c:pt idx="193">
                  <c:v>173</c:v>
                </c:pt>
                <c:pt idx="194">
                  <c:v>172</c:v>
                </c:pt>
                <c:pt idx="195">
                  <c:v>172</c:v>
                </c:pt>
                <c:pt idx="196">
                  <c:v>174</c:v>
                </c:pt>
                <c:pt idx="197">
                  <c:v>175</c:v>
                </c:pt>
                <c:pt idx="198">
                  <c:v>175</c:v>
                </c:pt>
                <c:pt idx="199">
                  <c:v>175</c:v>
                </c:pt>
                <c:pt idx="200">
                  <c:v>177</c:v>
                </c:pt>
                <c:pt idx="201">
                  <c:v>176</c:v>
                </c:pt>
              </c:numCache>
            </c:numRef>
          </c:yVal>
          <c:smooth val="1"/>
        </c:ser>
        <c:ser>
          <c:idx val="13"/>
          <c:order val="13"/>
          <c:tx>
            <c:v>Jogging schoorhei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Hartslagen!$B$2970:$B$3018</c:f>
              <c:numCache>
                <c:formatCode>h:mm:ss</c:formatCode>
                <c:ptCount val="49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</c:numCache>
            </c:numRef>
          </c:xVal>
          <c:yVal>
            <c:numRef>
              <c:f>Hartslagen!$C$2970:$C$3018</c:f>
              <c:numCache>
                <c:formatCode>General</c:formatCode>
                <c:ptCount val="49"/>
                <c:pt idx="0">
                  <c:v>88</c:v>
                </c:pt>
                <c:pt idx="1">
                  <c:v>152</c:v>
                </c:pt>
                <c:pt idx="2">
                  <c:v>160</c:v>
                </c:pt>
                <c:pt idx="3">
                  <c:v>156</c:v>
                </c:pt>
                <c:pt idx="4">
                  <c:v>164</c:v>
                </c:pt>
                <c:pt idx="5">
                  <c:v>164</c:v>
                </c:pt>
                <c:pt idx="6">
                  <c:v>170</c:v>
                </c:pt>
                <c:pt idx="7">
                  <c:v>172</c:v>
                </c:pt>
                <c:pt idx="8">
                  <c:v>172</c:v>
                </c:pt>
                <c:pt idx="9">
                  <c:v>170</c:v>
                </c:pt>
                <c:pt idx="10">
                  <c:v>171</c:v>
                </c:pt>
                <c:pt idx="11">
                  <c:v>172</c:v>
                </c:pt>
                <c:pt idx="12">
                  <c:v>173</c:v>
                </c:pt>
                <c:pt idx="13">
                  <c:v>173</c:v>
                </c:pt>
                <c:pt idx="14">
                  <c:v>179</c:v>
                </c:pt>
                <c:pt idx="15">
                  <c:v>175</c:v>
                </c:pt>
                <c:pt idx="16">
                  <c:v>176</c:v>
                </c:pt>
                <c:pt idx="17">
                  <c:v>176</c:v>
                </c:pt>
                <c:pt idx="18">
                  <c:v>175</c:v>
                </c:pt>
                <c:pt idx="19">
                  <c:v>176</c:v>
                </c:pt>
                <c:pt idx="20">
                  <c:v>179</c:v>
                </c:pt>
                <c:pt idx="21">
                  <c:v>180</c:v>
                </c:pt>
                <c:pt idx="22">
                  <c:v>182</c:v>
                </c:pt>
                <c:pt idx="23">
                  <c:v>178</c:v>
                </c:pt>
                <c:pt idx="24">
                  <c:v>178</c:v>
                </c:pt>
                <c:pt idx="25">
                  <c:v>181</c:v>
                </c:pt>
                <c:pt idx="26">
                  <c:v>181</c:v>
                </c:pt>
                <c:pt idx="27">
                  <c:v>180</c:v>
                </c:pt>
                <c:pt idx="28">
                  <c:v>182</c:v>
                </c:pt>
                <c:pt idx="29">
                  <c:v>182</c:v>
                </c:pt>
                <c:pt idx="30">
                  <c:v>182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185</c:v>
                </c:pt>
                <c:pt idx="38">
                  <c:v>182</c:v>
                </c:pt>
                <c:pt idx="39">
                  <c:v>182</c:v>
                </c:pt>
                <c:pt idx="40">
                  <c:v>178</c:v>
                </c:pt>
                <c:pt idx="41">
                  <c:v>180</c:v>
                </c:pt>
                <c:pt idx="42">
                  <c:v>179</c:v>
                </c:pt>
                <c:pt idx="43">
                  <c:v>182</c:v>
                </c:pt>
                <c:pt idx="44">
                  <c:v>180</c:v>
                </c:pt>
                <c:pt idx="45">
                  <c:v>180</c:v>
                </c:pt>
                <c:pt idx="46">
                  <c:v>181</c:v>
                </c:pt>
                <c:pt idx="47">
                  <c:v>183</c:v>
                </c:pt>
                <c:pt idx="48">
                  <c:v>183</c:v>
                </c:pt>
              </c:numCache>
            </c:numRef>
          </c:yVal>
          <c:smooth val="1"/>
        </c:ser>
        <c:ser>
          <c:idx val="14"/>
          <c:order val="14"/>
          <c:tx>
            <c:v>test 6 km (07/06/02)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33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Hartslagen!$B$3020:$B$3110</c:f>
              <c:numCache>
                <c:formatCode>h:mm:ss</c:formatCode>
                <c:ptCount val="91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1.02430555555555E-2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1.3368055555555499E-2</c:v>
                </c:pt>
                <c:pt idx="78">
                  <c:v>1.3541666666666599E-2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1.4930555555555501E-2</c:v>
                </c:pt>
                <c:pt idx="87">
                  <c:v>1.5104166666666601E-2</c:v>
                </c:pt>
                <c:pt idx="88">
                  <c:v>1.5277777777777699E-2</c:v>
                </c:pt>
                <c:pt idx="89">
                  <c:v>1.5451388888888799E-2</c:v>
                </c:pt>
                <c:pt idx="90">
                  <c:v>1.5624999999999899E-2</c:v>
                </c:pt>
              </c:numCache>
            </c:numRef>
          </c:xVal>
          <c:yVal>
            <c:numRef>
              <c:f>Hartslagen!$C$3020:$C$3110</c:f>
              <c:numCache>
                <c:formatCode>General</c:formatCode>
                <c:ptCount val="91"/>
                <c:pt idx="0">
                  <c:v>97</c:v>
                </c:pt>
                <c:pt idx="1">
                  <c:v>135</c:v>
                </c:pt>
                <c:pt idx="2">
                  <c:v>145</c:v>
                </c:pt>
                <c:pt idx="3">
                  <c:v>149</c:v>
                </c:pt>
                <c:pt idx="4">
                  <c:v>151</c:v>
                </c:pt>
                <c:pt idx="5">
                  <c:v>157</c:v>
                </c:pt>
                <c:pt idx="6">
                  <c:v>158</c:v>
                </c:pt>
                <c:pt idx="7">
                  <c:v>160</c:v>
                </c:pt>
                <c:pt idx="8">
                  <c:v>158</c:v>
                </c:pt>
                <c:pt idx="9">
                  <c:v>161</c:v>
                </c:pt>
                <c:pt idx="10">
                  <c:v>161</c:v>
                </c:pt>
                <c:pt idx="11">
                  <c:v>163</c:v>
                </c:pt>
                <c:pt idx="12">
                  <c:v>162</c:v>
                </c:pt>
                <c:pt idx="13">
                  <c:v>160</c:v>
                </c:pt>
                <c:pt idx="14">
                  <c:v>163</c:v>
                </c:pt>
                <c:pt idx="15">
                  <c:v>168</c:v>
                </c:pt>
                <c:pt idx="16">
                  <c:v>169</c:v>
                </c:pt>
                <c:pt idx="17">
                  <c:v>166</c:v>
                </c:pt>
                <c:pt idx="18">
                  <c:v>165</c:v>
                </c:pt>
                <c:pt idx="19">
                  <c:v>167</c:v>
                </c:pt>
                <c:pt idx="20">
                  <c:v>170</c:v>
                </c:pt>
                <c:pt idx="21">
                  <c:v>170</c:v>
                </c:pt>
                <c:pt idx="22">
                  <c:v>167</c:v>
                </c:pt>
                <c:pt idx="23">
                  <c:v>166</c:v>
                </c:pt>
                <c:pt idx="24">
                  <c:v>168</c:v>
                </c:pt>
                <c:pt idx="25">
                  <c:v>168</c:v>
                </c:pt>
                <c:pt idx="26">
                  <c:v>170</c:v>
                </c:pt>
                <c:pt idx="27">
                  <c:v>169</c:v>
                </c:pt>
                <c:pt idx="28">
                  <c:v>168</c:v>
                </c:pt>
                <c:pt idx="29">
                  <c:v>169</c:v>
                </c:pt>
                <c:pt idx="30">
                  <c:v>172</c:v>
                </c:pt>
                <c:pt idx="31">
                  <c:v>171</c:v>
                </c:pt>
                <c:pt idx="32">
                  <c:v>171</c:v>
                </c:pt>
                <c:pt idx="33">
                  <c:v>172</c:v>
                </c:pt>
                <c:pt idx="34">
                  <c:v>172</c:v>
                </c:pt>
                <c:pt idx="35">
                  <c:v>173</c:v>
                </c:pt>
                <c:pt idx="36">
                  <c:v>173</c:v>
                </c:pt>
                <c:pt idx="37">
                  <c:v>172</c:v>
                </c:pt>
                <c:pt idx="38">
                  <c:v>173</c:v>
                </c:pt>
                <c:pt idx="39">
                  <c:v>173</c:v>
                </c:pt>
                <c:pt idx="40">
                  <c:v>172</c:v>
                </c:pt>
                <c:pt idx="41">
                  <c:v>171</c:v>
                </c:pt>
                <c:pt idx="42">
                  <c:v>172</c:v>
                </c:pt>
                <c:pt idx="43">
                  <c:v>169</c:v>
                </c:pt>
                <c:pt idx="44">
                  <c:v>170</c:v>
                </c:pt>
                <c:pt idx="45">
                  <c:v>172</c:v>
                </c:pt>
                <c:pt idx="46">
                  <c:v>174</c:v>
                </c:pt>
                <c:pt idx="47">
                  <c:v>173</c:v>
                </c:pt>
                <c:pt idx="48">
                  <c:v>174</c:v>
                </c:pt>
                <c:pt idx="49">
                  <c:v>176</c:v>
                </c:pt>
                <c:pt idx="50">
                  <c:v>175</c:v>
                </c:pt>
                <c:pt idx="51">
                  <c:v>173</c:v>
                </c:pt>
                <c:pt idx="52">
                  <c:v>173</c:v>
                </c:pt>
                <c:pt idx="53">
                  <c:v>174</c:v>
                </c:pt>
                <c:pt idx="54">
                  <c:v>173</c:v>
                </c:pt>
                <c:pt idx="55">
                  <c:v>174</c:v>
                </c:pt>
                <c:pt idx="56">
                  <c:v>173</c:v>
                </c:pt>
                <c:pt idx="57">
                  <c:v>170</c:v>
                </c:pt>
                <c:pt idx="58">
                  <c:v>170</c:v>
                </c:pt>
                <c:pt idx="59">
                  <c:v>174</c:v>
                </c:pt>
                <c:pt idx="60">
                  <c:v>176</c:v>
                </c:pt>
                <c:pt idx="61">
                  <c:v>176</c:v>
                </c:pt>
                <c:pt idx="62">
                  <c:v>177</c:v>
                </c:pt>
                <c:pt idx="63">
                  <c:v>176</c:v>
                </c:pt>
                <c:pt idx="64">
                  <c:v>177</c:v>
                </c:pt>
                <c:pt idx="65">
                  <c:v>174</c:v>
                </c:pt>
                <c:pt idx="66">
                  <c:v>176</c:v>
                </c:pt>
                <c:pt idx="67">
                  <c:v>174</c:v>
                </c:pt>
                <c:pt idx="68">
                  <c:v>178</c:v>
                </c:pt>
                <c:pt idx="69">
                  <c:v>178</c:v>
                </c:pt>
                <c:pt idx="70">
                  <c:v>180</c:v>
                </c:pt>
                <c:pt idx="71">
                  <c:v>179</c:v>
                </c:pt>
                <c:pt idx="72">
                  <c:v>178</c:v>
                </c:pt>
                <c:pt idx="73">
                  <c:v>178</c:v>
                </c:pt>
                <c:pt idx="74">
                  <c:v>182</c:v>
                </c:pt>
                <c:pt idx="75">
                  <c:v>182</c:v>
                </c:pt>
                <c:pt idx="76">
                  <c:v>182</c:v>
                </c:pt>
                <c:pt idx="77">
                  <c:v>183</c:v>
                </c:pt>
                <c:pt idx="78">
                  <c:v>183</c:v>
                </c:pt>
                <c:pt idx="79">
                  <c:v>182</c:v>
                </c:pt>
                <c:pt idx="80">
                  <c:v>183</c:v>
                </c:pt>
                <c:pt idx="81">
                  <c:v>183</c:v>
                </c:pt>
                <c:pt idx="82">
                  <c:v>184</c:v>
                </c:pt>
                <c:pt idx="83">
                  <c:v>185</c:v>
                </c:pt>
                <c:pt idx="84">
                  <c:v>189</c:v>
                </c:pt>
                <c:pt idx="85">
                  <c:v>185</c:v>
                </c:pt>
                <c:pt idx="86">
                  <c:v>185</c:v>
                </c:pt>
                <c:pt idx="87">
                  <c:v>186</c:v>
                </c:pt>
                <c:pt idx="88">
                  <c:v>189</c:v>
                </c:pt>
                <c:pt idx="89">
                  <c:v>189</c:v>
                </c:pt>
                <c:pt idx="90">
                  <c:v>188</c:v>
                </c:pt>
              </c:numCache>
            </c:numRef>
          </c:yVal>
          <c:smooth val="1"/>
        </c:ser>
        <c:ser>
          <c:idx val="15"/>
          <c:order val="15"/>
          <c:tx>
            <c:v>Interval 3X3km (22/07/2002)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plus"/>
            <c:size val="2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Hartslagen!$B$3258:$B$3435</c:f>
              <c:numCache>
                <c:formatCode>h:mm:ss</c:formatCode>
                <c:ptCount val="178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</c:numCache>
            </c:numRef>
          </c:xVal>
          <c:yVal>
            <c:numRef>
              <c:f>Hartslagen!$C$3258:$C$3435</c:f>
              <c:numCache>
                <c:formatCode>General</c:formatCode>
                <c:ptCount val="178"/>
                <c:pt idx="0">
                  <c:v>91</c:v>
                </c:pt>
                <c:pt idx="1">
                  <c:v>121</c:v>
                </c:pt>
                <c:pt idx="2">
                  <c:v>142</c:v>
                </c:pt>
                <c:pt idx="3">
                  <c:v>147</c:v>
                </c:pt>
                <c:pt idx="4">
                  <c:v>153</c:v>
                </c:pt>
                <c:pt idx="5">
                  <c:v>154</c:v>
                </c:pt>
                <c:pt idx="6">
                  <c:v>156</c:v>
                </c:pt>
                <c:pt idx="7">
                  <c:v>156</c:v>
                </c:pt>
                <c:pt idx="8">
                  <c:v>157</c:v>
                </c:pt>
                <c:pt idx="9">
                  <c:v>159</c:v>
                </c:pt>
                <c:pt idx="10">
                  <c:v>159</c:v>
                </c:pt>
                <c:pt idx="11">
                  <c:v>160</c:v>
                </c:pt>
                <c:pt idx="12">
                  <c:v>161</c:v>
                </c:pt>
                <c:pt idx="13">
                  <c:v>162</c:v>
                </c:pt>
                <c:pt idx="14">
                  <c:v>162</c:v>
                </c:pt>
                <c:pt idx="15">
                  <c:v>163</c:v>
                </c:pt>
                <c:pt idx="16">
                  <c:v>163</c:v>
                </c:pt>
                <c:pt idx="17">
                  <c:v>164</c:v>
                </c:pt>
                <c:pt idx="18">
                  <c:v>165</c:v>
                </c:pt>
                <c:pt idx="19">
                  <c:v>166</c:v>
                </c:pt>
                <c:pt idx="20">
                  <c:v>165</c:v>
                </c:pt>
                <c:pt idx="21">
                  <c:v>166</c:v>
                </c:pt>
                <c:pt idx="22">
                  <c:v>163</c:v>
                </c:pt>
                <c:pt idx="23">
                  <c:v>164</c:v>
                </c:pt>
                <c:pt idx="24">
                  <c:v>165</c:v>
                </c:pt>
                <c:pt idx="25">
                  <c:v>166</c:v>
                </c:pt>
                <c:pt idx="26">
                  <c:v>168</c:v>
                </c:pt>
                <c:pt idx="27">
                  <c:v>167</c:v>
                </c:pt>
                <c:pt idx="28">
                  <c:v>166</c:v>
                </c:pt>
                <c:pt idx="29">
                  <c:v>164</c:v>
                </c:pt>
                <c:pt idx="30">
                  <c:v>166</c:v>
                </c:pt>
                <c:pt idx="31">
                  <c:v>166</c:v>
                </c:pt>
                <c:pt idx="32">
                  <c:v>166</c:v>
                </c:pt>
                <c:pt idx="33">
                  <c:v>167</c:v>
                </c:pt>
                <c:pt idx="34">
                  <c:v>168</c:v>
                </c:pt>
                <c:pt idx="35">
                  <c:v>167</c:v>
                </c:pt>
                <c:pt idx="36">
                  <c:v>167</c:v>
                </c:pt>
                <c:pt idx="37">
                  <c:v>165</c:v>
                </c:pt>
                <c:pt idx="38">
                  <c:v>168</c:v>
                </c:pt>
                <c:pt idx="39">
                  <c:v>170</c:v>
                </c:pt>
                <c:pt idx="40">
                  <c:v>169</c:v>
                </c:pt>
                <c:pt idx="41">
                  <c:v>169</c:v>
                </c:pt>
                <c:pt idx="42">
                  <c:v>168</c:v>
                </c:pt>
                <c:pt idx="43">
                  <c:v>157</c:v>
                </c:pt>
                <c:pt idx="44">
                  <c:v>142</c:v>
                </c:pt>
                <c:pt idx="45">
                  <c:v>138</c:v>
                </c:pt>
                <c:pt idx="46">
                  <c:v>136</c:v>
                </c:pt>
                <c:pt idx="47">
                  <c:v>132</c:v>
                </c:pt>
                <c:pt idx="48">
                  <c:v>131</c:v>
                </c:pt>
                <c:pt idx="49">
                  <c:v>124</c:v>
                </c:pt>
                <c:pt idx="50">
                  <c:v>114</c:v>
                </c:pt>
                <c:pt idx="51">
                  <c:v>112</c:v>
                </c:pt>
                <c:pt idx="52">
                  <c:v>115</c:v>
                </c:pt>
                <c:pt idx="53">
                  <c:v>111</c:v>
                </c:pt>
                <c:pt idx="54">
                  <c:v>105</c:v>
                </c:pt>
                <c:pt idx="55">
                  <c:v>106</c:v>
                </c:pt>
                <c:pt idx="56">
                  <c:v>107</c:v>
                </c:pt>
                <c:pt idx="57">
                  <c:v>103</c:v>
                </c:pt>
                <c:pt idx="58">
                  <c:v>106</c:v>
                </c:pt>
                <c:pt idx="59">
                  <c:v>116</c:v>
                </c:pt>
                <c:pt idx="60">
                  <c:v>116</c:v>
                </c:pt>
                <c:pt idx="61">
                  <c:v>109</c:v>
                </c:pt>
                <c:pt idx="62">
                  <c:v>96</c:v>
                </c:pt>
                <c:pt idx="63">
                  <c:v>137</c:v>
                </c:pt>
                <c:pt idx="64">
                  <c:v>153</c:v>
                </c:pt>
                <c:pt idx="65">
                  <c:v>155</c:v>
                </c:pt>
                <c:pt idx="66">
                  <c:v>159</c:v>
                </c:pt>
                <c:pt idx="67">
                  <c:v>160</c:v>
                </c:pt>
                <c:pt idx="68">
                  <c:v>165</c:v>
                </c:pt>
                <c:pt idx="69">
                  <c:v>166</c:v>
                </c:pt>
                <c:pt idx="70">
                  <c:v>168</c:v>
                </c:pt>
                <c:pt idx="71">
                  <c:v>169</c:v>
                </c:pt>
                <c:pt idx="72">
                  <c:v>169</c:v>
                </c:pt>
                <c:pt idx="73">
                  <c:v>169</c:v>
                </c:pt>
                <c:pt idx="74">
                  <c:v>168</c:v>
                </c:pt>
                <c:pt idx="75">
                  <c:v>169</c:v>
                </c:pt>
                <c:pt idx="76">
                  <c:v>169</c:v>
                </c:pt>
                <c:pt idx="77">
                  <c:v>168</c:v>
                </c:pt>
                <c:pt idx="78">
                  <c:v>168</c:v>
                </c:pt>
                <c:pt idx="79">
                  <c:v>169</c:v>
                </c:pt>
                <c:pt idx="80">
                  <c:v>171</c:v>
                </c:pt>
                <c:pt idx="81">
                  <c:v>174</c:v>
                </c:pt>
                <c:pt idx="82">
                  <c:v>169</c:v>
                </c:pt>
                <c:pt idx="83">
                  <c:v>170</c:v>
                </c:pt>
                <c:pt idx="84">
                  <c:v>170</c:v>
                </c:pt>
                <c:pt idx="85">
                  <c:v>169</c:v>
                </c:pt>
                <c:pt idx="86">
                  <c:v>170</c:v>
                </c:pt>
                <c:pt idx="87">
                  <c:v>171</c:v>
                </c:pt>
                <c:pt idx="88">
                  <c:v>172</c:v>
                </c:pt>
                <c:pt idx="89">
                  <c:v>173</c:v>
                </c:pt>
                <c:pt idx="90">
                  <c:v>170</c:v>
                </c:pt>
                <c:pt idx="91">
                  <c:v>173</c:v>
                </c:pt>
                <c:pt idx="92">
                  <c:v>174</c:v>
                </c:pt>
                <c:pt idx="93">
                  <c:v>174</c:v>
                </c:pt>
                <c:pt idx="94">
                  <c:v>174</c:v>
                </c:pt>
                <c:pt idx="95">
                  <c:v>175</c:v>
                </c:pt>
                <c:pt idx="96">
                  <c:v>173</c:v>
                </c:pt>
                <c:pt idx="97">
                  <c:v>174</c:v>
                </c:pt>
                <c:pt idx="98">
                  <c:v>174</c:v>
                </c:pt>
                <c:pt idx="99">
                  <c:v>175</c:v>
                </c:pt>
                <c:pt idx="100">
                  <c:v>174</c:v>
                </c:pt>
                <c:pt idx="101">
                  <c:v>176</c:v>
                </c:pt>
                <c:pt idx="102">
                  <c:v>176</c:v>
                </c:pt>
                <c:pt idx="103">
                  <c:v>175</c:v>
                </c:pt>
                <c:pt idx="104">
                  <c:v>172</c:v>
                </c:pt>
                <c:pt idx="105">
                  <c:v>158</c:v>
                </c:pt>
                <c:pt idx="106">
                  <c:v>145</c:v>
                </c:pt>
                <c:pt idx="107">
                  <c:v>133</c:v>
                </c:pt>
                <c:pt idx="108">
                  <c:v>125</c:v>
                </c:pt>
                <c:pt idx="109">
                  <c:v>123</c:v>
                </c:pt>
                <c:pt idx="110">
                  <c:v>115</c:v>
                </c:pt>
                <c:pt idx="111">
                  <c:v>115</c:v>
                </c:pt>
                <c:pt idx="112">
                  <c:v>110</c:v>
                </c:pt>
                <c:pt idx="113">
                  <c:v>111</c:v>
                </c:pt>
                <c:pt idx="114">
                  <c:v>107</c:v>
                </c:pt>
                <c:pt idx="115">
                  <c:v>110</c:v>
                </c:pt>
                <c:pt idx="116">
                  <c:v>107</c:v>
                </c:pt>
                <c:pt idx="117">
                  <c:v>104</c:v>
                </c:pt>
                <c:pt idx="118">
                  <c:v>103</c:v>
                </c:pt>
                <c:pt idx="119">
                  <c:v>99</c:v>
                </c:pt>
                <c:pt idx="120">
                  <c:v>99</c:v>
                </c:pt>
                <c:pt idx="121">
                  <c:v>98</c:v>
                </c:pt>
                <c:pt idx="122">
                  <c:v>98</c:v>
                </c:pt>
                <c:pt idx="123">
                  <c:v>100</c:v>
                </c:pt>
                <c:pt idx="124">
                  <c:v>119</c:v>
                </c:pt>
                <c:pt idx="125">
                  <c:v>148</c:v>
                </c:pt>
                <c:pt idx="126">
                  <c:v>154</c:v>
                </c:pt>
                <c:pt idx="127">
                  <c:v>159</c:v>
                </c:pt>
                <c:pt idx="128">
                  <c:v>161</c:v>
                </c:pt>
                <c:pt idx="129">
                  <c:v>162</c:v>
                </c:pt>
                <c:pt idx="130">
                  <c:v>163</c:v>
                </c:pt>
                <c:pt idx="131">
                  <c:v>164</c:v>
                </c:pt>
                <c:pt idx="132">
                  <c:v>165</c:v>
                </c:pt>
                <c:pt idx="133">
                  <c:v>158</c:v>
                </c:pt>
                <c:pt idx="134">
                  <c:v>155</c:v>
                </c:pt>
                <c:pt idx="135">
                  <c:v>152</c:v>
                </c:pt>
                <c:pt idx="136">
                  <c:v>150</c:v>
                </c:pt>
                <c:pt idx="137">
                  <c:v>149</c:v>
                </c:pt>
                <c:pt idx="138">
                  <c:v>148</c:v>
                </c:pt>
                <c:pt idx="139">
                  <c:v>147</c:v>
                </c:pt>
                <c:pt idx="140">
                  <c:v>149</c:v>
                </c:pt>
                <c:pt idx="141">
                  <c:v>155</c:v>
                </c:pt>
                <c:pt idx="142">
                  <c:v>158</c:v>
                </c:pt>
                <c:pt idx="143">
                  <c:v>161</c:v>
                </c:pt>
                <c:pt idx="144">
                  <c:v>163</c:v>
                </c:pt>
                <c:pt idx="145">
                  <c:v>166</c:v>
                </c:pt>
                <c:pt idx="146">
                  <c:v>169</c:v>
                </c:pt>
                <c:pt idx="147">
                  <c:v>169</c:v>
                </c:pt>
                <c:pt idx="148">
                  <c:v>167</c:v>
                </c:pt>
                <c:pt idx="149">
                  <c:v>168</c:v>
                </c:pt>
                <c:pt idx="150">
                  <c:v>169</c:v>
                </c:pt>
                <c:pt idx="151">
                  <c:v>167</c:v>
                </c:pt>
                <c:pt idx="152">
                  <c:v>170</c:v>
                </c:pt>
                <c:pt idx="153">
                  <c:v>168</c:v>
                </c:pt>
                <c:pt idx="154">
                  <c:v>170</c:v>
                </c:pt>
                <c:pt idx="155">
                  <c:v>173</c:v>
                </c:pt>
                <c:pt idx="156">
                  <c:v>171</c:v>
                </c:pt>
                <c:pt idx="157">
                  <c:v>174</c:v>
                </c:pt>
                <c:pt idx="158">
                  <c:v>174</c:v>
                </c:pt>
                <c:pt idx="159">
                  <c:v>174</c:v>
                </c:pt>
                <c:pt idx="160">
                  <c:v>176</c:v>
                </c:pt>
                <c:pt idx="161">
                  <c:v>175</c:v>
                </c:pt>
                <c:pt idx="162">
                  <c:v>175</c:v>
                </c:pt>
                <c:pt idx="163">
                  <c:v>177</c:v>
                </c:pt>
                <c:pt idx="164">
                  <c:v>178</c:v>
                </c:pt>
                <c:pt idx="165">
                  <c:v>179</c:v>
                </c:pt>
                <c:pt idx="166">
                  <c:v>178</c:v>
                </c:pt>
                <c:pt idx="167">
                  <c:v>178</c:v>
                </c:pt>
                <c:pt idx="168">
                  <c:v>172</c:v>
                </c:pt>
                <c:pt idx="169">
                  <c:v>163</c:v>
                </c:pt>
                <c:pt idx="170">
                  <c:v>154</c:v>
                </c:pt>
                <c:pt idx="171">
                  <c:v>151</c:v>
                </c:pt>
                <c:pt idx="172">
                  <c:v>147</c:v>
                </c:pt>
                <c:pt idx="173">
                  <c:v>146</c:v>
                </c:pt>
                <c:pt idx="174">
                  <c:v>143</c:v>
                </c:pt>
                <c:pt idx="175">
                  <c:v>142</c:v>
                </c:pt>
                <c:pt idx="176">
                  <c:v>140</c:v>
                </c:pt>
                <c:pt idx="177">
                  <c:v>139</c:v>
                </c:pt>
              </c:numCache>
            </c:numRef>
          </c:yVal>
          <c:smooth val="1"/>
        </c:ser>
        <c:ser>
          <c:idx val="16"/>
          <c:order val="16"/>
          <c:tx>
            <c:v>jogging Schoonbroek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Hartslagen!$B$4829:$B$4885</c:f>
              <c:numCache>
                <c:formatCode>h:mm:ss</c:formatCode>
                <c:ptCount val="57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2.0138888888888901E-2</c:v>
                </c:pt>
                <c:pt idx="30">
                  <c:v>2.0833333333333301E-2</c:v>
                </c:pt>
                <c:pt idx="31">
                  <c:v>2.1527777777777798E-2</c:v>
                </c:pt>
                <c:pt idx="32">
                  <c:v>2.2222222222222199E-2</c:v>
                </c:pt>
                <c:pt idx="33">
                  <c:v>2.29166666666667E-2</c:v>
                </c:pt>
                <c:pt idx="34">
                  <c:v>2.36111111111111E-2</c:v>
                </c:pt>
                <c:pt idx="35">
                  <c:v>2.4305555555555601E-2</c:v>
                </c:pt>
                <c:pt idx="36">
                  <c:v>2.5000000000000001E-2</c:v>
                </c:pt>
                <c:pt idx="37">
                  <c:v>2.5694444444444402E-2</c:v>
                </c:pt>
                <c:pt idx="38">
                  <c:v>2.6388888888888899E-2</c:v>
                </c:pt>
                <c:pt idx="39">
                  <c:v>2.70833333333333E-2</c:v>
                </c:pt>
                <c:pt idx="40">
                  <c:v>2.7777777777777801E-2</c:v>
                </c:pt>
                <c:pt idx="41">
                  <c:v>2.8472222222222201E-2</c:v>
                </c:pt>
                <c:pt idx="42">
                  <c:v>2.9166666666666698E-2</c:v>
                </c:pt>
                <c:pt idx="43">
                  <c:v>2.9861111111111099E-2</c:v>
                </c:pt>
                <c:pt idx="44">
                  <c:v>3.05555555555556E-2</c:v>
                </c:pt>
                <c:pt idx="45">
                  <c:v>3.125E-2</c:v>
                </c:pt>
                <c:pt idx="46">
                  <c:v>3.19444444444444E-2</c:v>
                </c:pt>
                <c:pt idx="47">
                  <c:v>3.2638888888888898E-2</c:v>
                </c:pt>
                <c:pt idx="48">
                  <c:v>3.3333333333333298E-2</c:v>
                </c:pt>
                <c:pt idx="49">
                  <c:v>3.4027777777777803E-2</c:v>
                </c:pt>
                <c:pt idx="50">
                  <c:v>3.4722222222222203E-2</c:v>
                </c:pt>
                <c:pt idx="51">
                  <c:v>3.54166666666667E-2</c:v>
                </c:pt>
                <c:pt idx="52">
                  <c:v>3.6111111111111101E-2</c:v>
                </c:pt>
                <c:pt idx="53">
                  <c:v>3.6805555555555598E-2</c:v>
                </c:pt>
                <c:pt idx="54">
                  <c:v>3.7499999999999999E-2</c:v>
                </c:pt>
                <c:pt idx="55">
                  <c:v>3.8194444444444399E-2</c:v>
                </c:pt>
                <c:pt idx="56">
                  <c:v>3.8888888888888903E-2</c:v>
                </c:pt>
              </c:numCache>
            </c:numRef>
          </c:xVal>
          <c:yVal>
            <c:numRef>
              <c:f>Hartslagen!$C$4835:$C$4885</c:f>
              <c:numCache>
                <c:formatCode>General</c:formatCode>
                <c:ptCount val="51"/>
                <c:pt idx="0">
                  <c:v>177</c:v>
                </c:pt>
                <c:pt idx="1">
                  <c:v>179</c:v>
                </c:pt>
                <c:pt idx="2">
                  <c:v>178</c:v>
                </c:pt>
                <c:pt idx="3">
                  <c:v>175</c:v>
                </c:pt>
                <c:pt idx="4">
                  <c:v>173</c:v>
                </c:pt>
                <c:pt idx="5">
                  <c:v>178</c:v>
                </c:pt>
                <c:pt idx="6">
                  <c:v>176</c:v>
                </c:pt>
                <c:pt idx="7">
                  <c:v>177</c:v>
                </c:pt>
                <c:pt idx="8">
                  <c:v>174</c:v>
                </c:pt>
                <c:pt idx="9">
                  <c:v>178</c:v>
                </c:pt>
                <c:pt idx="10">
                  <c:v>176</c:v>
                </c:pt>
                <c:pt idx="11">
                  <c:v>179</c:v>
                </c:pt>
                <c:pt idx="12">
                  <c:v>176</c:v>
                </c:pt>
                <c:pt idx="13">
                  <c:v>179</c:v>
                </c:pt>
                <c:pt idx="14">
                  <c:v>177</c:v>
                </c:pt>
                <c:pt idx="15">
                  <c:v>177</c:v>
                </c:pt>
                <c:pt idx="16">
                  <c:v>178</c:v>
                </c:pt>
                <c:pt idx="17">
                  <c:v>176</c:v>
                </c:pt>
                <c:pt idx="18">
                  <c:v>178</c:v>
                </c:pt>
                <c:pt idx="19">
                  <c:v>178</c:v>
                </c:pt>
                <c:pt idx="20">
                  <c:v>179</c:v>
                </c:pt>
                <c:pt idx="21">
                  <c:v>177</c:v>
                </c:pt>
                <c:pt idx="22">
                  <c:v>180</c:v>
                </c:pt>
                <c:pt idx="23">
                  <c:v>180</c:v>
                </c:pt>
                <c:pt idx="24">
                  <c:v>183</c:v>
                </c:pt>
                <c:pt idx="25">
                  <c:v>182</c:v>
                </c:pt>
                <c:pt idx="26">
                  <c:v>182</c:v>
                </c:pt>
                <c:pt idx="27">
                  <c:v>181</c:v>
                </c:pt>
                <c:pt idx="28">
                  <c:v>184</c:v>
                </c:pt>
                <c:pt idx="29">
                  <c:v>184</c:v>
                </c:pt>
                <c:pt idx="30">
                  <c:v>182</c:v>
                </c:pt>
                <c:pt idx="31">
                  <c:v>184</c:v>
                </c:pt>
                <c:pt idx="32">
                  <c:v>183</c:v>
                </c:pt>
                <c:pt idx="33">
                  <c:v>181</c:v>
                </c:pt>
                <c:pt idx="34">
                  <c:v>181</c:v>
                </c:pt>
                <c:pt idx="35">
                  <c:v>179</c:v>
                </c:pt>
                <c:pt idx="36">
                  <c:v>181</c:v>
                </c:pt>
                <c:pt idx="37">
                  <c:v>183</c:v>
                </c:pt>
                <c:pt idx="38">
                  <c:v>182</c:v>
                </c:pt>
                <c:pt idx="39">
                  <c:v>182</c:v>
                </c:pt>
                <c:pt idx="40">
                  <c:v>181</c:v>
                </c:pt>
                <c:pt idx="41">
                  <c:v>182</c:v>
                </c:pt>
                <c:pt idx="42">
                  <c:v>182</c:v>
                </c:pt>
                <c:pt idx="43">
                  <c:v>182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182</c:v>
                </c:pt>
                <c:pt idx="48">
                  <c:v>183</c:v>
                </c:pt>
                <c:pt idx="49">
                  <c:v>184</c:v>
                </c:pt>
                <c:pt idx="50">
                  <c:v>187</c:v>
                </c:pt>
              </c:numCache>
            </c:numRef>
          </c:yVal>
          <c:smooth val="1"/>
        </c:ser>
        <c:ser>
          <c:idx val="17"/>
          <c:order val="17"/>
          <c:tx>
            <c:v>10k Zilvermeer</c:v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Hartslagen!$B$4957:$B$4989</c:f>
              <c:numCache>
                <c:formatCode>h:mm:ss</c:formatCode>
                <c:ptCount val="33"/>
                <c:pt idx="0">
                  <c:v>0</c:v>
                </c:pt>
                <c:pt idx="1">
                  <c:v>6.9444444444444447E-4</c:v>
                </c:pt>
                <c:pt idx="2">
                  <c:v>1.38888888888889E-3</c:v>
                </c:pt>
                <c:pt idx="3">
                  <c:v>2.0833333333333298E-3</c:v>
                </c:pt>
                <c:pt idx="4">
                  <c:v>2.7777777777777801E-3</c:v>
                </c:pt>
                <c:pt idx="5">
                  <c:v>3.4722222222222199E-3</c:v>
                </c:pt>
                <c:pt idx="6">
                  <c:v>4.1666666666666701E-3</c:v>
                </c:pt>
                <c:pt idx="7">
                  <c:v>4.8611111111111103E-3</c:v>
                </c:pt>
                <c:pt idx="8">
                  <c:v>5.5555555555555601E-3</c:v>
                </c:pt>
                <c:pt idx="9">
                  <c:v>6.2500000000000003E-3</c:v>
                </c:pt>
                <c:pt idx="10">
                  <c:v>6.9444444444444397E-3</c:v>
                </c:pt>
                <c:pt idx="11">
                  <c:v>7.6388888888888904E-3</c:v>
                </c:pt>
                <c:pt idx="12">
                  <c:v>8.3333333333333297E-3</c:v>
                </c:pt>
                <c:pt idx="13">
                  <c:v>9.0277777777777804E-3</c:v>
                </c:pt>
                <c:pt idx="14">
                  <c:v>9.7222222222222206E-3</c:v>
                </c:pt>
                <c:pt idx="15">
                  <c:v>1.0416666666666701E-2</c:v>
                </c:pt>
                <c:pt idx="16">
                  <c:v>1.1111111111111099E-2</c:v>
                </c:pt>
                <c:pt idx="17">
                  <c:v>1.18055555555556E-2</c:v>
                </c:pt>
                <c:pt idx="18">
                  <c:v>1.2500000000000001E-2</c:v>
                </c:pt>
                <c:pt idx="19">
                  <c:v>1.3194444444444399E-2</c:v>
                </c:pt>
                <c:pt idx="20">
                  <c:v>1.38888888888889E-2</c:v>
                </c:pt>
                <c:pt idx="21">
                  <c:v>1.4583333333333301E-2</c:v>
                </c:pt>
                <c:pt idx="22">
                  <c:v>1.52777777777778E-2</c:v>
                </c:pt>
                <c:pt idx="23">
                  <c:v>1.59722222222222E-2</c:v>
                </c:pt>
                <c:pt idx="24">
                  <c:v>1.6666666666666701E-2</c:v>
                </c:pt>
                <c:pt idx="25">
                  <c:v>1.7361111111111101E-2</c:v>
                </c:pt>
                <c:pt idx="26">
                  <c:v>1.8055555555555599E-2</c:v>
                </c:pt>
                <c:pt idx="27">
                  <c:v>1.8749999999999999E-2</c:v>
                </c:pt>
                <c:pt idx="28">
                  <c:v>1.94444444444444E-2</c:v>
                </c:pt>
                <c:pt idx="29">
                  <c:v>2.01388888888888E-2</c:v>
                </c:pt>
                <c:pt idx="30">
                  <c:v>2.08333333333332E-2</c:v>
                </c:pt>
                <c:pt idx="31">
                  <c:v>2.1527777777777601E-2</c:v>
                </c:pt>
                <c:pt idx="32">
                  <c:v>2.2222222222222001E-2</c:v>
                </c:pt>
              </c:numCache>
            </c:numRef>
          </c:xVal>
          <c:yVal>
            <c:numRef>
              <c:f>Hartslagen!$C$4957:$C$4989</c:f>
              <c:numCache>
                <c:formatCode>General</c:formatCode>
                <c:ptCount val="33"/>
                <c:pt idx="0">
                  <c:v>102</c:v>
                </c:pt>
                <c:pt idx="1">
                  <c:v>166</c:v>
                </c:pt>
                <c:pt idx="2">
                  <c:v>169</c:v>
                </c:pt>
                <c:pt idx="3">
                  <c:v>171</c:v>
                </c:pt>
                <c:pt idx="4">
                  <c:v>173</c:v>
                </c:pt>
                <c:pt idx="5">
                  <c:v>175</c:v>
                </c:pt>
                <c:pt idx="6">
                  <c:v>178</c:v>
                </c:pt>
                <c:pt idx="7">
                  <c:v>175</c:v>
                </c:pt>
                <c:pt idx="8">
                  <c:v>178</c:v>
                </c:pt>
                <c:pt idx="9">
                  <c:v>178</c:v>
                </c:pt>
                <c:pt idx="10">
                  <c:v>178</c:v>
                </c:pt>
                <c:pt idx="11">
                  <c:v>177</c:v>
                </c:pt>
                <c:pt idx="12">
                  <c:v>180</c:v>
                </c:pt>
                <c:pt idx="13">
                  <c:v>177</c:v>
                </c:pt>
                <c:pt idx="14">
                  <c:v>177</c:v>
                </c:pt>
                <c:pt idx="15">
                  <c:v>177</c:v>
                </c:pt>
                <c:pt idx="16">
                  <c:v>177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180</c:v>
                </c:pt>
                <c:pt idx="21">
                  <c:v>181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182</c:v>
                </c:pt>
                <c:pt idx="26">
                  <c:v>186</c:v>
                </c:pt>
                <c:pt idx="27">
                  <c:v>186</c:v>
                </c:pt>
                <c:pt idx="28">
                  <c:v>184</c:v>
                </c:pt>
                <c:pt idx="29">
                  <c:v>187</c:v>
                </c:pt>
                <c:pt idx="30">
                  <c:v>187</c:v>
                </c:pt>
                <c:pt idx="31">
                  <c:v>187</c:v>
                </c:pt>
                <c:pt idx="32">
                  <c:v>186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40320"/>
        <c:axId val="102041472"/>
      </c:scatterChart>
      <c:valAx>
        <c:axId val="102040320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2041472"/>
        <c:crosses val="autoZero"/>
        <c:crossBetween val="midCat"/>
      </c:valAx>
      <c:valAx>
        <c:axId val="102041472"/>
        <c:scaling>
          <c:orientation val="minMax"/>
          <c:max val="200"/>
          <c:min val="11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204032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64476251783111804"/>
          <c:y val="0.77386470145270836"/>
          <c:w val="0.2680546357473792"/>
          <c:h val="0.15755332811810785"/>
        </c:manualLayout>
      </c:layout>
      <c:overlay val="0"/>
      <c:spPr>
        <a:solidFill>
          <a:srgbClr val="969696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rgbClr val="CCCCFF"/>
    </a:solidFill>
    <a:ln w="9525">
      <a:noFill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674271972466728"/>
          <c:y val="2.73775216138328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6.8252361247516297E-2"/>
          <c:y val="0.12968308835997189"/>
          <c:w val="0.72905931332574236"/>
          <c:h val="0.78674406938382946"/>
        </c:manualLayout>
      </c:layout>
      <c:scatterChart>
        <c:scatterStyle val="smoothMarker"/>
        <c:varyColors val="0"/>
        <c:ser>
          <c:idx val="4"/>
          <c:order val="0"/>
          <c:tx>
            <c:v>30/04/2002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'Conconi 2'!$A$2:$A$183</c:f>
              <c:numCache>
                <c:formatCode>h:mm:ss</c:formatCode>
                <c:ptCount val="182"/>
                <c:pt idx="0">
                  <c:v>0</c:v>
                </c:pt>
                <c:pt idx="1">
                  <c:v>5.7870370370370366E-5</c:v>
                </c:pt>
                <c:pt idx="2">
                  <c:v>1.15740740740741E-4</c:v>
                </c:pt>
                <c:pt idx="3">
                  <c:v>1.7361111111111101E-4</c:v>
                </c:pt>
                <c:pt idx="4">
                  <c:v>2.31481481481481E-4</c:v>
                </c:pt>
                <c:pt idx="5">
                  <c:v>2.89351851851852E-4</c:v>
                </c:pt>
                <c:pt idx="6">
                  <c:v>3.4722222222222202E-4</c:v>
                </c:pt>
                <c:pt idx="7">
                  <c:v>4.0509259259259301E-4</c:v>
                </c:pt>
                <c:pt idx="8">
                  <c:v>4.6296296296296298E-4</c:v>
                </c:pt>
                <c:pt idx="9">
                  <c:v>5.20833333333333E-4</c:v>
                </c:pt>
                <c:pt idx="10">
                  <c:v>5.78703703703704E-4</c:v>
                </c:pt>
                <c:pt idx="11">
                  <c:v>6.3657407407407402E-4</c:v>
                </c:pt>
                <c:pt idx="12">
                  <c:v>6.7129629629629625E-4</c:v>
                </c:pt>
                <c:pt idx="13">
                  <c:v>6.9444444444444404E-4</c:v>
                </c:pt>
                <c:pt idx="14">
                  <c:v>7.5231481481481503E-4</c:v>
                </c:pt>
                <c:pt idx="15">
                  <c:v>8.1018518518518505E-4</c:v>
                </c:pt>
                <c:pt idx="16">
                  <c:v>8.6805555555555605E-4</c:v>
                </c:pt>
                <c:pt idx="17">
                  <c:v>9.2592592592592596E-4</c:v>
                </c:pt>
                <c:pt idx="18">
                  <c:v>9.8379629629629598E-4</c:v>
                </c:pt>
                <c:pt idx="19">
                  <c:v>1.0416666666666699E-3</c:v>
                </c:pt>
                <c:pt idx="20">
                  <c:v>1.0995370370370399E-3</c:v>
                </c:pt>
                <c:pt idx="21">
                  <c:v>1.1574074074074099E-3</c:v>
                </c:pt>
                <c:pt idx="22">
                  <c:v>1.21527777777778E-3</c:v>
                </c:pt>
                <c:pt idx="23">
                  <c:v>1.27314814814815E-3</c:v>
                </c:pt>
                <c:pt idx="24">
                  <c:v>1.33101851851852E-3</c:v>
                </c:pt>
                <c:pt idx="25">
                  <c:v>1.38888888888889E-3</c:v>
                </c:pt>
                <c:pt idx="26">
                  <c:v>1.44675925925926E-3</c:v>
                </c:pt>
                <c:pt idx="27">
                  <c:v>1.5046296296296301E-3</c:v>
                </c:pt>
                <c:pt idx="28">
                  <c:v>1.5625000000000001E-3</c:v>
                </c:pt>
                <c:pt idx="29">
                  <c:v>1.6203703703703701E-3</c:v>
                </c:pt>
                <c:pt idx="30">
                  <c:v>1.6782407407407399E-3</c:v>
                </c:pt>
                <c:pt idx="31">
                  <c:v>1.7361111111111099E-3</c:v>
                </c:pt>
                <c:pt idx="32">
                  <c:v>1.79398148148148E-3</c:v>
                </c:pt>
                <c:pt idx="33">
                  <c:v>1.85185185185185E-3</c:v>
                </c:pt>
                <c:pt idx="34">
                  <c:v>1.90972222222222E-3</c:v>
                </c:pt>
                <c:pt idx="35">
                  <c:v>1.9675925925925898E-3</c:v>
                </c:pt>
                <c:pt idx="36">
                  <c:v>2.0254629629629598E-3</c:v>
                </c:pt>
                <c:pt idx="37">
                  <c:v>2.0833333333333298E-3</c:v>
                </c:pt>
                <c:pt idx="38">
                  <c:v>2.1412037037036999E-3</c:v>
                </c:pt>
                <c:pt idx="39">
                  <c:v>2.1990740740740699E-3</c:v>
                </c:pt>
                <c:pt idx="40">
                  <c:v>2.2569444444444399E-3</c:v>
                </c:pt>
                <c:pt idx="41">
                  <c:v>2.3148148148148099E-3</c:v>
                </c:pt>
                <c:pt idx="42">
                  <c:v>2.3726851851851899E-3</c:v>
                </c:pt>
                <c:pt idx="43">
                  <c:v>2.4305555555555599E-3</c:v>
                </c:pt>
                <c:pt idx="44">
                  <c:v>2.48842592592593E-3</c:v>
                </c:pt>
                <c:pt idx="45">
                  <c:v>2.5462962962963E-3</c:v>
                </c:pt>
                <c:pt idx="46">
                  <c:v>2.60416666666667E-3</c:v>
                </c:pt>
                <c:pt idx="47">
                  <c:v>2.66203703703704E-3</c:v>
                </c:pt>
                <c:pt idx="48">
                  <c:v>2.71990740740741E-3</c:v>
                </c:pt>
                <c:pt idx="49">
                  <c:v>2.7777777777777801E-3</c:v>
                </c:pt>
                <c:pt idx="50">
                  <c:v>2.8356481481481501E-3</c:v>
                </c:pt>
                <c:pt idx="51">
                  <c:v>2.8935185185185201E-3</c:v>
                </c:pt>
                <c:pt idx="52">
                  <c:v>2.9513888888888901E-3</c:v>
                </c:pt>
                <c:pt idx="53">
                  <c:v>3.0092592592592601E-3</c:v>
                </c:pt>
                <c:pt idx="54">
                  <c:v>3.0671296296296302E-3</c:v>
                </c:pt>
                <c:pt idx="55">
                  <c:v>3.1250000000000002E-3</c:v>
                </c:pt>
                <c:pt idx="56">
                  <c:v>3.1828703703703702E-3</c:v>
                </c:pt>
                <c:pt idx="57">
                  <c:v>3.2407407407407402E-3</c:v>
                </c:pt>
                <c:pt idx="58">
                  <c:v>3.2986111111111098E-3</c:v>
                </c:pt>
                <c:pt idx="59">
                  <c:v>3.3564814814814798E-3</c:v>
                </c:pt>
                <c:pt idx="60">
                  <c:v>3.4143518518518498E-3</c:v>
                </c:pt>
                <c:pt idx="61">
                  <c:v>3.4722222222222199E-3</c:v>
                </c:pt>
                <c:pt idx="62">
                  <c:v>3.5300925925925899E-3</c:v>
                </c:pt>
                <c:pt idx="63">
                  <c:v>3.5879629629629599E-3</c:v>
                </c:pt>
                <c:pt idx="64">
                  <c:v>3.6458333333333299E-3</c:v>
                </c:pt>
                <c:pt idx="65">
                  <c:v>3.7037037037036999E-3</c:v>
                </c:pt>
                <c:pt idx="66">
                  <c:v>3.76157407407407E-3</c:v>
                </c:pt>
                <c:pt idx="67">
                  <c:v>3.81944444444444E-3</c:v>
                </c:pt>
                <c:pt idx="68">
                  <c:v>3.87731481481481E-3</c:v>
                </c:pt>
                <c:pt idx="69">
                  <c:v>3.9351851851851796E-3</c:v>
                </c:pt>
                <c:pt idx="70">
                  <c:v>3.9930555555555596E-3</c:v>
                </c:pt>
                <c:pt idx="71">
                  <c:v>4.05092592592593E-3</c:v>
                </c:pt>
                <c:pt idx="72">
                  <c:v>4.1087962962962996E-3</c:v>
                </c:pt>
                <c:pt idx="73">
                  <c:v>4.1666666666666701E-3</c:v>
                </c:pt>
                <c:pt idx="74">
                  <c:v>4.2245370370370397E-3</c:v>
                </c:pt>
                <c:pt idx="75">
                  <c:v>4.2824074074074101E-3</c:v>
                </c:pt>
                <c:pt idx="76">
                  <c:v>4.3402777777777797E-3</c:v>
                </c:pt>
                <c:pt idx="77">
                  <c:v>4.3981481481481502E-3</c:v>
                </c:pt>
                <c:pt idx="78">
                  <c:v>4.4560185185185197E-3</c:v>
                </c:pt>
                <c:pt idx="79">
                  <c:v>4.5138888888888902E-3</c:v>
                </c:pt>
                <c:pt idx="80">
                  <c:v>4.5717592592592598E-3</c:v>
                </c:pt>
                <c:pt idx="81">
                  <c:v>4.6296296296296302E-3</c:v>
                </c:pt>
                <c:pt idx="82">
                  <c:v>4.6874999999999998E-3</c:v>
                </c:pt>
                <c:pt idx="83">
                  <c:v>4.7453703703703703E-3</c:v>
                </c:pt>
                <c:pt idx="84">
                  <c:v>4.8032407407407399E-3</c:v>
                </c:pt>
                <c:pt idx="85">
                  <c:v>4.8611111111111103E-3</c:v>
                </c:pt>
                <c:pt idx="86">
                  <c:v>4.8726851851851856E-3</c:v>
                </c:pt>
                <c:pt idx="87">
                  <c:v>4.9189814814814799E-3</c:v>
                </c:pt>
                <c:pt idx="88">
                  <c:v>4.9768518518518504E-3</c:v>
                </c:pt>
                <c:pt idx="89">
                  <c:v>5.0347222222222199E-3</c:v>
                </c:pt>
                <c:pt idx="90">
                  <c:v>5.0925925925925904E-3</c:v>
                </c:pt>
                <c:pt idx="91">
                  <c:v>5.15046296296296E-3</c:v>
                </c:pt>
                <c:pt idx="92">
                  <c:v>5.2083333333333296E-3</c:v>
                </c:pt>
                <c:pt idx="93">
                  <c:v>5.2662037037037E-3</c:v>
                </c:pt>
                <c:pt idx="94">
                  <c:v>5.3240740740740696E-3</c:v>
                </c:pt>
                <c:pt idx="95">
                  <c:v>5.3819444444444401E-3</c:v>
                </c:pt>
                <c:pt idx="96">
                  <c:v>5.4398148148148097E-3</c:v>
                </c:pt>
                <c:pt idx="97">
                  <c:v>5.4976851851851801E-3</c:v>
                </c:pt>
                <c:pt idx="98">
                  <c:v>5.5555555555555497E-3</c:v>
                </c:pt>
                <c:pt idx="99">
                  <c:v>5.6134259259259201E-3</c:v>
                </c:pt>
                <c:pt idx="100">
                  <c:v>5.6712962962962897E-3</c:v>
                </c:pt>
                <c:pt idx="101">
                  <c:v>5.7291666666666602E-3</c:v>
                </c:pt>
                <c:pt idx="102">
                  <c:v>5.7870370370370298E-3</c:v>
                </c:pt>
                <c:pt idx="103">
                  <c:v>5.8449074074074002E-3</c:v>
                </c:pt>
                <c:pt idx="104">
                  <c:v>5.9027777777777698E-3</c:v>
                </c:pt>
                <c:pt idx="105">
                  <c:v>5.9606481481481498E-3</c:v>
                </c:pt>
                <c:pt idx="106">
                  <c:v>6.0185185185185203E-3</c:v>
                </c:pt>
                <c:pt idx="107">
                  <c:v>6.0763888888888899E-3</c:v>
                </c:pt>
                <c:pt idx="108">
                  <c:v>6.1342592592592603E-3</c:v>
                </c:pt>
                <c:pt idx="109">
                  <c:v>6.1921296296296299E-3</c:v>
                </c:pt>
                <c:pt idx="110">
                  <c:v>6.2500000000000003E-3</c:v>
                </c:pt>
                <c:pt idx="111">
                  <c:v>6.3078703703703699E-3</c:v>
                </c:pt>
                <c:pt idx="112">
                  <c:v>6.3657407407407404E-3</c:v>
                </c:pt>
                <c:pt idx="113">
                  <c:v>6.42361111111111E-3</c:v>
                </c:pt>
                <c:pt idx="114">
                  <c:v>6.4583333333333333E-3</c:v>
                </c:pt>
                <c:pt idx="115">
                  <c:v>6.4814814814814804E-3</c:v>
                </c:pt>
                <c:pt idx="116">
                  <c:v>6.53935185185185E-3</c:v>
                </c:pt>
                <c:pt idx="117">
                  <c:v>6.5972222222222196E-3</c:v>
                </c:pt>
                <c:pt idx="118">
                  <c:v>6.6550925925925901E-3</c:v>
                </c:pt>
                <c:pt idx="119">
                  <c:v>6.7129629629629596E-3</c:v>
                </c:pt>
                <c:pt idx="120">
                  <c:v>6.7708333333333301E-3</c:v>
                </c:pt>
                <c:pt idx="121">
                  <c:v>6.8287037037036997E-3</c:v>
                </c:pt>
                <c:pt idx="122">
                  <c:v>6.8865740740740701E-3</c:v>
                </c:pt>
                <c:pt idx="123">
                  <c:v>6.9444444444444397E-3</c:v>
                </c:pt>
                <c:pt idx="124">
                  <c:v>7.0023148148148102E-3</c:v>
                </c:pt>
                <c:pt idx="125">
                  <c:v>7.0601851851851798E-3</c:v>
                </c:pt>
                <c:pt idx="126">
                  <c:v>7.1180555555555502E-3</c:v>
                </c:pt>
                <c:pt idx="127">
                  <c:v>7.1759259259259302E-3</c:v>
                </c:pt>
                <c:pt idx="128">
                  <c:v>7.2337962962962998E-3</c:v>
                </c:pt>
                <c:pt idx="129">
                  <c:v>7.2916666666666703E-3</c:v>
                </c:pt>
                <c:pt idx="130">
                  <c:v>7.3495370370370398E-3</c:v>
                </c:pt>
                <c:pt idx="131">
                  <c:v>7.4074074074074103E-3</c:v>
                </c:pt>
                <c:pt idx="132">
                  <c:v>7.4652777777777799E-3</c:v>
                </c:pt>
                <c:pt idx="133">
                  <c:v>7.5231481481481503E-3</c:v>
                </c:pt>
                <c:pt idx="134">
                  <c:v>7.5810185185185199E-3</c:v>
                </c:pt>
                <c:pt idx="135">
                  <c:v>7.6388888888888904E-3</c:v>
                </c:pt>
                <c:pt idx="136">
                  <c:v>7.69675925925926E-3</c:v>
                </c:pt>
                <c:pt idx="137">
                  <c:v>7.7546296296296304E-3</c:v>
                </c:pt>
                <c:pt idx="138">
                  <c:v>7.8125E-3</c:v>
                </c:pt>
                <c:pt idx="139">
                  <c:v>7.8703703703703696E-3</c:v>
                </c:pt>
                <c:pt idx="140">
                  <c:v>7.9282407407407392E-3</c:v>
                </c:pt>
                <c:pt idx="141">
                  <c:v>7.9861111111111105E-3</c:v>
                </c:pt>
                <c:pt idx="142">
                  <c:v>8.0439814814814801E-3</c:v>
                </c:pt>
                <c:pt idx="143">
                  <c:v>8.1018518518518497E-3</c:v>
                </c:pt>
                <c:pt idx="144">
                  <c:v>8.1597222222222193E-3</c:v>
                </c:pt>
                <c:pt idx="145">
                  <c:v>8.2175925925925906E-3</c:v>
                </c:pt>
                <c:pt idx="146">
                  <c:v>8.2754629629629602E-3</c:v>
                </c:pt>
                <c:pt idx="147">
                  <c:v>8.3333333333333297E-3</c:v>
                </c:pt>
                <c:pt idx="148">
                  <c:v>8.3912037037036993E-3</c:v>
                </c:pt>
                <c:pt idx="149">
                  <c:v>8.4490740740740793E-3</c:v>
                </c:pt>
                <c:pt idx="150">
                  <c:v>8.5069444444444507E-3</c:v>
                </c:pt>
                <c:pt idx="151">
                  <c:v>8.5648148148148202E-3</c:v>
                </c:pt>
                <c:pt idx="152">
                  <c:v>8.6226851851851898E-3</c:v>
                </c:pt>
                <c:pt idx="153">
                  <c:v>8.6805555555555594E-3</c:v>
                </c:pt>
                <c:pt idx="154">
                  <c:v>8.7384259259259307E-3</c:v>
                </c:pt>
                <c:pt idx="155">
                  <c:v>8.7962962962963003E-3</c:v>
                </c:pt>
                <c:pt idx="156">
                  <c:v>8.8541666666666699E-3</c:v>
                </c:pt>
                <c:pt idx="157">
                  <c:v>8.9120370370370395E-3</c:v>
                </c:pt>
                <c:pt idx="158">
                  <c:v>8.9699074074074108E-3</c:v>
                </c:pt>
                <c:pt idx="159">
                  <c:v>9.0277777777777804E-3</c:v>
                </c:pt>
                <c:pt idx="160">
                  <c:v>9.08564814814815E-3</c:v>
                </c:pt>
                <c:pt idx="161">
                  <c:v>9.0972222222222218E-3</c:v>
                </c:pt>
                <c:pt idx="162">
                  <c:v>9.1435185185185196E-3</c:v>
                </c:pt>
                <c:pt idx="163">
                  <c:v>9.2013888888888892E-3</c:v>
                </c:pt>
                <c:pt idx="164">
                  <c:v>9.2592592592592605E-3</c:v>
                </c:pt>
                <c:pt idx="165">
                  <c:v>9.3171296296296301E-3</c:v>
                </c:pt>
                <c:pt idx="166">
                  <c:v>9.3749999999999997E-3</c:v>
                </c:pt>
                <c:pt idx="167">
                  <c:v>9.4328703703703692E-3</c:v>
                </c:pt>
                <c:pt idx="168">
                  <c:v>9.4907407407407406E-3</c:v>
                </c:pt>
                <c:pt idx="169">
                  <c:v>9.5486111111111101E-3</c:v>
                </c:pt>
                <c:pt idx="170">
                  <c:v>9.6064814814814797E-3</c:v>
                </c:pt>
                <c:pt idx="171">
                  <c:v>9.6643518518518493E-3</c:v>
                </c:pt>
                <c:pt idx="172">
                  <c:v>9.7222222222222293E-3</c:v>
                </c:pt>
                <c:pt idx="173">
                  <c:v>9.7800925925926006E-3</c:v>
                </c:pt>
                <c:pt idx="174">
                  <c:v>9.8379629629629702E-3</c:v>
                </c:pt>
                <c:pt idx="175">
                  <c:v>9.8958333333333398E-3</c:v>
                </c:pt>
                <c:pt idx="176">
                  <c:v>9.9537037037037094E-3</c:v>
                </c:pt>
                <c:pt idx="177">
                  <c:v>1.00115740740741E-2</c:v>
                </c:pt>
                <c:pt idx="178">
                  <c:v>1.00694444444444E-2</c:v>
                </c:pt>
                <c:pt idx="179">
                  <c:v>1.0127314814814801E-2</c:v>
                </c:pt>
                <c:pt idx="180">
                  <c:v>1.01851851851852E-2</c:v>
                </c:pt>
                <c:pt idx="181">
                  <c:v>1.0243055555555601E-2</c:v>
                </c:pt>
              </c:numCache>
            </c:numRef>
          </c:xVal>
          <c:yVal>
            <c:numRef>
              <c:f>'Conconi 2'!$B$2:$B$183</c:f>
              <c:numCache>
                <c:formatCode>General</c:formatCode>
                <c:ptCount val="182"/>
                <c:pt idx="0">
                  <c:v>69</c:v>
                </c:pt>
                <c:pt idx="1">
                  <c:v>69</c:v>
                </c:pt>
                <c:pt idx="2">
                  <c:v>86</c:v>
                </c:pt>
                <c:pt idx="3">
                  <c:v>93</c:v>
                </c:pt>
                <c:pt idx="4">
                  <c:v>96</c:v>
                </c:pt>
                <c:pt idx="5">
                  <c:v>97</c:v>
                </c:pt>
                <c:pt idx="6">
                  <c:v>97</c:v>
                </c:pt>
                <c:pt idx="7">
                  <c:v>93</c:v>
                </c:pt>
                <c:pt idx="8">
                  <c:v>88</c:v>
                </c:pt>
                <c:pt idx="9">
                  <c:v>92</c:v>
                </c:pt>
                <c:pt idx="10">
                  <c:v>92</c:v>
                </c:pt>
                <c:pt idx="11">
                  <c:v>90</c:v>
                </c:pt>
                <c:pt idx="13">
                  <c:v>87</c:v>
                </c:pt>
                <c:pt idx="14">
                  <c:v>94</c:v>
                </c:pt>
                <c:pt idx="15">
                  <c:v>97</c:v>
                </c:pt>
                <c:pt idx="16">
                  <c:v>99</c:v>
                </c:pt>
                <c:pt idx="17">
                  <c:v>100</c:v>
                </c:pt>
                <c:pt idx="18">
                  <c:v>101</c:v>
                </c:pt>
                <c:pt idx="19">
                  <c:v>101</c:v>
                </c:pt>
                <c:pt idx="20">
                  <c:v>99</c:v>
                </c:pt>
                <c:pt idx="21">
                  <c:v>100</c:v>
                </c:pt>
                <c:pt idx="22">
                  <c:v>99</c:v>
                </c:pt>
                <c:pt idx="23">
                  <c:v>99</c:v>
                </c:pt>
                <c:pt idx="24">
                  <c:v>97</c:v>
                </c:pt>
                <c:pt idx="25">
                  <c:v>92</c:v>
                </c:pt>
                <c:pt idx="26">
                  <c:v>93</c:v>
                </c:pt>
                <c:pt idx="27">
                  <c:v>96</c:v>
                </c:pt>
                <c:pt idx="28">
                  <c:v>95</c:v>
                </c:pt>
                <c:pt idx="29">
                  <c:v>89</c:v>
                </c:pt>
                <c:pt idx="30">
                  <c:v>91</c:v>
                </c:pt>
                <c:pt idx="31">
                  <c:v>93</c:v>
                </c:pt>
                <c:pt idx="32">
                  <c:v>87</c:v>
                </c:pt>
                <c:pt idx="33">
                  <c:v>91</c:v>
                </c:pt>
                <c:pt idx="34">
                  <c:v>95</c:v>
                </c:pt>
                <c:pt idx="35">
                  <c:v>94</c:v>
                </c:pt>
                <c:pt idx="36">
                  <c:v>98</c:v>
                </c:pt>
                <c:pt idx="37">
                  <c:v>96</c:v>
                </c:pt>
                <c:pt idx="38">
                  <c:v>97</c:v>
                </c:pt>
                <c:pt idx="39">
                  <c:v>98</c:v>
                </c:pt>
                <c:pt idx="40">
                  <c:v>99</c:v>
                </c:pt>
                <c:pt idx="41">
                  <c:v>101</c:v>
                </c:pt>
                <c:pt idx="42">
                  <c:v>99</c:v>
                </c:pt>
                <c:pt idx="43">
                  <c:v>102</c:v>
                </c:pt>
                <c:pt idx="44">
                  <c:v>101</c:v>
                </c:pt>
                <c:pt idx="45">
                  <c:v>97</c:v>
                </c:pt>
                <c:pt idx="46">
                  <c:v>88</c:v>
                </c:pt>
                <c:pt idx="47">
                  <c:v>86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96</c:v>
                </c:pt>
                <c:pt idx="52">
                  <c:v>93</c:v>
                </c:pt>
                <c:pt idx="53">
                  <c:v>97</c:v>
                </c:pt>
                <c:pt idx="54">
                  <c:v>99</c:v>
                </c:pt>
                <c:pt idx="55">
                  <c:v>101</c:v>
                </c:pt>
                <c:pt idx="56">
                  <c:v>103</c:v>
                </c:pt>
                <c:pt idx="57">
                  <c:v>102</c:v>
                </c:pt>
                <c:pt idx="58">
                  <c:v>102</c:v>
                </c:pt>
                <c:pt idx="59">
                  <c:v>98</c:v>
                </c:pt>
                <c:pt idx="60">
                  <c:v>100</c:v>
                </c:pt>
                <c:pt idx="61">
                  <c:v>102</c:v>
                </c:pt>
                <c:pt idx="62">
                  <c:v>103</c:v>
                </c:pt>
                <c:pt idx="63">
                  <c:v>103</c:v>
                </c:pt>
                <c:pt idx="64">
                  <c:v>102</c:v>
                </c:pt>
                <c:pt idx="65">
                  <c:v>102</c:v>
                </c:pt>
                <c:pt idx="66">
                  <c:v>103</c:v>
                </c:pt>
                <c:pt idx="67">
                  <c:v>103</c:v>
                </c:pt>
                <c:pt idx="68">
                  <c:v>104</c:v>
                </c:pt>
                <c:pt idx="69">
                  <c:v>103</c:v>
                </c:pt>
                <c:pt idx="70">
                  <c:v>104</c:v>
                </c:pt>
                <c:pt idx="71">
                  <c:v>104</c:v>
                </c:pt>
                <c:pt idx="72">
                  <c:v>104</c:v>
                </c:pt>
                <c:pt idx="73">
                  <c:v>104</c:v>
                </c:pt>
                <c:pt idx="74">
                  <c:v>103</c:v>
                </c:pt>
                <c:pt idx="75">
                  <c:v>103</c:v>
                </c:pt>
                <c:pt idx="76">
                  <c:v>104</c:v>
                </c:pt>
                <c:pt idx="77">
                  <c:v>103</c:v>
                </c:pt>
                <c:pt idx="78">
                  <c:v>104</c:v>
                </c:pt>
                <c:pt idx="79">
                  <c:v>103</c:v>
                </c:pt>
                <c:pt idx="80">
                  <c:v>105</c:v>
                </c:pt>
                <c:pt idx="81">
                  <c:v>105</c:v>
                </c:pt>
                <c:pt idx="82">
                  <c:v>105</c:v>
                </c:pt>
                <c:pt idx="83">
                  <c:v>104</c:v>
                </c:pt>
                <c:pt idx="84">
                  <c:v>103</c:v>
                </c:pt>
                <c:pt idx="85">
                  <c:v>103</c:v>
                </c:pt>
                <c:pt idx="87">
                  <c:v>105</c:v>
                </c:pt>
                <c:pt idx="88">
                  <c:v>107</c:v>
                </c:pt>
                <c:pt idx="89">
                  <c:v>107</c:v>
                </c:pt>
                <c:pt idx="90">
                  <c:v>108</c:v>
                </c:pt>
                <c:pt idx="91">
                  <c:v>109</c:v>
                </c:pt>
                <c:pt idx="92">
                  <c:v>110</c:v>
                </c:pt>
                <c:pt idx="93">
                  <c:v>110</c:v>
                </c:pt>
                <c:pt idx="94">
                  <c:v>110</c:v>
                </c:pt>
                <c:pt idx="95">
                  <c:v>109</c:v>
                </c:pt>
                <c:pt idx="96">
                  <c:v>109</c:v>
                </c:pt>
                <c:pt idx="97">
                  <c:v>110</c:v>
                </c:pt>
                <c:pt idx="98">
                  <c:v>110</c:v>
                </c:pt>
                <c:pt idx="99">
                  <c:v>108</c:v>
                </c:pt>
                <c:pt idx="100">
                  <c:v>109</c:v>
                </c:pt>
                <c:pt idx="101">
                  <c:v>109</c:v>
                </c:pt>
                <c:pt idx="102">
                  <c:v>109</c:v>
                </c:pt>
                <c:pt idx="103">
                  <c:v>111</c:v>
                </c:pt>
                <c:pt idx="104">
                  <c:v>112</c:v>
                </c:pt>
                <c:pt idx="105">
                  <c:v>112</c:v>
                </c:pt>
                <c:pt idx="106">
                  <c:v>111</c:v>
                </c:pt>
                <c:pt idx="107">
                  <c:v>111</c:v>
                </c:pt>
                <c:pt idx="108">
                  <c:v>111</c:v>
                </c:pt>
                <c:pt idx="109">
                  <c:v>112</c:v>
                </c:pt>
                <c:pt idx="110">
                  <c:v>111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5">
                  <c:v>113</c:v>
                </c:pt>
                <c:pt idx="116">
                  <c:v>115</c:v>
                </c:pt>
                <c:pt idx="117">
                  <c:v>121</c:v>
                </c:pt>
                <c:pt idx="118">
                  <c:v>124</c:v>
                </c:pt>
                <c:pt idx="119">
                  <c:v>125</c:v>
                </c:pt>
                <c:pt idx="120">
                  <c:v>126</c:v>
                </c:pt>
                <c:pt idx="121">
                  <c:v>125</c:v>
                </c:pt>
                <c:pt idx="122">
                  <c:v>125</c:v>
                </c:pt>
                <c:pt idx="123">
                  <c:v>122</c:v>
                </c:pt>
                <c:pt idx="124">
                  <c:v>124</c:v>
                </c:pt>
                <c:pt idx="125">
                  <c:v>125</c:v>
                </c:pt>
                <c:pt idx="126">
                  <c:v>125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127</c:v>
                </c:pt>
                <c:pt idx="131">
                  <c:v>127</c:v>
                </c:pt>
                <c:pt idx="132">
                  <c:v>127</c:v>
                </c:pt>
                <c:pt idx="133">
                  <c:v>128</c:v>
                </c:pt>
                <c:pt idx="134">
                  <c:v>129</c:v>
                </c:pt>
                <c:pt idx="135">
                  <c:v>129</c:v>
                </c:pt>
                <c:pt idx="136">
                  <c:v>130</c:v>
                </c:pt>
                <c:pt idx="137">
                  <c:v>129</c:v>
                </c:pt>
                <c:pt idx="138">
                  <c:v>130</c:v>
                </c:pt>
                <c:pt idx="139">
                  <c:v>131</c:v>
                </c:pt>
                <c:pt idx="140">
                  <c:v>133</c:v>
                </c:pt>
                <c:pt idx="141">
                  <c:v>133</c:v>
                </c:pt>
                <c:pt idx="142">
                  <c:v>133</c:v>
                </c:pt>
                <c:pt idx="143">
                  <c:v>134</c:v>
                </c:pt>
                <c:pt idx="144">
                  <c:v>135</c:v>
                </c:pt>
                <c:pt idx="145">
                  <c:v>137</c:v>
                </c:pt>
                <c:pt idx="146">
                  <c:v>136</c:v>
                </c:pt>
                <c:pt idx="147">
                  <c:v>134</c:v>
                </c:pt>
                <c:pt idx="148">
                  <c:v>133</c:v>
                </c:pt>
                <c:pt idx="149">
                  <c:v>134</c:v>
                </c:pt>
                <c:pt idx="150">
                  <c:v>136</c:v>
                </c:pt>
                <c:pt idx="151">
                  <c:v>135</c:v>
                </c:pt>
                <c:pt idx="152">
                  <c:v>136</c:v>
                </c:pt>
                <c:pt idx="153">
                  <c:v>136</c:v>
                </c:pt>
                <c:pt idx="154">
                  <c:v>135</c:v>
                </c:pt>
                <c:pt idx="155">
                  <c:v>134</c:v>
                </c:pt>
                <c:pt idx="156">
                  <c:v>140</c:v>
                </c:pt>
                <c:pt idx="157">
                  <c:v>131</c:v>
                </c:pt>
                <c:pt idx="158">
                  <c:v>135</c:v>
                </c:pt>
                <c:pt idx="159">
                  <c:v>136</c:v>
                </c:pt>
                <c:pt idx="160">
                  <c:v>137</c:v>
                </c:pt>
                <c:pt idx="162">
                  <c:v>137</c:v>
                </c:pt>
                <c:pt idx="163">
                  <c:v>134</c:v>
                </c:pt>
                <c:pt idx="164">
                  <c:v>130</c:v>
                </c:pt>
                <c:pt idx="165">
                  <c:v>126</c:v>
                </c:pt>
                <c:pt idx="166">
                  <c:v>123</c:v>
                </c:pt>
                <c:pt idx="167">
                  <c:v>120</c:v>
                </c:pt>
                <c:pt idx="168">
                  <c:v>118</c:v>
                </c:pt>
                <c:pt idx="169">
                  <c:v>118</c:v>
                </c:pt>
                <c:pt idx="170">
                  <c:v>117</c:v>
                </c:pt>
                <c:pt idx="171">
                  <c:v>115</c:v>
                </c:pt>
                <c:pt idx="172">
                  <c:v>112</c:v>
                </c:pt>
                <c:pt idx="173">
                  <c:v>113</c:v>
                </c:pt>
                <c:pt idx="174">
                  <c:v>111</c:v>
                </c:pt>
                <c:pt idx="175">
                  <c:v>109</c:v>
                </c:pt>
                <c:pt idx="176">
                  <c:v>106</c:v>
                </c:pt>
                <c:pt idx="177">
                  <c:v>106</c:v>
                </c:pt>
                <c:pt idx="178">
                  <c:v>106</c:v>
                </c:pt>
                <c:pt idx="179">
                  <c:v>106</c:v>
                </c:pt>
                <c:pt idx="180">
                  <c:v>103</c:v>
                </c:pt>
                <c:pt idx="181">
                  <c:v>105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84800"/>
        <c:axId val="103486592"/>
      </c:scatterChart>
      <c:valAx>
        <c:axId val="103484800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3486592"/>
        <c:crosses val="autoZero"/>
        <c:crossBetween val="midCat"/>
      </c:valAx>
      <c:valAx>
        <c:axId val="103486592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34848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488150976991372"/>
          <c:y val="0.50288214693624389"/>
          <c:w val="0.14684602377133049"/>
          <c:h val="4.034582132564845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617458279845959E-2"/>
          <c:y val="5.1587401544289327E-2"/>
          <c:w val="0.71373555840821568"/>
          <c:h val="0.8591286487952799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'Conconi 3'!$A$26:$A$160</c:f>
              <c:numCache>
                <c:formatCode>h:mm:ss</c:formatCode>
                <c:ptCount val="135"/>
                <c:pt idx="0">
                  <c:v>1.38888888888889E-3</c:v>
                </c:pt>
                <c:pt idx="1">
                  <c:v>1.44675925925926E-3</c:v>
                </c:pt>
                <c:pt idx="2">
                  <c:v>1.5046296296296301E-3</c:v>
                </c:pt>
                <c:pt idx="3">
                  <c:v>1.5625000000000001E-3</c:v>
                </c:pt>
                <c:pt idx="4">
                  <c:v>1.6203703703703701E-3</c:v>
                </c:pt>
                <c:pt idx="5">
                  <c:v>1.6782407407407399E-3</c:v>
                </c:pt>
                <c:pt idx="6">
                  <c:v>1.7361111111111099E-3</c:v>
                </c:pt>
                <c:pt idx="7">
                  <c:v>1.79398148148148E-3</c:v>
                </c:pt>
                <c:pt idx="8">
                  <c:v>1.85185185185185E-3</c:v>
                </c:pt>
                <c:pt idx="9">
                  <c:v>1.90972222222222E-3</c:v>
                </c:pt>
                <c:pt idx="10">
                  <c:v>1.9675925925925898E-3</c:v>
                </c:pt>
                <c:pt idx="11">
                  <c:v>2.0254629629629598E-3</c:v>
                </c:pt>
                <c:pt idx="12">
                  <c:v>2.0833333333333298E-3</c:v>
                </c:pt>
                <c:pt idx="13">
                  <c:v>2.1412037037036999E-3</c:v>
                </c:pt>
                <c:pt idx="14">
                  <c:v>2.1990740740740699E-3</c:v>
                </c:pt>
                <c:pt idx="15">
                  <c:v>2.2569444444444399E-3</c:v>
                </c:pt>
                <c:pt idx="16">
                  <c:v>2.3148148148148099E-3</c:v>
                </c:pt>
                <c:pt idx="17">
                  <c:v>2.3726851851851899E-3</c:v>
                </c:pt>
                <c:pt idx="18">
                  <c:v>2.4305555555555599E-3</c:v>
                </c:pt>
                <c:pt idx="19">
                  <c:v>2.48842592592593E-3</c:v>
                </c:pt>
                <c:pt idx="20">
                  <c:v>2.5462962962963E-3</c:v>
                </c:pt>
                <c:pt idx="21">
                  <c:v>2.60416666666667E-3</c:v>
                </c:pt>
                <c:pt idx="22">
                  <c:v>2.66203703703704E-3</c:v>
                </c:pt>
                <c:pt idx="23">
                  <c:v>2.71990740740741E-3</c:v>
                </c:pt>
                <c:pt idx="24">
                  <c:v>2.7777777777777801E-3</c:v>
                </c:pt>
                <c:pt idx="25">
                  <c:v>2.8356481481481501E-3</c:v>
                </c:pt>
                <c:pt idx="26">
                  <c:v>2.8935185185185201E-3</c:v>
                </c:pt>
                <c:pt idx="27">
                  <c:v>2.9513888888888901E-3</c:v>
                </c:pt>
                <c:pt idx="28">
                  <c:v>3.0092592592592601E-3</c:v>
                </c:pt>
                <c:pt idx="29">
                  <c:v>3.0671296296296302E-3</c:v>
                </c:pt>
                <c:pt idx="30">
                  <c:v>3.1250000000000002E-3</c:v>
                </c:pt>
                <c:pt idx="31">
                  <c:v>3.1828703703703702E-3</c:v>
                </c:pt>
                <c:pt idx="32">
                  <c:v>3.2407407407407402E-3</c:v>
                </c:pt>
                <c:pt idx="33">
                  <c:v>3.2986111111111098E-3</c:v>
                </c:pt>
                <c:pt idx="34">
                  <c:v>3.3564814814814798E-3</c:v>
                </c:pt>
                <c:pt idx="35">
                  <c:v>3.4143518518518498E-3</c:v>
                </c:pt>
                <c:pt idx="36">
                  <c:v>3.4722222222222199E-3</c:v>
                </c:pt>
                <c:pt idx="37">
                  <c:v>3.5300925925925899E-3</c:v>
                </c:pt>
                <c:pt idx="38">
                  <c:v>3.5879629629629599E-3</c:v>
                </c:pt>
                <c:pt idx="39">
                  <c:v>3.6458333333333299E-3</c:v>
                </c:pt>
                <c:pt idx="40">
                  <c:v>3.7037037037036999E-3</c:v>
                </c:pt>
                <c:pt idx="41">
                  <c:v>3.76157407407407E-3</c:v>
                </c:pt>
                <c:pt idx="42">
                  <c:v>3.81944444444444E-3</c:v>
                </c:pt>
                <c:pt idx="43">
                  <c:v>3.87731481481481E-3</c:v>
                </c:pt>
                <c:pt idx="44">
                  <c:v>3.9351851851851796E-3</c:v>
                </c:pt>
                <c:pt idx="45">
                  <c:v>3.99305555555555E-3</c:v>
                </c:pt>
                <c:pt idx="46">
                  <c:v>4.0509259259259196E-3</c:v>
                </c:pt>
                <c:pt idx="47">
                  <c:v>4.1087962962962901E-3</c:v>
                </c:pt>
                <c:pt idx="48">
                  <c:v>4.1666666666666597E-3</c:v>
                </c:pt>
                <c:pt idx="49">
                  <c:v>4.2245370370370301E-3</c:v>
                </c:pt>
                <c:pt idx="50">
                  <c:v>4.2824074074073997E-3</c:v>
                </c:pt>
                <c:pt idx="51">
                  <c:v>4.3402777777777702E-3</c:v>
                </c:pt>
                <c:pt idx="52">
                  <c:v>4.3981481481481398E-3</c:v>
                </c:pt>
                <c:pt idx="53">
                  <c:v>4.4560185185185102E-3</c:v>
                </c:pt>
                <c:pt idx="54">
                  <c:v>4.5138888888888798E-3</c:v>
                </c:pt>
                <c:pt idx="55">
                  <c:v>4.5717592592592502E-3</c:v>
                </c:pt>
                <c:pt idx="56">
                  <c:v>4.6296296296296198E-3</c:v>
                </c:pt>
                <c:pt idx="57">
                  <c:v>4.6874999999999903E-3</c:v>
                </c:pt>
                <c:pt idx="58">
                  <c:v>4.7453703703703599E-3</c:v>
                </c:pt>
                <c:pt idx="59">
                  <c:v>4.8032407407407303E-3</c:v>
                </c:pt>
                <c:pt idx="60">
                  <c:v>4.8611111111110999E-3</c:v>
                </c:pt>
                <c:pt idx="61">
                  <c:v>4.9189814814814704E-3</c:v>
                </c:pt>
                <c:pt idx="62">
                  <c:v>4.97685185185184E-3</c:v>
                </c:pt>
                <c:pt idx="63">
                  <c:v>5.0347222222222104E-3</c:v>
                </c:pt>
                <c:pt idx="64">
                  <c:v>5.09259259259258E-3</c:v>
                </c:pt>
                <c:pt idx="65">
                  <c:v>5.1504629629629496E-3</c:v>
                </c:pt>
                <c:pt idx="66">
                  <c:v>5.20833333333332E-3</c:v>
                </c:pt>
                <c:pt idx="67">
                  <c:v>5.2662037037036896E-3</c:v>
                </c:pt>
                <c:pt idx="68">
                  <c:v>5.3240740740740601E-3</c:v>
                </c:pt>
                <c:pt idx="69">
                  <c:v>5.3819444444444297E-3</c:v>
                </c:pt>
                <c:pt idx="70">
                  <c:v>5.4398148148148001E-3</c:v>
                </c:pt>
                <c:pt idx="71">
                  <c:v>5.4976851851851697E-3</c:v>
                </c:pt>
                <c:pt idx="72">
                  <c:v>5.5555555555555402E-3</c:v>
                </c:pt>
                <c:pt idx="73">
                  <c:v>5.6134259259259097E-3</c:v>
                </c:pt>
                <c:pt idx="74">
                  <c:v>5.6712962962962802E-3</c:v>
                </c:pt>
                <c:pt idx="75">
                  <c:v>5.7291666666666498E-3</c:v>
                </c:pt>
                <c:pt idx="76">
                  <c:v>5.7870370370370202E-3</c:v>
                </c:pt>
                <c:pt idx="77">
                  <c:v>5.8449074074073898E-3</c:v>
                </c:pt>
                <c:pt idx="78">
                  <c:v>5.9027777777777603E-3</c:v>
                </c:pt>
                <c:pt idx="79">
                  <c:v>5.9606481481481299E-3</c:v>
                </c:pt>
                <c:pt idx="80">
                  <c:v>6.0185185185185003E-3</c:v>
                </c:pt>
                <c:pt idx="81">
                  <c:v>6.0763888888888699E-3</c:v>
                </c:pt>
                <c:pt idx="82">
                  <c:v>6.1342592592592404E-3</c:v>
                </c:pt>
                <c:pt idx="83">
                  <c:v>6.1921296296296099E-3</c:v>
                </c:pt>
                <c:pt idx="84">
                  <c:v>6.2499999999999804E-3</c:v>
                </c:pt>
                <c:pt idx="85">
                  <c:v>6.30787037037035E-3</c:v>
                </c:pt>
                <c:pt idx="86">
                  <c:v>6.3657407407407196E-3</c:v>
                </c:pt>
                <c:pt idx="87">
                  <c:v>6.42361111111109E-3</c:v>
                </c:pt>
                <c:pt idx="88">
                  <c:v>6.4814814814814596E-3</c:v>
                </c:pt>
                <c:pt idx="89">
                  <c:v>6.5393518518518301E-3</c:v>
                </c:pt>
                <c:pt idx="90">
                  <c:v>6.5972222222221997E-3</c:v>
                </c:pt>
                <c:pt idx="91">
                  <c:v>6.6550925925925701E-3</c:v>
                </c:pt>
                <c:pt idx="92">
                  <c:v>6.7129629629629397E-3</c:v>
                </c:pt>
                <c:pt idx="93">
                  <c:v>6.7708333333333101E-3</c:v>
                </c:pt>
                <c:pt idx="94">
                  <c:v>6.8287037037036797E-3</c:v>
                </c:pt>
                <c:pt idx="95">
                  <c:v>6.8865740740740502E-3</c:v>
                </c:pt>
                <c:pt idx="96">
                  <c:v>6.9444444444444198E-3</c:v>
                </c:pt>
                <c:pt idx="97">
                  <c:v>7.0023148148147902E-3</c:v>
                </c:pt>
                <c:pt idx="98">
                  <c:v>7.0601851851851598E-3</c:v>
                </c:pt>
                <c:pt idx="99">
                  <c:v>7.1180555555555303E-3</c:v>
                </c:pt>
                <c:pt idx="100">
                  <c:v>7.1759259259258999E-3</c:v>
                </c:pt>
                <c:pt idx="101">
                  <c:v>7.2337962962962703E-3</c:v>
                </c:pt>
                <c:pt idx="102">
                  <c:v>7.2916666666666399E-3</c:v>
                </c:pt>
                <c:pt idx="103">
                  <c:v>7.3495370370370103E-3</c:v>
                </c:pt>
                <c:pt idx="104">
                  <c:v>7.4074074074073799E-3</c:v>
                </c:pt>
                <c:pt idx="105">
                  <c:v>7.4652777777777504E-3</c:v>
                </c:pt>
                <c:pt idx="106">
                  <c:v>7.52314814814812E-3</c:v>
                </c:pt>
                <c:pt idx="107">
                  <c:v>7.5810185185184904E-3</c:v>
                </c:pt>
                <c:pt idx="108">
                  <c:v>7.63888888888886E-3</c:v>
                </c:pt>
                <c:pt idx="109">
                  <c:v>7.6967592592592296E-3</c:v>
                </c:pt>
                <c:pt idx="110">
                  <c:v>7.7546296296296001E-3</c:v>
                </c:pt>
              </c:numCache>
            </c:numRef>
          </c:xVal>
          <c:yVal>
            <c:numRef>
              <c:f>'Conconi 3'!$B$26:$B$160</c:f>
              <c:numCache>
                <c:formatCode>General</c:formatCode>
                <c:ptCount val="135"/>
                <c:pt idx="0">
                  <c:v>125</c:v>
                </c:pt>
                <c:pt idx="1">
                  <c:v>126</c:v>
                </c:pt>
                <c:pt idx="2">
                  <c:v>126</c:v>
                </c:pt>
                <c:pt idx="3">
                  <c:v>126</c:v>
                </c:pt>
                <c:pt idx="4">
                  <c:v>125</c:v>
                </c:pt>
                <c:pt idx="5">
                  <c:v>125</c:v>
                </c:pt>
                <c:pt idx="6">
                  <c:v>128</c:v>
                </c:pt>
                <c:pt idx="7">
                  <c:v>127</c:v>
                </c:pt>
                <c:pt idx="8">
                  <c:v>127</c:v>
                </c:pt>
                <c:pt idx="9">
                  <c:v>125</c:v>
                </c:pt>
                <c:pt idx="10">
                  <c:v>126</c:v>
                </c:pt>
                <c:pt idx="11">
                  <c:v>126</c:v>
                </c:pt>
                <c:pt idx="12">
                  <c:v>126</c:v>
                </c:pt>
                <c:pt idx="13">
                  <c:v>127</c:v>
                </c:pt>
                <c:pt idx="14">
                  <c:v>128</c:v>
                </c:pt>
                <c:pt idx="15">
                  <c:v>127</c:v>
                </c:pt>
                <c:pt idx="16">
                  <c:v>128</c:v>
                </c:pt>
                <c:pt idx="17">
                  <c:v>129</c:v>
                </c:pt>
                <c:pt idx="18">
                  <c:v>132</c:v>
                </c:pt>
                <c:pt idx="19">
                  <c:v>134</c:v>
                </c:pt>
                <c:pt idx="20">
                  <c:v>135</c:v>
                </c:pt>
                <c:pt idx="21">
                  <c:v>133</c:v>
                </c:pt>
                <c:pt idx="22">
                  <c:v>132</c:v>
                </c:pt>
                <c:pt idx="23">
                  <c:v>132</c:v>
                </c:pt>
                <c:pt idx="24">
                  <c:v>132</c:v>
                </c:pt>
                <c:pt idx="25">
                  <c:v>132</c:v>
                </c:pt>
                <c:pt idx="26">
                  <c:v>132</c:v>
                </c:pt>
                <c:pt idx="27">
                  <c:v>134</c:v>
                </c:pt>
                <c:pt idx="28">
                  <c:v>136</c:v>
                </c:pt>
                <c:pt idx="29">
                  <c:v>134</c:v>
                </c:pt>
                <c:pt idx="30">
                  <c:v>135</c:v>
                </c:pt>
                <c:pt idx="31">
                  <c:v>135</c:v>
                </c:pt>
                <c:pt idx="32">
                  <c:v>135</c:v>
                </c:pt>
                <c:pt idx="33">
                  <c:v>134</c:v>
                </c:pt>
                <c:pt idx="34">
                  <c:v>134</c:v>
                </c:pt>
                <c:pt idx="35">
                  <c:v>134</c:v>
                </c:pt>
                <c:pt idx="36">
                  <c:v>136</c:v>
                </c:pt>
                <c:pt idx="37">
                  <c:v>137</c:v>
                </c:pt>
                <c:pt idx="38">
                  <c:v>137</c:v>
                </c:pt>
                <c:pt idx="39">
                  <c:v>136</c:v>
                </c:pt>
                <c:pt idx="40">
                  <c:v>137</c:v>
                </c:pt>
                <c:pt idx="41">
                  <c:v>137</c:v>
                </c:pt>
                <c:pt idx="42">
                  <c:v>134</c:v>
                </c:pt>
                <c:pt idx="43">
                  <c:v>134</c:v>
                </c:pt>
                <c:pt idx="44">
                  <c:v>132</c:v>
                </c:pt>
                <c:pt idx="45">
                  <c:v>134</c:v>
                </c:pt>
                <c:pt idx="46">
                  <c:v>135</c:v>
                </c:pt>
                <c:pt idx="47">
                  <c:v>135</c:v>
                </c:pt>
                <c:pt idx="48">
                  <c:v>137</c:v>
                </c:pt>
                <c:pt idx="49">
                  <c:v>138</c:v>
                </c:pt>
                <c:pt idx="50">
                  <c:v>140</c:v>
                </c:pt>
                <c:pt idx="51">
                  <c:v>140</c:v>
                </c:pt>
                <c:pt idx="52">
                  <c:v>138</c:v>
                </c:pt>
                <c:pt idx="53">
                  <c:v>139</c:v>
                </c:pt>
                <c:pt idx="54">
                  <c:v>140</c:v>
                </c:pt>
                <c:pt idx="55">
                  <c:v>142</c:v>
                </c:pt>
                <c:pt idx="56">
                  <c:v>143</c:v>
                </c:pt>
                <c:pt idx="57">
                  <c:v>143</c:v>
                </c:pt>
                <c:pt idx="58">
                  <c:v>145</c:v>
                </c:pt>
                <c:pt idx="59">
                  <c:v>145</c:v>
                </c:pt>
                <c:pt idx="60">
                  <c:v>144</c:v>
                </c:pt>
                <c:pt idx="61">
                  <c:v>142</c:v>
                </c:pt>
                <c:pt idx="62">
                  <c:v>142</c:v>
                </c:pt>
                <c:pt idx="63">
                  <c:v>139</c:v>
                </c:pt>
                <c:pt idx="64">
                  <c:v>140</c:v>
                </c:pt>
                <c:pt idx="65">
                  <c:v>139</c:v>
                </c:pt>
                <c:pt idx="66">
                  <c:v>140</c:v>
                </c:pt>
                <c:pt idx="67">
                  <c:v>140</c:v>
                </c:pt>
                <c:pt idx="68">
                  <c:v>141</c:v>
                </c:pt>
                <c:pt idx="69">
                  <c:v>143</c:v>
                </c:pt>
                <c:pt idx="70">
                  <c:v>144</c:v>
                </c:pt>
                <c:pt idx="71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143</c:v>
                </c:pt>
                <c:pt idx="76">
                  <c:v>144</c:v>
                </c:pt>
                <c:pt idx="77">
                  <c:v>144</c:v>
                </c:pt>
                <c:pt idx="78">
                  <c:v>145</c:v>
                </c:pt>
                <c:pt idx="79">
                  <c:v>145</c:v>
                </c:pt>
                <c:pt idx="80">
                  <c:v>144</c:v>
                </c:pt>
                <c:pt idx="81">
                  <c:v>144</c:v>
                </c:pt>
                <c:pt idx="82">
                  <c:v>146</c:v>
                </c:pt>
                <c:pt idx="83">
                  <c:v>147</c:v>
                </c:pt>
                <c:pt idx="84">
                  <c:v>146</c:v>
                </c:pt>
                <c:pt idx="85">
                  <c:v>148</c:v>
                </c:pt>
                <c:pt idx="86">
                  <c:v>150</c:v>
                </c:pt>
                <c:pt idx="87">
                  <c:v>150</c:v>
                </c:pt>
                <c:pt idx="88">
                  <c:v>149</c:v>
                </c:pt>
                <c:pt idx="89">
                  <c:v>150</c:v>
                </c:pt>
                <c:pt idx="90">
                  <c:v>149</c:v>
                </c:pt>
                <c:pt idx="91">
                  <c:v>150</c:v>
                </c:pt>
                <c:pt idx="92">
                  <c:v>148</c:v>
                </c:pt>
                <c:pt idx="93">
                  <c:v>149</c:v>
                </c:pt>
                <c:pt idx="94">
                  <c:v>150</c:v>
                </c:pt>
                <c:pt idx="95">
                  <c:v>151</c:v>
                </c:pt>
                <c:pt idx="96">
                  <c:v>150</c:v>
                </c:pt>
                <c:pt idx="97">
                  <c:v>150</c:v>
                </c:pt>
                <c:pt idx="98">
                  <c:v>151</c:v>
                </c:pt>
                <c:pt idx="99">
                  <c:v>153</c:v>
                </c:pt>
                <c:pt idx="100">
                  <c:v>153</c:v>
                </c:pt>
                <c:pt idx="101">
                  <c:v>152</c:v>
                </c:pt>
                <c:pt idx="102">
                  <c:v>150</c:v>
                </c:pt>
                <c:pt idx="103">
                  <c:v>150</c:v>
                </c:pt>
                <c:pt idx="104">
                  <c:v>149</c:v>
                </c:pt>
                <c:pt idx="105">
                  <c:v>149</c:v>
                </c:pt>
                <c:pt idx="106">
                  <c:v>149</c:v>
                </c:pt>
                <c:pt idx="107">
                  <c:v>151</c:v>
                </c:pt>
                <c:pt idx="108">
                  <c:v>151</c:v>
                </c:pt>
                <c:pt idx="109">
                  <c:v>151</c:v>
                </c:pt>
                <c:pt idx="110">
                  <c:v>151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02976"/>
        <c:axId val="103504512"/>
      </c:scatterChart>
      <c:valAx>
        <c:axId val="103502976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3504512"/>
        <c:crosses val="autoZero"/>
        <c:crossBetween val="midCat"/>
      </c:valAx>
      <c:valAx>
        <c:axId val="103504512"/>
        <c:scaling>
          <c:orientation val="minMax"/>
          <c:min val="8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35029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899871630295251"/>
          <c:y val="0.43849289672124314"/>
          <c:w val="0.17073170731707321"/>
          <c:h val="8.53176686247552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086865578342508E-2"/>
          <c:y val="3.949044585987261E-2"/>
          <c:w val="0.66696537660401767"/>
          <c:h val="0.8866242038216560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'Conconi 3'!$F$2:$F$9</c:f>
              <c:numCache>
                <c:formatCode>General</c:formatCode>
                <c:ptCount val="8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10.5</c:v>
                </c:pt>
              </c:numCache>
            </c:numRef>
          </c:xVal>
          <c:yVal>
            <c:numRef>
              <c:f>'Conconi 3'!$G$2:$G$9</c:f>
              <c:numCache>
                <c:formatCode>General</c:formatCode>
                <c:ptCount val="8"/>
                <c:pt idx="0">
                  <c:v>114</c:v>
                </c:pt>
                <c:pt idx="1">
                  <c:v>124</c:v>
                </c:pt>
                <c:pt idx="2">
                  <c:v>133</c:v>
                </c:pt>
                <c:pt idx="3">
                  <c:v>135</c:v>
                </c:pt>
                <c:pt idx="4">
                  <c:v>141</c:v>
                </c:pt>
                <c:pt idx="5">
                  <c:v>143</c:v>
                </c:pt>
                <c:pt idx="6">
                  <c:v>148</c:v>
                </c:pt>
                <c:pt idx="7">
                  <c:v>150</c:v>
                </c:pt>
              </c:numCache>
            </c:numRef>
          </c:yVal>
          <c:smooth val="0"/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2"/>
            <c:dispRSqr val="0"/>
            <c:dispEq val="0"/>
          </c:trendline>
          <c:xVal>
            <c:numRef>
              <c:f>'Conconi 3'!$C$2:$C$136</c:f>
              <c:numCache>
                <c:formatCode>General</c:formatCode>
                <c:ptCount val="13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8.5</c:v>
                </c:pt>
                <c:pt idx="60">
                  <c:v>8.5</c:v>
                </c:pt>
                <c:pt idx="61">
                  <c:v>8.5</c:v>
                </c:pt>
                <c:pt idx="62">
                  <c:v>8.5</c:v>
                </c:pt>
                <c:pt idx="63">
                  <c:v>8.5</c:v>
                </c:pt>
                <c:pt idx="64">
                  <c:v>8.5</c:v>
                </c:pt>
                <c:pt idx="65">
                  <c:v>8.5</c:v>
                </c:pt>
                <c:pt idx="66">
                  <c:v>8.5</c:v>
                </c:pt>
                <c:pt idx="67">
                  <c:v>8.5</c:v>
                </c:pt>
                <c:pt idx="68">
                  <c:v>8.5</c:v>
                </c:pt>
                <c:pt idx="69">
                  <c:v>8.5</c:v>
                </c:pt>
                <c:pt idx="70">
                  <c:v>8.5</c:v>
                </c:pt>
                <c:pt idx="71">
                  <c:v>8.5</c:v>
                </c:pt>
                <c:pt idx="72">
                  <c:v>8.5</c:v>
                </c:pt>
                <c:pt idx="73">
                  <c:v>8.5</c:v>
                </c:pt>
                <c:pt idx="74">
                  <c:v>8.5</c:v>
                </c:pt>
                <c:pt idx="75">
                  <c:v>8.5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9.5</c:v>
                </c:pt>
                <c:pt idx="93">
                  <c:v>9.5</c:v>
                </c:pt>
                <c:pt idx="94">
                  <c:v>9.5</c:v>
                </c:pt>
                <c:pt idx="95">
                  <c:v>9.5</c:v>
                </c:pt>
                <c:pt idx="96">
                  <c:v>9.5</c:v>
                </c:pt>
                <c:pt idx="97">
                  <c:v>9.5</c:v>
                </c:pt>
                <c:pt idx="98">
                  <c:v>9.5</c:v>
                </c:pt>
                <c:pt idx="99">
                  <c:v>9.5</c:v>
                </c:pt>
                <c:pt idx="100">
                  <c:v>9.5</c:v>
                </c:pt>
                <c:pt idx="101">
                  <c:v>9.5</c:v>
                </c:pt>
                <c:pt idx="102">
                  <c:v>9.5</c:v>
                </c:pt>
                <c:pt idx="103">
                  <c:v>9.5</c:v>
                </c:pt>
                <c:pt idx="104">
                  <c:v>9.5</c:v>
                </c:pt>
                <c:pt idx="105">
                  <c:v>9.5</c:v>
                </c:pt>
                <c:pt idx="106">
                  <c:v>9.5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10.5</c:v>
                </c:pt>
                <c:pt idx="122">
                  <c:v>10.5</c:v>
                </c:pt>
                <c:pt idx="123">
                  <c:v>10.5</c:v>
                </c:pt>
                <c:pt idx="124">
                  <c:v>10.5</c:v>
                </c:pt>
                <c:pt idx="125">
                  <c:v>10.5</c:v>
                </c:pt>
                <c:pt idx="126">
                  <c:v>10.5</c:v>
                </c:pt>
                <c:pt idx="127">
                  <c:v>10.5</c:v>
                </c:pt>
                <c:pt idx="128">
                  <c:v>10.5</c:v>
                </c:pt>
                <c:pt idx="129">
                  <c:v>10.5</c:v>
                </c:pt>
                <c:pt idx="130">
                  <c:v>10.5</c:v>
                </c:pt>
                <c:pt idx="131">
                  <c:v>10.5</c:v>
                </c:pt>
                <c:pt idx="132">
                  <c:v>10.5</c:v>
                </c:pt>
                <c:pt idx="133">
                  <c:v>10.5</c:v>
                </c:pt>
                <c:pt idx="134">
                  <c:v>10.5</c:v>
                </c:pt>
              </c:numCache>
            </c:numRef>
          </c:xVal>
          <c:yVal>
            <c:numRef>
              <c:f>'Conconi 3'!$B$2:$B$136</c:f>
              <c:numCache>
                <c:formatCode>General</c:formatCode>
                <c:ptCount val="135"/>
                <c:pt idx="0">
                  <c:v>88</c:v>
                </c:pt>
                <c:pt idx="1">
                  <c:v>88</c:v>
                </c:pt>
                <c:pt idx="2">
                  <c:v>96</c:v>
                </c:pt>
                <c:pt idx="3">
                  <c:v>108</c:v>
                </c:pt>
                <c:pt idx="4">
                  <c:v>115</c:v>
                </c:pt>
                <c:pt idx="5">
                  <c:v>117</c:v>
                </c:pt>
                <c:pt idx="6">
                  <c:v>118</c:v>
                </c:pt>
                <c:pt idx="7">
                  <c:v>119</c:v>
                </c:pt>
                <c:pt idx="8">
                  <c:v>117</c:v>
                </c:pt>
                <c:pt idx="9">
                  <c:v>116</c:v>
                </c:pt>
                <c:pt idx="10">
                  <c:v>116</c:v>
                </c:pt>
                <c:pt idx="11">
                  <c:v>114</c:v>
                </c:pt>
                <c:pt idx="12">
                  <c:v>115</c:v>
                </c:pt>
                <c:pt idx="13">
                  <c:v>117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117</c:v>
                </c:pt>
                <c:pt idx="19">
                  <c:v>117</c:v>
                </c:pt>
                <c:pt idx="20">
                  <c:v>116</c:v>
                </c:pt>
                <c:pt idx="21">
                  <c:v>116</c:v>
                </c:pt>
                <c:pt idx="22">
                  <c:v>116</c:v>
                </c:pt>
                <c:pt idx="23">
                  <c:v>121</c:v>
                </c:pt>
                <c:pt idx="24">
                  <c:v>125</c:v>
                </c:pt>
                <c:pt idx="25">
                  <c:v>126</c:v>
                </c:pt>
                <c:pt idx="26">
                  <c:v>126</c:v>
                </c:pt>
                <c:pt idx="27">
                  <c:v>126</c:v>
                </c:pt>
                <c:pt idx="28">
                  <c:v>125</c:v>
                </c:pt>
                <c:pt idx="29">
                  <c:v>125</c:v>
                </c:pt>
                <c:pt idx="30">
                  <c:v>128</c:v>
                </c:pt>
                <c:pt idx="31">
                  <c:v>127</c:v>
                </c:pt>
                <c:pt idx="32">
                  <c:v>127</c:v>
                </c:pt>
                <c:pt idx="33">
                  <c:v>125</c:v>
                </c:pt>
                <c:pt idx="34">
                  <c:v>126</c:v>
                </c:pt>
                <c:pt idx="35">
                  <c:v>126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127</c:v>
                </c:pt>
                <c:pt idx="40">
                  <c:v>128</c:v>
                </c:pt>
                <c:pt idx="41">
                  <c:v>129</c:v>
                </c:pt>
                <c:pt idx="42">
                  <c:v>132</c:v>
                </c:pt>
                <c:pt idx="43">
                  <c:v>134</c:v>
                </c:pt>
                <c:pt idx="44">
                  <c:v>135</c:v>
                </c:pt>
                <c:pt idx="45">
                  <c:v>133</c:v>
                </c:pt>
                <c:pt idx="46">
                  <c:v>132</c:v>
                </c:pt>
                <c:pt idx="47">
                  <c:v>132</c:v>
                </c:pt>
                <c:pt idx="48">
                  <c:v>132</c:v>
                </c:pt>
                <c:pt idx="49">
                  <c:v>132</c:v>
                </c:pt>
                <c:pt idx="50">
                  <c:v>132</c:v>
                </c:pt>
                <c:pt idx="51">
                  <c:v>134</c:v>
                </c:pt>
                <c:pt idx="52">
                  <c:v>136</c:v>
                </c:pt>
                <c:pt idx="53">
                  <c:v>134</c:v>
                </c:pt>
                <c:pt idx="54">
                  <c:v>135</c:v>
                </c:pt>
                <c:pt idx="55">
                  <c:v>135</c:v>
                </c:pt>
                <c:pt idx="56">
                  <c:v>135</c:v>
                </c:pt>
                <c:pt idx="57">
                  <c:v>134</c:v>
                </c:pt>
                <c:pt idx="58">
                  <c:v>134</c:v>
                </c:pt>
                <c:pt idx="59">
                  <c:v>134</c:v>
                </c:pt>
                <c:pt idx="60">
                  <c:v>136</c:v>
                </c:pt>
                <c:pt idx="61">
                  <c:v>137</c:v>
                </c:pt>
                <c:pt idx="62">
                  <c:v>137</c:v>
                </c:pt>
                <c:pt idx="63">
                  <c:v>136</c:v>
                </c:pt>
                <c:pt idx="64">
                  <c:v>137</c:v>
                </c:pt>
                <c:pt idx="65">
                  <c:v>137</c:v>
                </c:pt>
                <c:pt idx="66">
                  <c:v>134</c:v>
                </c:pt>
                <c:pt idx="67">
                  <c:v>134</c:v>
                </c:pt>
                <c:pt idx="68">
                  <c:v>132</c:v>
                </c:pt>
                <c:pt idx="69">
                  <c:v>134</c:v>
                </c:pt>
                <c:pt idx="70">
                  <c:v>135</c:v>
                </c:pt>
                <c:pt idx="71">
                  <c:v>135</c:v>
                </c:pt>
                <c:pt idx="72">
                  <c:v>137</c:v>
                </c:pt>
                <c:pt idx="73">
                  <c:v>138</c:v>
                </c:pt>
                <c:pt idx="74">
                  <c:v>140</c:v>
                </c:pt>
                <c:pt idx="75">
                  <c:v>140</c:v>
                </c:pt>
                <c:pt idx="76">
                  <c:v>138</c:v>
                </c:pt>
                <c:pt idx="77">
                  <c:v>139</c:v>
                </c:pt>
                <c:pt idx="78">
                  <c:v>140</c:v>
                </c:pt>
                <c:pt idx="79">
                  <c:v>142</c:v>
                </c:pt>
                <c:pt idx="80">
                  <c:v>143</c:v>
                </c:pt>
                <c:pt idx="81">
                  <c:v>143</c:v>
                </c:pt>
                <c:pt idx="82">
                  <c:v>145</c:v>
                </c:pt>
                <c:pt idx="83">
                  <c:v>145</c:v>
                </c:pt>
                <c:pt idx="84">
                  <c:v>144</c:v>
                </c:pt>
                <c:pt idx="85">
                  <c:v>142</c:v>
                </c:pt>
                <c:pt idx="86">
                  <c:v>142</c:v>
                </c:pt>
                <c:pt idx="87">
                  <c:v>139</c:v>
                </c:pt>
                <c:pt idx="88">
                  <c:v>140</c:v>
                </c:pt>
                <c:pt idx="89">
                  <c:v>139</c:v>
                </c:pt>
                <c:pt idx="90">
                  <c:v>140</c:v>
                </c:pt>
                <c:pt idx="91">
                  <c:v>140</c:v>
                </c:pt>
                <c:pt idx="92">
                  <c:v>141</c:v>
                </c:pt>
                <c:pt idx="93">
                  <c:v>143</c:v>
                </c:pt>
                <c:pt idx="94">
                  <c:v>144</c:v>
                </c:pt>
                <c:pt idx="95">
                  <c:v>142</c:v>
                </c:pt>
                <c:pt idx="96">
                  <c:v>142</c:v>
                </c:pt>
                <c:pt idx="97">
                  <c:v>142</c:v>
                </c:pt>
                <c:pt idx="98">
                  <c:v>142</c:v>
                </c:pt>
                <c:pt idx="99">
                  <c:v>143</c:v>
                </c:pt>
                <c:pt idx="100">
                  <c:v>144</c:v>
                </c:pt>
                <c:pt idx="101">
                  <c:v>144</c:v>
                </c:pt>
                <c:pt idx="102">
                  <c:v>145</c:v>
                </c:pt>
                <c:pt idx="103">
                  <c:v>145</c:v>
                </c:pt>
                <c:pt idx="104">
                  <c:v>144</c:v>
                </c:pt>
                <c:pt idx="105">
                  <c:v>144</c:v>
                </c:pt>
                <c:pt idx="106">
                  <c:v>146</c:v>
                </c:pt>
                <c:pt idx="107">
                  <c:v>147</c:v>
                </c:pt>
                <c:pt idx="108">
                  <c:v>146</c:v>
                </c:pt>
                <c:pt idx="109">
                  <c:v>148</c:v>
                </c:pt>
                <c:pt idx="110">
                  <c:v>150</c:v>
                </c:pt>
                <c:pt idx="111">
                  <c:v>150</c:v>
                </c:pt>
                <c:pt idx="112">
                  <c:v>149</c:v>
                </c:pt>
                <c:pt idx="113">
                  <c:v>150</c:v>
                </c:pt>
                <c:pt idx="114">
                  <c:v>149</c:v>
                </c:pt>
                <c:pt idx="115">
                  <c:v>150</c:v>
                </c:pt>
                <c:pt idx="116">
                  <c:v>148</c:v>
                </c:pt>
                <c:pt idx="117">
                  <c:v>149</c:v>
                </c:pt>
                <c:pt idx="118">
                  <c:v>150</c:v>
                </c:pt>
                <c:pt idx="119">
                  <c:v>151</c:v>
                </c:pt>
                <c:pt idx="120">
                  <c:v>150</c:v>
                </c:pt>
                <c:pt idx="121">
                  <c:v>150</c:v>
                </c:pt>
                <c:pt idx="122">
                  <c:v>151</c:v>
                </c:pt>
                <c:pt idx="123">
                  <c:v>153</c:v>
                </c:pt>
                <c:pt idx="124">
                  <c:v>153</c:v>
                </c:pt>
                <c:pt idx="125">
                  <c:v>152</c:v>
                </c:pt>
                <c:pt idx="126">
                  <c:v>150</c:v>
                </c:pt>
                <c:pt idx="127">
                  <c:v>150</c:v>
                </c:pt>
                <c:pt idx="128">
                  <c:v>149</c:v>
                </c:pt>
                <c:pt idx="129">
                  <c:v>149</c:v>
                </c:pt>
                <c:pt idx="130">
                  <c:v>149</c:v>
                </c:pt>
                <c:pt idx="131">
                  <c:v>151</c:v>
                </c:pt>
                <c:pt idx="132">
                  <c:v>151</c:v>
                </c:pt>
                <c:pt idx="133">
                  <c:v>151</c:v>
                </c:pt>
                <c:pt idx="134">
                  <c:v>151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97792"/>
        <c:axId val="103298944"/>
      </c:scatterChart>
      <c:valAx>
        <c:axId val="103297792"/>
        <c:scaling>
          <c:orientation val="minMax"/>
          <c:min val="7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3298944"/>
        <c:crosses val="autoZero"/>
        <c:crossBetween val="midCat"/>
      </c:valAx>
      <c:valAx>
        <c:axId val="103298944"/>
        <c:scaling>
          <c:orientation val="minMax"/>
          <c:min val="10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329779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559572063339886"/>
          <c:y val="0.4140127388535032"/>
          <c:w val="0.23724270813507309"/>
          <c:h val="0.13885350318471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724750277469481E-2"/>
          <c:y val="1.794453507340946E-2"/>
          <c:w val="0.92785793562708108"/>
          <c:h val="0.91680261011419251"/>
        </c:manualLayout>
      </c:layout>
      <c:scatterChart>
        <c:scatterStyle val="smoothMarker"/>
        <c:varyColors val="0"/>
        <c:ser>
          <c:idx val="3"/>
          <c:order val="0"/>
          <c:tx>
            <c:v>jogging wezel</c:v>
          </c:tx>
          <c:trendline>
            <c:trendlineType val="linear"/>
            <c:dispRSqr val="0"/>
            <c:dispEq val="0"/>
          </c:trendline>
          <c:xVal>
            <c:numRef>
              <c:f>Hartslagen!$B$3117:$B$3155</c:f>
              <c:numCache>
                <c:formatCode>h:mm:ss</c:formatCode>
                <c:ptCount val="39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  <c:pt idx="33">
                  <c:v>2.70833333333333E-2</c:v>
                </c:pt>
                <c:pt idx="34">
                  <c:v>2.7777777777777801E-2</c:v>
                </c:pt>
                <c:pt idx="35">
                  <c:v>2.8472222222222201E-2</c:v>
                </c:pt>
                <c:pt idx="36">
                  <c:v>2.9166666666666698E-2</c:v>
                </c:pt>
                <c:pt idx="37">
                  <c:v>2.9861111111111099E-2</c:v>
                </c:pt>
                <c:pt idx="38">
                  <c:v>3.05555555555556E-2</c:v>
                </c:pt>
              </c:numCache>
            </c:numRef>
          </c:xVal>
          <c:yVal>
            <c:numRef>
              <c:f>Hartslagen!$C$3117:$C$3155</c:f>
              <c:numCache>
                <c:formatCode>General</c:formatCode>
                <c:ptCount val="39"/>
                <c:pt idx="0">
                  <c:v>172</c:v>
                </c:pt>
                <c:pt idx="1">
                  <c:v>173</c:v>
                </c:pt>
                <c:pt idx="2">
                  <c:v>175</c:v>
                </c:pt>
                <c:pt idx="3">
                  <c:v>173</c:v>
                </c:pt>
                <c:pt idx="4">
                  <c:v>174</c:v>
                </c:pt>
                <c:pt idx="5">
                  <c:v>174</c:v>
                </c:pt>
                <c:pt idx="6">
                  <c:v>176</c:v>
                </c:pt>
                <c:pt idx="7">
                  <c:v>177</c:v>
                </c:pt>
                <c:pt idx="8">
                  <c:v>179</c:v>
                </c:pt>
                <c:pt idx="9">
                  <c:v>174</c:v>
                </c:pt>
                <c:pt idx="10">
                  <c:v>177</c:v>
                </c:pt>
                <c:pt idx="11">
                  <c:v>181</c:v>
                </c:pt>
                <c:pt idx="12">
                  <c:v>180</c:v>
                </c:pt>
                <c:pt idx="13">
                  <c:v>181</c:v>
                </c:pt>
                <c:pt idx="14">
                  <c:v>177</c:v>
                </c:pt>
                <c:pt idx="15">
                  <c:v>179</c:v>
                </c:pt>
                <c:pt idx="16">
                  <c:v>180</c:v>
                </c:pt>
                <c:pt idx="17">
                  <c:v>180</c:v>
                </c:pt>
                <c:pt idx="18">
                  <c:v>179</c:v>
                </c:pt>
                <c:pt idx="19">
                  <c:v>180</c:v>
                </c:pt>
                <c:pt idx="20">
                  <c:v>180</c:v>
                </c:pt>
                <c:pt idx="21">
                  <c:v>179</c:v>
                </c:pt>
                <c:pt idx="22">
                  <c:v>181</c:v>
                </c:pt>
                <c:pt idx="23">
                  <c:v>182</c:v>
                </c:pt>
                <c:pt idx="24">
                  <c:v>182</c:v>
                </c:pt>
                <c:pt idx="25">
                  <c:v>180</c:v>
                </c:pt>
                <c:pt idx="26">
                  <c:v>182</c:v>
                </c:pt>
                <c:pt idx="27">
                  <c:v>184</c:v>
                </c:pt>
                <c:pt idx="28">
                  <c:v>183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184</c:v>
                </c:pt>
                <c:pt idx="34">
                  <c:v>183</c:v>
                </c:pt>
                <c:pt idx="35">
                  <c:v>185</c:v>
                </c:pt>
                <c:pt idx="36">
                  <c:v>185</c:v>
                </c:pt>
                <c:pt idx="37">
                  <c:v>186</c:v>
                </c:pt>
                <c:pt idx="38">
                  <c:v>189</c:v>
                </c:pt>
              </c:numCache>
            </c:numRef>
          </c:yVal>
          <c:smooth val="1"/>
        </c:ser>
        <c:ser>
          <c:idx val="4"/>
          <c:order val="1"/>
          <c:tx>
            <c:v>jogging Oud-Turnhout</c:v>
          </c:tx>
          <c:trendline>
            <c:trendlineType val="linear"/>
            <c:dispRSqr val="0"/>
            <c:dispEq val="0"/>
          </c:trendline>
          <c:xVal>
            <c:numRef>
              <c:f>Hartslagen!$B$3162:$B$3194</c:f>
              <c:numCache>
                <c:formatCode>h:mm:ss</c:formatCode>
                <c:ptCount val="33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</c:numCache>
            </c:numRef>
          </c:xVal>
          <c:yVal>
            <c:numRef>
              <c:f>Hartslagen!$C$3162:$C$3194</c:f>
              <c:numCache>
                <c:formatCode>General</c:formatCode>
                <c:ptCount val="33"/>
                <c:pt idx="0">
                  <c:v>174</c:v>
                </c:pt>
                <c:pt idx="1">
                  <c:v>174</c:v>
                </c:pt>
                <c:pt idx="2">
                  <c:v>171</c:v>
                </c:pt>
                <c:pt idx="3">
                  <c:v>172</c:v>
                </c:pt>
                <c:pt idx="4">
                  <c:v>171</c:v>
                </c:pt>
                <c:pt idx="5">
                  <c:v>170</c:v>
                </c:pt>
                <c:pt idx="6">
                  <c:v>174</c:v>
                </c:pt>
                <c:pt idx="7">
                  <c:v>173</c:v>
                </c:pt>
                <c:pt idx="8">
                  <c:v>173</c:v>
                </c:pt>
                <c:pt idx="9">
                  <c:v>176</c:v>
                </c:pt>
                <c:pt idx="10">
                  <c:v>175</c:v>
                </c:pt>
                <c:pt idx="11">
                  <c:v>173</c:v>
                </c:pt>
                <c:pt idx="12">
                  <c:v>174</c:v>
                </c:pt>
                <c:pt idx="13">
                  <c:v>174</c:v>
                </c:pt>
                <c:pt idx="14">
                  <c:v>176</c:v>
                </c:pt>
                <c:pt idx="15">
                  <c:v>176</c:v>
                </c:pt>
                <c:pt idx="16">
                  <c:v>176</c:v>
                </c:pt>
                <c:pt idx="17">
                  <c:v>176</c:v>
                </c:pt>
                <c:pt idx="18">
                  <c:v>177</c:v>
                </c:pt>
                <c:pt idx="19">
                  <c:v>177</c:v>
                </c:pt>
                <c:pt idx="20">
                  <c:v>176</c:v>
                </c:pt>
                <c:pt idx="21">
                  <c:v>179</c:v>
                </c:pt>
                <c:pt idx="22">
                  <c:v>178</c:v>
                </c:pt>
                <c:pt idx="23">
                  <c:v>179</c:v>
                </c:pt>
                <c:pt idx="24">
                  <c:v>177</c:v>
                </c:pt>
                <c:pt idx="25">
                  <c:v>176</c:v>
                </c:pt>
                <c:pt idx="26">
                  <c:v>176</c:v>
                </c:pt>
                <c:pt idx="27">
                  <c:v>177</c:v>
                </c:pt>
                <c:pt idx="28">
                  <c:v>177</c:v>
                </c:pt>
                <c:pt idx="29">
                  <c:v>178</c:v>
                </c:pt>
                <c:pt idx="30">
                  <c:v>178</c:v>
                </c:pt>
                <c:pt idx="31">
                  <c:v>179</c:v>
                </c:pt>
                <c:pt idx="32">
                  <c:v>178</c:v>
                </c:pt>
              </c:numCache>
            </c:numRef>
          </c:yVal>
          <c:smooth val="1"/>
        </c:ser>
        <c:ser>
          <c:idx val="5"/>
          <c:order val="2"/>
          <c:tx>
            <c:v>Mol-centrum 29/06/2002</c:v>
          </c:tx>
          <c:trendline>
            <c:trendlineType val="linear"/>
            <c:dispRSqr val="0"/>
            <c:dispEq val="0"/>
          </c:trendline>
          <c:xVal>
            <c:numRef>
              <c:f>Hartslagen!$B$3201:$B$3235</c:f>
              <c:numCache>
                <c:formatCode>h:mm:ss</c:formatCode>
                <c:ptCount val="35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  <c:pt idx="33">
                  <c:v>2.70833333333334E-2</c:v>
                </c:pt>
                <c:pt idx="34">
                  <c:v>2.7777777777777901E-2</c:v>
                </c:pt>
              </c:numCache>
            </c:numRef>
          </c:xVal>
          <c:yVal>
            <c:numRef>
              <c:f>Hartslagen!$C$3201:$C$3235</c:f>
              <c:numCache>
                <c:formatCode>General</c:formatCode>
                <c:ptCount val="35"/>
                <c:pt idx="0">
                  <c:v>172</c:v>
                </c:pt>
                <c:pt idx="1">
                  <c:v>171</c:v>
                </c:pt>
                <c:pt idx="2">
                  <c:v>172</c:v>
                </c:pt>
                <c:pt idx="3">
                  <c:v>174</c:v>
                </c:pt>
                <c:pt idx="4">
                  <c:v>174</c:v>
                </c:pt>
                <c:pt idx="5">
                  <c:v>174</c:v>
                </c:pt>
                <c:pt idx="6">
                  <c:v>177</c:v>
                </c:pt>
                <c:pt idx="7">
                  <c:v>174</c:v>
                </c:pt>
                <c:pt idx="8">
                  <c:v>178</c:v>
                </c:pt>
                <c:pt idx="9">
                  <c:v>176</c:v>
                </c:pt>
                <c:pt idx="10">
                  <c:v>179</c:v>
                </c:pt>
                <c:pt idx="11">
                  <c:v>179</c:v>
                </c:pt>
                <c:pt idx="12">
                  <c:v>179</c:v>
                </c:pt>
                <c:pt idx="13">
                  <c:v>179</c:v>
                </c:pt>
                <c:pt idx="14">
                  <c:v>179</c:v>
                </c:pt>
                <c:pt idx="15">
                  <c:v>181</c:v>
                </c:pt>
                <c:pt idx="16">
                  <c:v>181</c:v>
                </c:pt>
                <c:pt idx="17">
                  <c:v>181</c:v>
                </c:pt>
                <c:pt idx="18">
                  <c:v>181</c:v>
                </c:pt>
                <c:pt idx="19">
                  <c:v>181</c:v>
                </c:pt>
                <c:pt idx="20">
                  <c:v>181</c:v>
                </c:pt>
                <c:pt idx="21">
                  <c:v>182</c:v>
                </c:pt>
                <c:pt idx="22">
                  <c:v>183</c:v>
                </c:pt>
                <c:pt idx="23">
                  <c:v>181</c:v>
                </c:pt>
                <c:pt idx="24">
                  <c:v>184</c:v>
                </c:pt>
                <c:pt idx="25">
                  <c:v>182</c:v>
                </c:pt>
                <c:pt idx="26">
                  <c:v>178</c:v>
                </c:pt>
                <c:pt idx="27">
                  <c:v>184</c:v>
                </c:pt>
                <c:pt idx="28">
                  <c:v>183</c:v>
                </c:pt>
                <c:pt idx="29">
                  <c:v>184</c:v>
                </c:pt>
                <c:pt idx="30">
                  <c:v>184</c:v>
                </c:pt>
                <c:pt idx="31">
                  <c:v>185</c:v>
                </c:pt>
                <c:pt idx="32">
                  <c:v>188</c:v>
                </c:pt>
                <c:pt idx="33">
                  <c:v>188</c:v>
                </c:pt>
                <c:pt idx="34">
                  <c:v>187</c:v>
                </c:pt>
              </c:numCache>
            </c:numRef>
          </c:yVal>
          <c:smooth val="1"/>
        </c:ser>
        <c:ser>
          <c:idx val="6"/>
          <c:order val="3"/>
          <c:tx>
            <c:v>Olen 24/08/2002</c:v>
          </c:tx>
          <c:trendline>
            <c:trendlineType val="linear"/>
            <c:dispRSqr val="0"/>
            <c:dispEq val="0"/>
          </c:trendline>
          <c:xVal>
            <c:numRef>
              <c:f>Hartslagen!$B$3442:$B$3482</c:f>
              <c:numCache>
                <c:formatCode>h:mm:ss</c:formatCode>
                <c:ptCount val="41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  <c:pt idx="33">
                  <c:v>2.70833333333333E-2</c:v>
                </c:pt>
                <c:pt idx="34">
                  <c:v>2.7777777777777801E-2</c:v>
                </c:pt>
                <c:pt idx="35">
                  <c:v>2.8472222222222201E-2</c:v>
                </c:pt>
                <c:pt idx="36">
                  <c:v>2.9166666666666698E-2</c:v>
                </c:pt>
                <c:pt idx="37">
                  <c:v>2.9861111111111099E-2</c:v>
                </c:pt>
                <c:pt idx="38">
                  <c:v>3.05555555555556E-2</c:v>
                </c:pt>
                <c:pt idx="39">
                  <c:v>3.125E-2</c:v>
                </c:pt>
                <c:pt idx="40">
                  <c:v>3.19444444444444E-2</c:v>
                </c:pt>
              </c:numCache>
            </c:numRef>
          </c:xVal>
          <c:yVal>
            <c:numRef>
              <c:f>Hartslagen!$C$3442:$C$3482</c:f>
              <c:numCache>
                <c:formatCode>General</c:formatCode>
                <c:ptCount val="41"/>
                <c:pt idx="0">
                  <c:v>176</c:v>
                </c:pt>
                <c:pt idx="1">
                  <c:v>178</c:v>
                </c:pt>
                <c:pt idx="2">
                  <c:v>177</c:v>
                </c:pt>
                <c:pt idx="3">
                  <c:v>175</c:v>
                </c:pt>
                <c:pt idx="4">
                  <c:v>174</c:v>
                </c:pt>
                <c:pt idx="5">
                  <c:v>175</c:v>
                </c:pt>
                <c:pt idx="6">
                  <c:v>175</c:v>
                </c:pt>
                <c:pt idx="7">
                  <c:v>176</c:v>
                </c:pt>
                <c:pt idx="8">
                  <c:v>178</c:v>
                </c:pt>
                <c:pt idx="9">
                  <c:v>179</c:v>
                </c:pt>
                <c:pt idx="10">
                  <c:v>174</c:v>
                </c:pt>
                <c:pt idx="11">
                  <c:v>175</c:v>
                </c:pt>
                <c:pt idx="12">
                  <c:v>176</c:v>
                </c:pt>
                <c:pt idx="13">
                  <c:v>176</c:v>
                </c:pt>
                <c:pt idx="14">
                  <c:v>175</c:v>
                </c:pt>
                <c:pt idx="15">
                  <c:v>178</c:v>
                </c:pt>
                <c:pt idx="16">
                  <c:v>176</c:v>
                </c:pt>
                <c:pt idx="17">
                  <c:v>177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181</c:v>
                </c:pt>
                <c:pt idx="22">
                  <c:v>178</c:v>
                </c:pt>
                <c:pt idx="23">
                  <c:v>182</c:v>
                </c:pt>
                <c:pt idx="24">
                  <c:v>182</c:v>
                </c:pt>
                <c:pt idx="25">
                  <c:v>182</c:v>
                </c:pt>
                <c:pt idx="26">
                  <c:v>182</c:v>
                </c:pt>
                <c:pt idx="27">
                  <c:v>179</c:v>
                </c:pt>
                <c:pt idx="28">
                  <c:v>180</c:v>
                </c:pt>
                <c:pt idx="29">
                  <c:v>180</c:v>
                </c:pt>
                <c:pt idx="30">
                  <c:v>182</c:v>
                </c:pt>
                <c:pt idx="31">
                  <c:v>181</c:v>
                </c:pt>
                <c:pt idx="32">
                  <c:v>184</c:v>
                </c:pt>
                <c:pt idx="33">
                  <c:v>183</c:v>
                </c:pt>
                <c:pt idx="34">
                  <c:v>182</c:v>
                </c:pt>
                <c:pt idx="35">
                  <c:v>183</c:v>
                </c:pt>
                <c:pt idx="36">
                  <c:v>183</c:v>
                </c:pt>
                <c:pt idx="37">
                  <c:v>185</c:v>
                </c:pt>
                <c:pt idx="38">
                  <c:v>187</c:v>
                </c:pt>
                <c:pt idx="39">
                  <c:v>187</c:v>
                </c:pt>
                <c:pt idx="40">
                  <c:v>190</c:v>
                </c:pt>
              </c:numCache>
            </c:numRef>
          </c:yVal>
          <c:smooth val="1"/>
        </c:ser>
        <c:ser>
          <c:idx val="7"/>
          <c:order val="4"/>
          <c:tx>
            <c:v>HM Olen 30/3/2003</c:v>
          </c:tx>
          <c:trendline>
            <c:trendlineType val="linear"/>
            <c:dispRSqr val="0"/>
            <c:dispEq val="0"/>
          </c:trendline>
          <c:xVal>
            <c:numRef>
              <c:f>Hartslagen!$B$4481:$B$4553</c:f>
              <c:numCache>
                <c:formatCode>h:mm:ss</c:formatCode>
                <c:ptCount val="73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  <c:pt idx="33">
                  <c:v>2.70833333333333E-2</c:v>
                </c:pt>
                <c:pt idx="34">
                  <c:v>2.7777777777777801E-2</c:v>
                </c:pt>
                <c:pt idx="35">
                  <c:v>2.8472222222222201E-2</c:v>
                </c:pt>
                <c:pt idx="36">
                  <c:v>2.9166666666666698E-2</c:v>
                </c:pt>
                <c:pt idx="37">
                  <c:v>2.9861111111111099E-2</c:v>
                </c:pt>
                <c:pt idx="38">
                  <c:v>3.05555555555556E-2</c:v>
                </c:pt>
                <c:pt idx="39">
                  <c:v>3.125E-2</c:v>
                </c:pt>
                <c:pt idx="40">
                  <c:v>3.19444444444444E-2</c:v>
                </c:pt>
                <c:pt idx="41">
                  <c:v>3.2638888888888898E-2</c:v>
                </c:pt>
                <c:pt idx="42">
                  <c:v>3.3333333333333298E-2</c:v>
                </c:pt>
                <c:pt idx="43">
                  <c:v>3.4027777777777803E-2</c:v>
                </c:pt>
                <c:pt idx="44">
                  <c:v>3.4722222222222203E-2</c:v>
                </c:pt>
                <c:pt idx="45">
                  <c:v>3.54166666666667E-2</c:v>
                </c:pt>
                <c:pt idx="46">
                  <c:v>3.6111111111111101E-2</c:v>
                </c:pt>
                <c:pt idx="47">
                  <c:v>3.6805555555555598E-2</c:v>
                </c:pt>
                <c:pt idx="48">
                  <c:v>3.7499999999999999E-2</c:v>
                </c:pt>
                <c:pt idx="49">
                  <c:v>3.8194444444444399E-2</c:v>
                </c:pt>
                <c:pt idx="50">
                  <c:v>3.8888888888888903E-2</c:v>
                </c:pt>
                <c:pt idx="51">
                  <c:v>3.9583333333333297E-2</c:v>
                </c:pt>
                <c:pt idx="52">
                  <c:v>4.0277777777777801E-2</c:v>
                </c:pt>
                <c:pt idx="53">
                  <c:v>4.0972222222222202E-2</c:v>
                </c:pt>
                <c:pt idx="54">
                  <c:v>4.1666666666666699E-2</c:v>
                </c:pt>
                <c:pt idx="55">
                  <c:v>4.2361111111111099E-2</c:v>
                </c:pt>
                <c:pt idx="56">
                  <c:v>4.3055555555555597E-2</c:v>
                </c:pt>
                <c:pt idx="57">
                  <c:v>4.3749999999999997E-2</c:v>
                </c:pt>
                <c:pt idx="58">
                  <c:v>4.4444444444444398E-2</c:v>
                </c:pt>
                <c:pt idx="59">
                  <c:v>4.5138888888888902E-2</c:v>
                </c:pt>
                <c:pt idx="60">
                  <c:v>4.5833333333333302E-2</c:v>
                </c:pt>
                <c:pt idx="61">
                  <c:v>4.65277777777778E-2</c:v>
                </c:pt>
                <c:pt idx="62">
                  <c:v>4.72222222222222E-2</c:v>
                </c:pt>
                <c:pt idx="63">
                  <c:v>4.7916666666666698E-2</c:v>
                </c:pt>
                <c:pt idx="64">
                  <c:v>4.8611111111111098E-2</c:v>
                </c:pt>
                <c:pt idx="65">
                  <c:v>4.9305555555555602E-2</c:v>
                </c:pt>
                <c:pt idx="66">
                  <c:v>0.05</c:v>
                </c:pt>
                <c:pt idx="67">
                  <c:v>5.0694444444444403E-2</c:v>
                </c:pt>
                <c:pt idx="68">
                  <c:v>5.1388888888888901E-2</c:v>
                </c:pt>
                <c:pt idx="69">
                  <c:v>5.2083333333333301E-2</c:v>
                </c:pt>
                <c:pt idx="70">
                  <c:v>5.2777777777777798E-2</c:v>
                </c:pt>
                <c:pt idx="71">
                  <c:v>5.3472222222222199E-2</c:v>
                </c:pt>
                <c:pt idx="72">
                  <c:v>5.4166666666666703E-2</c:v>
                </c:pt>
              </c:numCache>
            </c:numRef>
          </c:xVal>
          <c:yVal>
            <c:numRef>
              <c:f>Hartslagen!$C$4481:$C$4553</c:f>
              <c:numCache>
                <c:formatCode>General</c:formatCode>
                <c:ptCount val="73"/>
                <c:pt idx="0">
                  <c:v>169</c:v>
                </c:pt>
                <c:pt idx="1">
                  <c:v>172</c:v>
                </c:pt>
                <c:pt idx="2">
                  <c:v>169</c:v>
                </c:pt>
                <c:pt idx="3">
                  <c:v>173</c:v>
                </c:pt>
                <c:pt idx="4">
                  <c:v>174</c:v>
                </c:pt>
                <c:pt idx="5">
                  <c:v>170</c:v>
                </c:pt>
                <c:pt idx="6">
                  <c:v>171</c:v>
                </c:pt>
                <c:pt idx="7">
                  <c:v>169</c:v>
                </c:pt>
                <c:pt idx="8">
                  <c:v>170</c:v>
                </c:pt>
                <c:pt idx="9">
                  <c:v>174</c:v>
                </c:pt>
                <c:pt idx="10">
                  <c:v>171</c:v>
                </c:pt>
                <c:pt idx="11">
                  <c:v>178</c:v>
                </c:pt>
                <c:pt idx="12">
                  <c:v>171</c:v>
                </c:pt>
                <c:pt idx="13">
                  <c:v>173</c:v>
                </c:pt>
                <c:pt idx="14">
                  <c:v>175</c:v>
                </c:pt>
                <c:pt idx="15">
                  <c:v>172</c:v>
                </c:pt>
                <c:pt idx="16">
                  <c:v>173</c:v>
                </c:pt>
                <c:pt idx="17">
                  <c:v>173</c:v>
                </c:pt>
                <c:pt idx="18">
                  <c:v>176</c:v>
                </c:pt>
                <c:pt idx="19">
                  <c:v>175</c:v>
                </c:pt>
                <c:pt idx="20">
                  <c:v>171</c:v>
                </c:pt>
                <c:pt idx="21">
                  <c:v>171</c:v>
                </c:pt>
                <c:pt idx="22">
                  <c:v>170</c:v>
                </c:pt>
                <c:pt idx="23">
                  <c:v>174</c:v>
                </c:pt>
                <c:pt idx="24">
                  <c:v>173</c:v>
                </c:pt>
                <c:pt idx="25">
                  <c:v>171</c:v>
                </c:pt>
                <c:pt idx="26">
                  <c:v>172</c:v>
                </c:pt>
                <c:pt idx="27">
                  <c:v>174</c:v>
                </c:pt>
                <c:pt idx="28">
                  <c:v>174</c:v>
                </c:pt>
                <c:pt idx="29">
                  <c:v>176</c:v>
                </c:pt>
                <c:pt idx="30">
                  <c:v>176</c:v>
                </c:pt>
                <c:pt idx="31">
                  <c:v>174</c:v>
                </c:pt>
                <c:pt idx="32">
                  <c:v>173</c:v>
                </c:pt>
                <c:pt idx="33">
                  <c:v>173</c:v>
                </c:pt>
                <c:pt idx="34">
                  <c:v>176</c:v>
                </c:pt>
                <c:pt idx="35">
                  <c:v>175</c:v>
                </c:pt>
                <c:pt idx="36">
                  <c:v>174</c:v>
                </c:pt>
                <c:pt idx="37">
                  <c:v>177</c:v>
                </c:pt>
                <c:pt idx="38">
                  <c:v>176</c:v>
                </c:pt>
                <c:pt idx="39">
                  <c:v>176</c:v>
                </c:pt>
                <c:pt idx="40">
                  <c:v>175</c:v>
                </c:pt>
                <c:pt idx="41">
                  <c:v>174</c:v>
                </c:pt>
                <c:pt idx="42">
                  <c:v>174</c:v>
                </c:pt>
                <c:pt idx="43">
                  <c:v>177</c:v>
                </c:pt>
                <c:pt idx="44">
                  <c:v>175</c:v>
                </c:pt>
                <c:pt idx="45">
                  <c:v>177</c:v>
                </c:pt>
                <c:pt idx="46">
                  <c:v>176</c:v>
                </c:pt>
                <c:pt idx="47">
                  <c:v>176</c:v>
                </c:pt>
                <c:pt idx="48">
                  <c:v>177</c:v>
                </c:pt>
                <c:pt idx="49">
                  <c:v>176</c:v>
                </c:pt>
                <c:pt idx="50">
                  <c:v>179</c:v>
                </c:pt>
                <c:pt idx="51">
                  <c:v>179</c:v>
                </c:pt>
                <c:pt idx="52">
                  <c:v>177</c:v>
                </c:pt>
                <c:pt idx="53">
                  <c:v>179</c:v>
                </c:pt>
                <c:pt idx="54">
                  <c:v>179</c:v>
                </c:pt>
                <c:pt idx="55">
                  <c:v>180</c:v>
                </c:pt>
                <c:pt idx="56">
                  <c:v>179</c:v>
                </c:pt>
                <c:pt idx="57">
                  <c:v>181</c:v>
                </c:pt>
                <c:pt idx="58">
                  <c:v>183</c:v>
                </c:pt>
                <c:pt idx="59">
                  <c:v>182</c:v>
                </c:pt>
                <c:pt idx="60">
                  <c:v>182</c:v>
                </c:pt>
                <c:pt idx="61">
                  <c:v>183</c:v>
                </c:pt>
                <c:pt idx="62">
                  <c:v>183</c:v>
                </c:pt>
                <c:pt idx="63">
                  <c:v>182</c:v>
                </c:pt>
                <c:pt idx="64">
                  <c:v>183</c:v>
                </c:pt>
                <c:pt idx="65">
                  <c:v>186</c:v>
                </c:pt>
                <c:pt idx="66">
                  <c:v>184</c:v>
                </c:pt>
                <c:pt idx="67">
                  <c:v>184</c:v>
                </c:pt>
                <c:pt idx="68">
                  <c:v>183</c:v>
                </c:pt>
                <c:pt idx="69">
                  <c:v>184</c:v>
                </c:pt>
                <c:pt idx="70">
                  <c:v>185</c:v>
                </c:pt>
                <c:pt idx="71">
                  <c:v>184</c:v>
                </c:pt>
                <c:pt idx="72">
                  <c:v>185</c:v>
                </c:pt>
              </c:numCache>
            </c:numRef>
          </c:yVal>
          <c:smooth val="1"/>
        </c:ser>
        <c:ser>
          <c:idx val="0"/>
          <c:order val="5"/>
          <c:tx>
            <c:v>jogging Olmen</c:v>
          </c:tx>
          <c:trendline>
            <c:trendlineType val="linear"/>
            <c:dispRSqr val="0"/>
            <c:dispEq val="0"/>
          </c:trendline>
          <c:xVal>
            <c:numRef>
              <c:f>Hartslagen!$B$4560:$B$4623</c:f>
              <c:numCache>
                <c:formatCode>h:mm:ss</c:formatCode>
                <c:ptCount val="64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  <c:pt idx="33">
                  <c:v>2.70833333333333E-2</c:v>
                </c:pt>
                <c:pt idx="34">
                  <c:v>2.7777777777777801E-2</c:v>
                </c:pt>
                <c:pt idx="35">
                  <c:v>2.8472222222222201E-2</c:v>
                </c:pt>
                <c:pt idx="36">
                  <c:v>2.9166666666666698E-2</c:v>
                </c:pt>
                <c:pt idx="37">
                  <c:v>2.9861111111111099E-2</c:v>
                </c:pt>
                <c:pt idx="38">
                  <c:v>3.05555555555556E-2</c:v>
                </c:pt>
                <c:pt idx="39">
                  <c:v>3.125E-2</c:v>
                </c:pt>
                <c:pt idx="40">
                  <c:v>3.19444444444444E-2</c:v>
                </c:pt>
                <c:pt idx="41">
                  <c:v>3.2638888888888898E-2</c:v>
                </c:pt>
                <c:pt idx="42">
                  <c:v>3.3333333333333298E-2</c:v>
                </c:pt>
                <c:pt idx="43">
                  <c:v>3.4027777777777803E-2</c:v>
                </c:pt>
                <c:pt idx="44">
                  <c:v>3.4722222222222203E-2</c:v>
                </c:pt>
                <c:pt idx="45">
                  <c:v>3.54166666666667E-2</c:v>
                </c:pt>
                <c:pt idx="46">
                  <c:v>3.6111111111111101E-2</c:v>
                </c:pt>
                <c:pt idx="47">
                  <c:v>3.6805555555555598E-2</c:v>
                </c:pt>
                <c:pt idx="48">
                  <c:v>3.7499999999999999E-2</c:v>
                </c:pt>
                <c:pt idx="49">
                  <c:v>3.8194444444444399E-2</c:v>
                </c:pt>
                <c:pt idx="50">
                  <c:v>3.8888888888888903E-2</c:v>
                </c:pt>
                <c:pt idx="51">
                  <c:v>3.9583333333333297E-2</c:v>
                </c:pt>
                <c:pt idx="52">
                  <c:v>4.0277777777777801E-2</c:v>
                </c:pt>
                <c:pt idx="53">
                  <c:v>4.0972222222222202E-2</c:v>
                </c:pt>
                <c:pt idx="54">
                  <c:v>4.1666666666666699E-2</c:v>
                </c:pt>
                <c:pt idx="55">
                  <c:v>4.2361111111111099E-2</c:v>
                </c:pt>
                <c:pt idx="56">
                  <c:v>4.3055555555555597E-2</c:v>
                </c:pt>
                <c:pt idx="57">
                  <c:v>4.3749999999999997E-2</c:v>
                </c:pt>
                <c:pt idx="58">
                  <c:v>4.4444444444444398E-2</c:v>
                </c:pt>
                <c:pt idx="59">
                  <c:v>4.5138888888888902E-2</c:v>
                </c:pt>
                <c:pt idx="60">
                  <c:v>4.5833333333333302E-2</c:v>
                </c:pt>
                <c:pt idx="61">
                  <c:v>4.65277777777778E-2</c:v>
                </c:pt>
                <c:pt idx="62">
                  <c:v>4.72222222222222E-2</c:v>
                </c:pt>
                <c:pt idx="63">
                  <c:v>4.7916666666666698E-2</c:v>
                </c:pt>
              </c:numCache>
            </c:numRef>
          </c:xVal>
          <c:yVal>
            <c:numRef>
              <c:f>Hartslagen!$C$4560:$C$4623</c:f>
              <c:numCache>
                <c:formatCode>General</c:formatCode>
                <c:ptCount val="64"/>
                <c:pt idx="0">
                  <c:v>178</c:v>
                </c:pt>
                <c:pt idx="1">
                  <c:v>175</c:v>
                </c:pt>
                <c:pt idx="2">
                  <c:v>175</c:v>
                </c:pt>
                <c:pt idx="3">
                  <c:v>173</c:v>
                </c:pt>
                <c:pt idx="4">
                  <c:v>174</c:v>
                </c:pt>
                <c:pt idx="5">
                  <c:v>175</c:v>
                </c:pt>
                <c:pt idx="6">
                  <c:v>172</c:v>
                </c:pt>
                <c:pt idx="7">
                  <c:v>176</c:v>
                </c:pt>
                <c:pt idx="8">
                  <c:v>171</c:v>
                </c:pt>
                <c:pt idx="9">
                  <c:v>174</c:v>
                </c:pt>
                <c:pt idx="10">
                  <c:v>175</c:v>
                </c:pt>
                <c:pt idx="11">
                  <c:v>173</c:v>
                </c:pt>
                <c:pt idx="12">
                  <c:v>174</c:v>
                </c:pt>
                <c:pt idx="13">
                  <c:v>173</c:v>
                </c:pt>
                <c:pt idx="14">
                  <c:v>174</c:v>
                </c:pt>
                <c:pt idx="15">
                  <c:v>175</c:v>
                </c:pt>
                <c:pt idx="16">
                  <c:v>175</c:v>
                </c:pt>
                <c:pt idx="17">
                  <c:v>175</c:v>
                </c:pt>
                <c:pt idx="18">
                  <c:v>176</c:v>
                </c:pt>
                <c:pt idx="19">
                  <c:v>175</c:v>
                </c:pt>
                <c:pt idx="20">
                  <c:v>176</c:v>
                </c:pt>
                <c:pt idx="21">
                  <c:v>178</c:v>
                </c:pt>
                <c:pt idx="22">
                  <c:v>177</c:v>
                </c:pt>
                <c:pt idx="23">
                  <c:v>176</c:v>
                </c:pt>
                <c:pt idx="24">
                  <c:v>176</c:v>
                </c:pt>
                <c:pt idx="25">
                  <c:v>175</c:v>
                </c:pt>
                <c:pt idx="26">
                  <c:v>178</c:v>
                </c:pt>
                <c:pt idx="27">
                  <c:v>178</c:v>
                </c:pt>
                <c:pt idx="28">
                  <c:v>176</c:v>
                </c:pt>
                <c:pt idx="29">
                  <c:v>175</c:v>
                </c:pt>
                <c:pt idx="30">
                  <c:v>176</c:v>
                </c:pt>
                <c:pt idx="31">
                  <c:v>176</c:v>
                </c:pt>
                <c:pt idx="32">
                  <c:v>176</c:v>
                </c:pt>
                <c:pt idx="33">
                  <c:v>177</c:v>
                </c:pt>
                <c:pt idx="34">
                  <c:v>178</c:v>
                </c:pt>
                <c:pt idx="35">
                  <c:v>179</c:v>
                </c:pt>
                <c:pt idx="36">
                  <c:v>177</c:v>
                </c:pt>
                <c:pt idx="37">
                  <c:v>177</c:v>
                </c:pt>
                <c:pt idx="38">
                  <c:v>177</c:v>
                </c:pt>
                <c:pt idx="39">
                  <c:v>176</c:v>
                </c:pt>
                <c:pt idx="40">
                  <c:v>178</c:v>
                </c:pt>
                <c:pt idx="41">
                  <c:v>178</c:v>
                </c:pt>
                <c:pt idx="42">
                  <c:v>178</c:v>
                </c:pt>
                <c:pt idx="43">
                  <c:v>179</c:v>
                </c:pt>
                <c:pt idx="44">
                  <c:v>179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179</c:v>
                </c:pt>
                <c:pt idx="49">
                  <c:v>181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179</c:v>
                </c:pt>
                <c:pt idx="56">
                  <c:v>176</c:v>
                </c:pt>
                <c:pt idx="57">
                  <c:v>180</c:v>
                </c:pt>
                <c:pt idx="58">
                  <c:v>181</c:v>
                </c:pt>
                <c:pt idx="59">
                  <c:v>182</c:v>
                </c:pt>
                <c:pt idx="60">
                  <c:v>181</c:v>
                </c:pt>
                <c:pt idx="61">
                  <c:v>181</c:v>
                </c:pt>
                <c:pt idx="62">
                  <c:v>181</c:v>
                </c:pt>
                <c:pt idx="63">
                  <c:v>183</c:v>
                </c:pt>
              </c:numCache>
            </c:numRef>
          </c:yVal>
          <c:smooth val="1"/>
        </c:ser>
        <c:ser>
          <c:idx val="1"/>
          <c:order val="6"/>
          <c:tx>
            <c:v>jogging Schoonbroek 01/08/2003</c:v>
          </c:tx>
          <c:xVal>
            <c:numRef>
              <c:f>Hartslagen!$B$4835:$B$4885</c:f>
              <c:numCache>
                <c:formatCode>h:mm:ss</c:formatCode>
                <c:ptCount val="51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2.0138888888888901E-2</c:v>
                </c:pt>
                <c:pt idx="24">
                  <c:v>2.0833333333333301E-2</c:v>
                </c:pt>
                <c:pt idx="25">
                  <c:v>2.1527777777777798E-2</c:v>
                </c:pt>
                <c:pt idx="26">
                  <c:v>2.2222222222222199E-2</c:v>
                </c:pt>
                <c:pt idx="27">
                  <c:v>2.29166666666667E-2</c:v>
                </c:pt>
                <c:pt idx="28">
                  <c:v>2.36111111111111E-2</c:v>
                </c:pt>
                <c:pt idx="29">
                  <c:v>2.4305555555555601E-2</c:v>
                </c:pt>
                <c:pt idx="30">
                  <c:v>2.5000000000000001E-2</c:v>
                </c:pt>
                <c:pt idx="31">
                  <c:v>2.5694444444444402E-2</c:v>
                </c:pt>
                <c:pt idx="32">
                  <c:v>2.6388888888888899E-2</c:v>
                </c:pt>
                <c:pt idx="33">
                  <c:v>2.70833333333333E-2</c:v>
                </c:pt>
                <c:pt idx="34">
                  <c:v>2.7777777777777801E-2</c:v>
                </c:pt>
                <c:pt idx="35">
                  <c:v>2.8472222222222201E-2</c:v>
                </c:pt>
                <c:pt idx="36">
                  <c:v>2.9166666666666698E-2</c:v>
                </c:pt>
                <c:pt idx="37">
                  <c:v>2.9861111111111099E-2</c:v>
                </c:pt>
                <c:pt idx="38">
                  <c:v>3.05555555555556E-2</c:v>
                </c:pt>
                <c:pt idx="39">
                  <c:v>3.125E-2</c:v>
                </c:pt>
                <c:pt idx="40">
                  <c:v>3.19444444444444E-2</c:v>
                </c:pt>
                <c:pt idx="41">
                  <c:v>3.2638888888888898E-2</c:v>
                </c:pt>
                <c:pt idx="42">
                  <c:v>3.3333333333333298E-2</c:v>
                </c:pt>
                <c:pt idx="43">
                  <c:v>3.4027777777777803E-2</c:v>
                </c:pt>
                <c:pt idx="44">
                  <c:v>3.4722222222222203E-2</c:v>
                </c:pt>
                <c:pt idx="45">
                  <c:v>3.54166666666667E-2</c:v>
                </c:pt>
                <c:pt idx="46">
                  <c:v>3.6111111111111101E-2</c:v>
                </c:pt>
                <c:pt idx="47">
                  <c:v>3.6805555555555598E-2</c:v>
                </c:pt>
                <c:pt idx="48">
                  <c:v>3.7499999999999999E-2</c:v>
                </c:pt>
                <c:pt idx="49">
                  <c:v>3.8194444444444399E-2</c:v>
                </c:pt>
                <c:pt idx="50">
                  <c:v>3.8888888888888903E-2</c:v>
                </c:pt>
              </c:numCache>
            </c:numRef>
          </c:xVal>
          <c:yVal>
            <c:numRef>
              <c:f>Hartslagen!$C$4835:$C$4885</c:f>
              <c:numCache>
                <c:formatCode>General</c:formatCode>
                <c:ptCount val="51"/>
                <c:pt idx="0">
                  <c:v>177</c:v>
                </c:pt>
                <c:pt idx="1">
                  <c:v>179</c:v>
                </c:pt>
                <c:pt idx="2">
                  <c:v>178</c:v>
                </c:pt>
                <c:pt idx="3">
                  <c:v>175</c:v>
                </c:pt>
                <c:pt idx="4">
                  <c:v>173</c:v>
                </c:pt>
                <c:pt idx="5">
                  <c:v>178</c:v>
                </c:pt>
                <c:pt idx="6">
                  <c:v>176</c:v>
                </c:pt>
                <c:pt idx="7">
                  <c:v>177</c:v>
                </c:pt>
                <c:pt idx="8">
                  <c:v>174</c:v>
                </c:pt>
                <c:pt idx="9">
                  <c:v>178</c:v>
                </c:pt>
                <c:pt idx="10">
                  <c:v>176</c:v>
                </c:pt>
                <c:pt idx="11">
                  <c:v>179</c:v>
                </c:pt>
                <c:pt idx="12">
                  <c:v>176</c:v>
                </c:pt>
                <c:pt idx="13">
                  <c:v>179</c:v>
                </c:pt>
                <c:pt idx="14">
                  <c:v>177</c:v>
                </c:pt>
                <c:pt idx="15">
                  <c:v>177</c:v>
                </c:pt>
                <c:pt idx="16">
                  <c:v>178</c:v>
                </c:pt>
                <c:pt idx="17">
                  <c:v>176</c:v>
                </c:pt>
                <c:pt idx="18">
                  <c:v>178</c:v>
                </c:pt>
                <c:pt idx="19">
                  <c:v>178</c:v>
                </c:pt>
                <c:pt idx="20">
                  <c:v>179</c:v>
                </c:pt>
                <c:pt idx="21">
                  <c:v>177</c:v>
                </c:pt>
                <c:pt idx="22">
                  <c:v>180</c:v>
                </c:pt>
                <c:pt idx="23">
                  <c:v>180</c:v>
                </c:pt>
                <c:pt idx="24">
                  <c:v>183</c:v>
                </c:pt>
                <c:pt idx="25">
                  <c:v>182</c:v>
                </c:pt>
                <c:pt idx="26">
                  <c:v>182</c:v>
                </c:pt>
                <c:pt idx="27">
                  <c:v>181</c:v>
                </c:pt>
                <c:pt idx="28">
                  <c:v>184</c:v>
                </c:pt>
                <c:pt idx="29">
                  <c:v>184</c:v>
                </c:pt>
                <c:pt idx="30">
                  <c:v>182</c:v>
                </c:pt>
                <c:pt idx="31">
                  <c:v>184</c:v>
                </c:pt>
                <c:pt idx="32">
                  <c:v>183</c:v>
                </c:pt>
                <c:pt idx="33">
                  <c:v>181</c:v>
                </c:pt>
                <c:pt idx="34">
                  <c:v>181</c:v>
                </c:pt>
                <c:pt idx="35">
                  <c:v>179</c:v>
                </c:pt>
                <c:pt idx="36">
                  <c:v>181</c:v>
                </c:pt>
                <c:pt idx="37">
                  <c:v>183</c:v>
                </c:pt>
                <c:pt idx="38">
                  <c:v>182</c:v>
                </c:pt>
                <c:pt idx="39">
                  <c:v>182</c:v>
                </c:pt>
                <c:pt idx="40">
                  <c:v>181</c:v>
                </c:pt>
                <c:pt idx="41">
                  <c:v>182</c:v>
                </c:pt>
                <c:pt idx="42">
                  <c:v>182</c:v>
                </c:pt>
                <c:pt idx="43">
                  <c:v>182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182</c:v>
                </c:pt>
                <c:pt idx="48">
                  <c:v>183</c:v>
                </c:pt>
                <c:pt idx="49">
                  <c:v>184</c:v>
                </c:pt>
                <c:pt idx="50">
                  <c:v>187</c:v>
                </c:pt>
              </c:numCache>
            </c:numRef>
          </c:yVal>
          <c:smooth val="1"/>
        </c:ser>
        <c:ser>
          <c:idx val="2"/>
          <c:order val="7"/>
          <c:tx>
            <c:v>HM Olen 28/3/2004</c:v>
          </c:tx>
          <c:trendline>
            <c:trendlineType val="linear"/>
            <c:dispRSqr val="0"/>
            <c:dispEq val="0"/>
          </c:trendline>
          <c:xVal>
            <c:numRef>
              <c:f>Hartslagen!$B$4996:$B$5061</c:f>
              <c:numCache>
                <c:formatCode>h:mm:ss</c:formatCode>
                <c:ptCount val="66"/>
                <c:pt idx="0">
                  <c:v>4.1666666666666701E-3</c:v>
                </c:pt>
                <c:pt idx="1">
                  <c:v>4.8611111111111103E-3</c:v>
                </c:pt>
                <c:pt idx="2">
                  <c:v>5.5555555555555601E-3</c:v>
                </c:pt>
                <c:pt idx="3">
                  <c:v>6.2500000000000003E-3</c:v>
                </c:pt>
                <c:pt idx="4">
                  <c:v>6.9444444444444397E-3</c:v>
                </c:pt>
                <c:pt idx="5">
                  <c:v>7.6388888888888904E-3</c:v>
                </c:pt>
                <c:pt idx="6">
                  <c:v>8.3333333333333297E-3</c:v>
                </c:pt>
                <c:pt idx="7">
                  <c:v>9.0277777777777804E-3</c:v>
                </c:pt>
                <c:pt idx="8">
                  <c:v>9.7222222222222206E-3</c:v>
                </c:pt>
                <c:pt idx="9">
                  <c:v>1.0416666666666701E-2</c:v>
                </c:pt>
                <c:pt idx="10">
                  <c:v>1.1111111111111099E-2</c:v>
                </c:pt>
                <c:pt idx="11">
                  <c:v>1.18055555555556E-2</c:v>
                </c:pt>
                <c:pt idx="12">
                  <c:v>1.2500000000000001E-2</c:v>
                </c:pt>
                <c:pt idx="13">
                  <c:v>1.3194444444444399E-2</c:v>
                </c:pt>
                <c:pt idx="14">
                  <c:v>1.38888888888889E-2</c:v>
                </c:pt>
                <c:pt idx="15">
                  <c:v>1.4583333333333301E-2</c:v>
                </c:pt>
                <c:pt idx="16">
                  <c:v>1.52777777777778E-2</c:v>
                </c:pt>
                <c:pt idx="17">
                  <c:v>1.59722222222222E-2</c:v>
                </c:pt>
                <c:pt idx="18">
                  <c:v>1.6666666666666701E-2</c:v>
                </c:pt>
                <c:pt idx="19">
                  <c:v>1.7361111111111101E-2</c:v>
                </c:pt>
                <c:pt idx="20">
                  <c:v>1.8055555555555599E-2</c:v>
                </c:pt>
                <c:pt idx="21">
                  <c:v>1.8749999999999999E-2</c:v>
                </c:pt>
                <c:pt idx="22">
                  <c:v>1.94444444444444E-2</c:v>
                </c:pt>
                <c:pt idx="23">
                  <c:v>2.01388888888888E-2</c:v>
                </c:pt>
                <c:pt idx="24">
                  <c:v>2.08333333333332E-2</c:v>
                </c:pt>
                <c:pt idx="25">
                  <c:v>2.1527777777777601E-2</c:v>
                </c:pt>
                <c:pt idx="26">
                  <c:v>2.2222222222222001E-2</c:v>
                </c:pt>
                <c:pt idx="27">
                  <c:v>2.2916666666666401E-2</c:v>
                </c:pt>
                <c:pt idx="28">
                  <c:v>2.3611111111110802E-2</c:v>
                </c:pt>
                <c:pt idx="29">
                  <c:v>2.4305555555555199E-2</c:v>
                </c:pt>
                <c:pt idx="30">
                  <c:v>2.4999999999999599E-2</c:v>
                </c:pt>
                <c:pt idx="31">
                  <c:v>2.5694444444443999E-2</c:v>
                </c:pt>
                <c:pt idx="32">
                  <c:v>2.63888888888884E-2</c:v>
                </c:pt>
                <c:pt idx="33">
                  <c:v>2.70833333333328E-2</c:v>
                </c:pt>
                <c:pt idx="34">
                  <c:v>2.77777777777772E-2</c:v>
                </c:pt>
                <c:pt idx="35">
                  <c:v>2.8472222222221601E-2</c:v>
                </c:pt>
                <c:pt idx="36">
                  <c:v>2.9166666666666001E-2</c:v>
                </c:pt>
                <c:pt idx="37">
                  <c:v>2.9861111111110401E-2</c:v>
                </c:pt>
                <c:pt idx="38">
                  <c:v>3.0555555555554802E-2</c:v>
                </c:pt>
                <c:pt idx="39">
                  <c:v>3.1249999999999199E-2</c:v>
                </c:pt>
                <c:pt idx="40">
                  <c:v>3.1944444444443602E-2</c:v>
                </c:pt>
                <c:pt idx="41">
                  <c:v>3.2638888888888003E-2</c:v>
                </c:pt>
                <c:pt idx="42">
                  <c:v>3.3333333333332403E-2</c:v>
                </c:pt>
                <c:pt idx="43">
                  <c:v>3.4027777777776803E-2</c:v>
                </c:pt>
                <c:pt idx="44">
                  <c:v>3.47222222222211E-2</c:v>
                </c:pt>
                <c:pt idx="45">
                  <c:v>3.54166666666655E-2</c:v>
                </c:pt>
                <c:pt idx="46">
                  <c:v>3.61111111111099E-2</c:v>
                </c:pt>
                <c:pt idx="47">
                  <c:v>3.6805555555554301E-2</c:v>
                </c:pt>
                <c:pt idx="48">
                  <c:v>3.7499999999998701E-2</c:v>
                </c:pt>
                <c:pt idx="49">
                  <c:v>3.8194444444443101E-2</c:v>
                </c:pt>
                <c:pt idx="50">
                  <c:v>3.8888888888887502E-2</c:v>
                </c:pt>
                <c:pt idx="51">
                  <c:v>3.9583333333331902E-2</c:v>
                </c:pt>
                <c:pt idx="52">
                  <c:v>4.0277777777776302E-2</c:v>
                </c:pt>
                <c:pt idx="53">
                  <c:v>4.0972222222220703E-2</c:v>
                </c:pt>
                <c:pt idx="54">
                  <c:v>4.1666666666665103E-2</c:v>
                </c:pt>
                <c:pt idx="55">
                  <c:v>4.2361111111109503E-2</c:v>
                </c:pt>
                <c:pt idx="56">
                  <c:v>4.3055555555553897E-2</c:v>
                </c:pt>
                <c:pt idx="57">
                  <c:v>4.3749999999998297E-2</c:v>
                </c:pt>
                <c:pt idx="58">
                  <c:v>4.4444444444442698E-2</c:v>
                </c:pt>
                <c:pt idx="59">
                  <c:v>4.5138888888887098E-2</c:v>
                </c:pt>
                <c:pt idx="60">
                  <c:v>4.5833333333331498E-2</c:v>
                </c:pt>
                <c:pt idx="61">
                  <c:v>4.6527777777775899E-2</c:v>
                </c:pt>
                <c:pt idx="62">
                  <c:v>4.7222222222220299E-2</c:v>
                </c:pt>
                <c:pt idx="63">
                  <c:v>4.7916666666664699E-2</c:v>
                </c:pt>
                <c:pt idx="64">
                  <c:v>4.86111111111091E-2</c:v>
                </c:pt>
                <c:pt idx="65">
                  <c:v>4.93055555555535E-2</c:v>
                </c:pt>
              </c:numCache>
            </c:numRef>
          </c:xVal>
          <c:yVal>
            <c:numRef>
              <c:f>Hartslagen!$C$4996:$C$5061</c:f>
              <c:numCache>
                <c:formatCode>General</c:formatCode>
                <c:ptCount val="66"/>
                <c:pt idx="0">
                  <c:v>177</c:v>
                </c:pt>
                <c:pt idx="1">
                  <c:v>175</c:v>
                </c:pt>
                <c:pt idx="2">
                  <c:v>179</c:v>
                </c:pt>
                <c:pt idx="3">
                  <c:v>177</c:v>
                </c:pt>
                <c:pt idx="4">
                  <c:v>177</c:v>
                </c:pt>
                <c:pt idx="5">
                  <c:v>179</c:v>
                </c:pt>
                <c:pt idx="6">
                  <c:v>178</c:v>
                </c:pt>
                <c:pt idx="7">
                  <c:v>178</c:v>
                </c:pt>
                <c:pt idx="8">
                  <c:v>178</c:v>
                </c:pt>
                <c:pt idx="9">
                  <c:v>180</c:v>
                </c:pt>
                <c:pt idx="10">
                  <c:v>177</c:v>
                </c:pt>
                <c:pt idx="11">
                  <c:v>176</c:v>
                </c:pt>
                <c:pt idx="12">
                  <c:v>176</c:v>
                </c:pt>
                <c:pt idx="13">
                  <c:v>177</c:v>
                </c:pt>
                <c:pt idx="14">
                  <c:v>178</c:v>
                </c:pt>
                <c:pt idx="15">
                  <c:v>176</c:v>
                </c:pt>
                <c:pt idx="16">
                  <c:v>175</c:v>
                </c:pt>
                <c:pt idx="17">
                  <c:v>174</c:v>
                </c:pt>
                <c:pt idx="18">
                  <c:v>174</c:v>
                </c:pt>
                <c:pt idx="19">
                  <c:v>175</c:v>
                </c:pt>
                <c:pt idx="20">
                  <c:v>173</c:v>
                </c:pt>
                <c:pt idx="21">
                  <c:v>174</c:v>
                </c:pt>
                <c:pt idx="22">
                  <c:v>172</c:v>
                </c:pt>
                <c:pt idx="23">
                  <c:v>173</c:v>
                </c:pt>
                <c:pt idx="24">
                  <c:v>179</c:v>
                </c:pt>
                <c:pt idx="25">
                  <c:v>178</c:v>
                </c:pt>
                <c:pt idx="26">
                  <c:v>176</c:v>
                </c:pt>
                <c:pt idx="27">
                  <c:v>177</c:v>
                </c:pt>
                <c:pt idx="28">
                  <c:v>175</c:v>
                </c:pt>
                <c:pt idx="29">
                  <c:v>176</c:v>
                </c:pt>
                <c:pt idx="30">
                  <c:v>176</c:v>
                </c:pt>
                <c:pt idx="31">
                  <c:v>175</c:v>
                </c:pt>
                <c:pt idx="32">
                  <c:v>176</c:v>
                </c:pt>
                <c:pt idx="33">
                  <c:v>174</c:v>
                </c:pt>
                <c:pt idx="34">
                  <c:v>175</c:v>
                </c:pt>
                <c:pt idx="35">
                  <c:v>178</c:v>
                </c:pt>
                <c:pt idx="36">
                  <c:v>175</c:v>
                </c:pt>
                <c:pt idx="37">
                  <c:v>177</c:v>
                </c:pt>
                <c:pt idx="38">
                  <c:v>177</c:v>
                </c:pt>
                <c:pt idx="39">
                  <c:v>178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179</c:v>
                </c:pt>
                <c:pt idx="44">
                  <c:v>180</c:v>
                </c:pt>
                <c:pt idx="45">
                  <c:v>179</c:v>
                </c:pt>
                <c:pt idx="46">
                  <c:v>179</c:v>
                </c:pt>
                <c:pt idx="47">
                  <c:v>179</c:v>
                </c:pt>
                <c:pt idx="48">
                  <c:v>179</c:v>
                </c:pt>
                <c:pt idx="49">
                  <c:v>179</c:v>
                </c:pt>
                <c:pt idx="50">
                  <c:v>179</c:v>
                </c:pt>
                <c:pt idx="51">
                  <c:v>180</c:v>
                </c:pt>
                <c:pt idx="52">
                  <c:v>180</c:v>
                </c:pt>
                <c:pt idx="53">
                  <c:v>179</c:v>
                </c:pt>
                <c:pt idx="54">
                  <c:v>180</c:v>
                </c:pt>
                <c:pt idx="55">
                  <c:v>181</c:v>
                </c:pt>
                <c:pt idx="56">
                  <c:v>180</c:v>
                </c:pt>
                <c:pt idx="57">
                  <c:v>181</c:v>
                </c:pt>
                <c:pt idx="58">
                  <c:v>181</c:v>
                </c:pt>
                <c:pt idx="59">
                  <c:v>181</c:v>
                </c:pt>
                <c:pt idx="60">
                  <c:v>178</c:v>
                </c:pt>
                <c:pt idx="61">
                  <c:v>179</c:v>
                </c:pt>
                <c:pt idx="62">
                  <c:v>179</c:v>
                </c:pt>
                <c:pt idx="63">
                  <c:v>181</c:v>
                </c:pt>
                <c:pt idx="64">
                  <c:v>180</c:v>
                </c:pt>
                <c:pt idx="65">
                  <c:v>180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62016"/>
        <c:axId val="101888384"/>
      </c:scatterChart>
      <c:valAx>
        <c:axId val="101862016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nl-BE"/>
          </a:p>
        </c:txPr>
        <c:crossAx val="101888384"/>
        <c:crosses val="autoZero"/>
        <c:crossBetween val="midCat"/>
      </c:valAx>
      <c:valAx>
        <c:axId val="101888384"/>
        <c:scaling>
          <c:orientation val="minMax"/>
          <c:max val="190"/>
          <c:min val="16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nl-BE"/>
          </a:p>
        </c:txPr>
        <c:crossAx val="1018620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473915315646721"/>
          <c:y val="0.35236534058447277"/>
          <c:w val="0.26526084684353279"/>
          <c:h val="0.64763465941552723"/>
        </c:manualLayout>
      </c:layout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03793641923889E-2"/>
          <c:y val="3.7735887684961021E-2"/>
          <c:w val="0.9179974225260733"/>
          <c:h val="0.8396235009903827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Hartslagen!$B$3750:$B$4474</c:f>
              <c:numCache>
                <c:formatCode>h:mm:ss</c:formatCode>
                <c:ptCount val="725"/>
                <c:pt idx="0">
                  <c:v>0</c:v>
                </c:pt>
                <c:pt idx="1">
                  <c:v>5.7870370370370366E-5</c:v>
                </c:pt>
                <c:pt idx="2">
                  <c:v>1.15740740740741E-4</c:v>
                </c:pt>
                <c:pt idx="3">
                  <c:v>1.7361111111111101E-4</c:v>
                </c:pt>
                <c:pt idx="4">
                  <c:v>2.31481481481481E-4</c:v>
                </c:pt>
                <c:pt idx="5">
                  <c:v>2.89351851851852E-4</c:v>
                </c:pt>
                <c:pt idx="6">
                  <c:v>3.4722222222222202E-4</c:v>
                </c:pt>
                <c:pt idx="7">
                  <c:v>4.0509259259259301E-4</c:v>
                </c:pt>
                <c:pt idx="8">
                  <c:v>4.6296296296296298E-4</c:v>
                </c:pt>
                <c:pt idx="9">
                  <c:v>5.20833333333333E-4</c:v>
                </c:pt>
                <c:pt idx="10">
                  <c:v>5.78703703703704E-4</c:v>
                </c:pt>
                <c:pt idx="11">
                  <c:v>6.3657407407407402E-4</c:v>
                </c:pt>
                <c:pt idx="12">
                  <c:v>6.9444444444444404E-4</c:v>
                </c:pt>
                <c:pt idx="13">
                  <c:v>7.5231481481481503E-4</c:v>
                </c:pt>
                <c:pt idx="14">
                  <c:v>8.1018518518518505E-4</c:v>
                </c:pt>
                <c:pt idx="15">
                  <c:v>8.6805555555555605E-4</c:v>
                </c:pt>
                <c:pt idx="16">
                  <c:v>9.2592592592592596E-4</c:v>
                </c:pt>
                <c:pt idx="17">
                  <c:v>9.8379629629629598E-4</c:v>
                </c:pt>
                <c:pt idx="18">
                  <c:v>1.0416666666666699E-3</c:v>
                </c:pt>
                <c:pt idx="19">
                  <c:v>1.0995370370370399E-3</c:v>
                </c:pt>
                <c:pt idx="20">
                  <c:v>1.1574074074074099E-3</c:v>
                </c:pt>
                <c:pt idx="21">
                  <c:v>1.21527777777778E-3</c:v>
                </c:pt>
                <c:pt idx="22">
                  <c:v>1.27314814814815E-3</c:v>
                </c:pt>
                <c:pt idx="23">
                  <c:v>1.33101851851852E-3</c:v>
                </c:pt>
                <c:pt idx="24">
                  <c:v>1.38888888888889E-3</c:v>
                </c:pt>
                <c:pt idx="25">
                  <c:v>1.44675925925926E-3</c:v>
                </c:pt>
                <c:pt idx="26">
                  <c:v>1.5046296296296301E-3</c:v>
                </c:pt>
                <c:pt idx="27">
                  <c:v>1.5625000000000001E-3</c:v>
                </c:pt>
                <c:pt idx="28">
                  <c:v>1.6203703703703701E-3</c:v>
                </c:pt>
                <c:pt idx="29">
                  <c:v>1.6782407407407399E-3</c:v>
                </c:pt>
                <c:pt idx="30">
                  <c:v>1.7361111111111099E-3</c:v>
                </c:pt>
                <c:pt idx="31">
                  <c:v>1.79398148148148E-3</c:v>
                </c:pt>
                <c:pt idx="32">
                  <c:v>1.85185185185185E-3</c:v>
                </c:pt>
                <c:pt idx="33">
                  <c:v>1.90972222222222E-3</c:v>
                </c:pt>
                <c:pt idx="34">
                  <c:v>1.9675925925925898E-3</c:v>
                </c:pt>
                <c:pt idx="35">
                  <c:v>2.0254629629629598E-3</c:v>
                </c:pt>
                <c:pt idx="36">
                  <c:v>2.0833333333333298E-3</c:v>
                </c:pt>
                <c:pt idx="37">
                  <c:v>2.1412037037036999E-3</c:v>
                </c:pt>
                <c:pt idx="38">
                  <c:v>2.1990740740740699E-3</c:v>
                </c:pt>
                <c:pt idx="39">
                  <c:v>2.2569444444444399E-3</c:v>
                </c:pt>
                <c:pt idx="40">
                  <c:v>2.3148148148148099E-3</c:v>
                </c:pt>
                <c:pt idx="41">
                  <c:v>2.3726851851851899E-3</c:v>
                </c:pt>
                <c:pt idx="42">
                  <c:v>2.4305555555555599E-3</c:v>
                </c:pt>
                <c:pt idx="43">
                  <c:v>2.48842592592593E-3</c:v>
                </c:pt>
                <c:pt idx="44">
                  <c:v>2.5462962962963E-3</c:v>
                </c:pt>
                <c:pt idx="45">
                  <c:v>2.60416666666667E-3</c:v>
                </c:pt>
                <c:pt idx="46">
                  <c:v>2.66203703703704E-3</c:v>
                </c:pt>
                <c:pt idx="47">
                  <c:v>2.71990740740741E-3</c:v>
                </c:pt>
                <c:pt idx="48">
                  <c:v>2.7777777777777801E-3</c:v>
                </c:pt>
                <c:pt idx="49">
                  <c:v>2.8356481481481501E-3</c:v>
                </c:pt>
                <c:pt idx="50">
                  <c:v>2.8935185185185201E-3</c:v>
                </c:pt>
                <c:pt idx="51">
                  <c:v>2.9513888888888901E-3</c:v>
                </c:pt>
                <c:pt idx="52">
                  <c:v>3.0092592592592601E-3</c:v>
                </c:pt>
                <c:pt idx="53">
                  <c:v>3.0671296296296302E-3</c:v>
                </c:pt>
                <c:pt idx="54">
                  <c:v>3.1250000000000002E-3</c:v>
                </c:pt>
                <c:pt idx="55">
                  <c:v>3.1828703703703702E-3</c:v>
                </c:pt>
                <c:pt idx="56">
                  <c:v>3.2407407407407402E-3</c:v>
                </c:pt>
                <c:pt idx="57">
                  <c:v>3.2986111111111098E-3</c:v>
                </c:pt>
                <c:pt idx="58">
                  <c:v>3.3564814814814798E-3</c:v>
                </c:pt>
                <c:pt idx="59">
                  <c:v>3.4143518518518498E-3</c:v>
                </c:pt>
                <c:pt idx="60">
                  <c:v>3.4722222222222199E-3</c:v>
                </c:pt>
                <c:pt idx="61">
                  <c:v>3.5300925925925899E-3</c:v>
                </c:pt>
                <c:pt idx="62">
                  <c:v>3.5879629629629599E-3</c:v>
                </c:pt>
                <c:pt idx="63">
                  <c:v>3.6458333333333299E-3</c:v>
                </c:pt>
                <c:pt idx="64">
                  <c:v>3.7037037037036999E-3</c:v>
                </c:pt>
                <c:pt idx="65">
                  <c:v>3.76157407407407E-3</c:v>
                </c:pt>
                <c:pt idx="66">
                  <c:v>3.81944444444444E-3</c:v>
                </c:pt>
                <c:pt idx="67">
                  <c:v>3.87731481481481E-3</c:v>
                </c:pt>
                <c:pt idx="68">
                  <c:v>3.9351851851851796E-3</c:v>
                </c:pt>
                <c:pt idx="69">
                  <c:v>3.9930555555555596E-3</c:v>
                </c:pt>
                <c:pt idx="70">
                  <c:v>4.05092592592593E-3</c:v>
                </c:pt>
                <c:pt idx="71">
                  <c:v>4.1087962962962996E-3</c:v>
                </c:pt>
                <c:pt idx="72">
                  <c:v>4.1666666666666701E-3</c:v>
                </c:pt>
                <c:pt idx="73">
                  <c:v>4.2245370370370397E-3</c:v>
                </c:pt>
                <c:pt idx="74">
                  <c:v>4.2824074074074101E-3</c:v>
                </c:pt>
                <c:pt idx="75">
                  <c:v>4.3402777777777797E-3</c:v>
                </c:pt>
                <c:pt idx="76">
                  <c:v>4.3981481481481502E-3</c:v>
                </c:pt>
                <c:pt idx="77">
                  <c:v>4.4560185185185197E-3</c:v>
                </c:pt>
                <c:pt idx="78">
                  <c:v>4.5138888888888902E-3</c:v>
                </c:pt>
                <c:pt idx="79">
                  <c:v>4.5717592592592598E-3</c:v>
                </c:pt>
                <c:pt idx="80">
                  <c:v>4.6296296296296302E-3</c:v>
                </c:pt>
                <c:pt idx="81">
                  <c:v>4.6874999999999998E-3</c:v>
                </c:pt>
                <c:pt idx="82">
                  <c:v>4.7453703703703703E-3</c:v>
                </c:pt>
                <c:pt idx="83">
                  <c:v>4.8032407407407399E-3</c:v>
                </c:pt>
                <c:pt idx="84">
                  <c:v>4.8611111111111103E-3</c:v>
                </c:pt>
                <c:pt idx="85">
                  <c:v>4.9189814814814799E-3</c:v>
                </c:pt>
                <c:pt idx="86">
                  <c:v>4.9768518518518504E-3</c:v>
                </c:pt>
                <c:pt idx="87">
                  <c:v>5.0347222222222199E-3</c:v>
                </c:pt>
                <c:pt idx="88">
                  <c:v>5.0925925925925904E-3</c:v>
                </c:pt>
                <c:pt idx="89">
                  <c:v>5.15046296296296E-3</c:v>
                </c:pt>
                <c:pt idx="90">
                  <c:v>5.2083333333333296E-3</c:v>
                </c:pt>
                <c:pt idx="91">
                  <c:v>5.2662037037037E-3</c:v>
                </c:pt>
                <c:pt idx="92">
                  <c:v>5.3240740740740696E-3</c:v>
                </c:pt>
                <c:pt idx="93">
                  <c:v>5.3819444444444401E-3</c:v>
                </c:pt>
                <c:pt idx="94">
                  <c:v>5.4398148148148097E-3</c:v>
                </c:pt>
                <c:pt idx="95">
                  <c:v>5.4976851851851801E-3</c:v>
                </c:pt>
                <c:pt idx="96">
                  <c:v>5.5555555555555497E-3</c:v>
                </c:pt>
                <c:pt idx="97">
                  <c:v>5.6134259259259297E-3</c:v>
                </c:pt>
                <c:pt idx="98">
                  <c:v>5.6712962962963001E-3</c:v>
                </c:pt>
                <c:pt idx="99">
                  <c:v>5.7291666666666697E-3</c:v>
                </c:pt>
                <c:pt idx="100">
                  <c:v>5.7870370370370402E-3</c:v>
                </c:pt>
                <c:pt idx="101">
                  <c:v>5.8449074074074098E-3</c:v>
                </c:pt>
                <c:pt idx="102">
                  <c:v>5.9027777777777802E-3</c:v>
                </c:pt>
                <c:pt idx="103">
                  <c:v>5.9606481481481498E-3</c:v>
                </c:pt>
                <c:pt idx="104">
                  <c:v>6.0185185185185203E-3</c:v>
                </c:pt>
                <c:pt idx="105">
                  <c:v>6.0763888888888899E-3</c:v>
                </c:pt>
                <c:pt idx="106">
                  <c:v>6.1342592592592603E-3</c:v>
                </c:pt>
                <c:pt idx="107">
                  <c:v>6.1921296296296299E-3</c:v>
                </c:pt>
                <c:pt idx="108">
                  <c:v>6.2500000000000003E-3</c:v>
                </c:pt>
                <c:pt idx="109">
                  <c:v>6.3078703703703699E-3</c:v>
                </c:pt>
                <c:pt idx="110">
                  <c:v>6.3657407407407404E-3</c:v>
                </c:pt>
                <c:pt idx="111">
                  <c:v>6.42361111111111E-3</c:v>
                </c:pt>
                <c:pt idx="112">
                  <c:v>6.4814814814814804E-3</c:v>
                </c:pt>
                <c:pt idx="113">
                  <c:v>6.53935185185185E-3</c:v>
                </c:pt>
                <c:pt idx="114">
                  <c:v>6.5972222222222196E-3</c:v>
                </c:pt>
                <c:pt idx="115">
                  <c:v>6.6550925925925901E-3</c:v>
                </c:pt>
                <c:pt idx="116">
                  <c:v>6.7129629629629596E-3</c:v>
                </c:pt>
                <c:pt idx="117">
                  <c:v>6.7708333333333301E-3</c:v>
                </c:pt>
                <c:pt idx="118">
                  <c:v>6.8287037037036997E-3</c:v>
                </c:pt>
                <c:pt idx="119">
                  <c:v>6.8865740740740701E-3</c:v>
                </c:pt>
                <c:pt idx="120">
                  <c:v>6.9444444444444397E-3</c:v>
                </c:pt>
                <c:pt idx="121">
                  <c:v>7.0023148148148102E-3</c:v>
                </c:pt>
                <c:pt idx="122">
                  <c:v>7.0601851851851798E-3</c:v>
                </c:pt>
                <c:pt idx="123">
                  <c:v>7.1180555555555598E-3</c:v>
                </c:pt>
                <c:pt idx="124">
                  <c:v>7.1759259259259302E-3</c:v>
                </c:pt>
                <c:pt idx="125">
                  <c:v>7.2337962962962998E-3</c:v>
                </c:pt>
                <c:pt idx="126">
                  <c:v>7.2916666666666703E-3</c:v>
                </c:pt>
                <c:pt idx="127">
                  <c:v>7.3495370370370398E-3</c:v>
                </c:pt>
                <c:pt idx="128">
                  <c:v>7.4074074074074103E-3</c:v>
                </c:pt>
                <c:pt idx="129">
                  <c:v>7.4652777777777799E-3</c:v>
                </c:pt>
                <c:pt idx="130">
                  <c:v>7.5231481481481503E-3</c:v>
                </c:pt>
                <c:pt idx="131">
                  <c:v>7.5810185185185199E-3</c:v>
                </c:pt>
                <c:pt idx="132">
                  <c:v>7.6388888888888904E-3</c:v>
                </c:pt>
                <c:pt idx="133">
                  <c:v>7.69675925925926E-3</c:v>
                </c:pt>
                <c:pt idx="134">
                  <c:v>7.7546296296296304E-3</c:v>
                </c:pt>
                <c:pt idx="135">
                  <c:v>7.8125E-3</c:v>
                </c:pt>
                <c:pt idx="136">
                  <c:v>7.8703703703703696E-3</c:v>
                </c:pt>
                <c:pt idx="137">
                  <c:v>7.9282407407407392E-3</c:v>
                </c:pt>
                <c:pt idx="138">
                  <c:v>7.9861111111111105E-3</c:v>
                </c:pt>
                <c:pt idx="139">
                  <c:v>8.0439814814814801E-3</c:v>
                </c:pt>
                <c:pt idx="140">
                  <c:v>8.1018518518518497E-3</c:v>
                </c:pt>
                <c:pt idx="141">
                  <c:v>8.1597222222222193E-3</c:v>
                </c:pt>
                <c:pt idx="142">
                  <c:v>8.2175925925925906E-3</c:v>
                </c:pt>
                <c:pt idx="143">
                  <c:v>8.2754629629629602E-3</c:v>
                </c:pt>
                <c:pt idx="144">
                  <c:v>8.3333333333333297E-3</c:v>
                </c:pt>
                <c:pt idx="145">
                  <c:v>8.3912037037036993E-3</c:v>
                </c:pt>
                <c:pt idx="146">
                  <c:v>8.4490740740740707E-3</c:v>
                </c:pt>
                <c:pt idx="147">
                  <c:v>8.5069444444444402E-3</c:v>
                </c:pt>
                <c:pt idx="148">
                  <c:v>8.5648148148148098E-3</c:v>
                </c:pt>
                <c:pt idx="149">
                  <c:v>8.6226851851851794E-3</c:v>
                </c:pt>
                <c:pt idx="150">
                  <c:v>8.6805555555555507E-3</c:v>
                </c:pt>
                <c:pt idx="151">
                  <c:v>8.7384259259259307E-3</c:v>
                </c:pt>
                <c:pt idx="152">
                  <c:v>8.7962962962963003E-3</c:v>
                </c:pt>
                <c:pt idx="153">
                  <c:v>8.8541666666666699E-3</c:v>
                </c:pt>
                <c:pt idx="154">
                  <c:v>8.9120370370370395E-3</c:v>
                </c:pt>
                <c:pt idx="155">
                  <c:v>8.9699074074074108E-3</c:v>
                </c:pt>
                <c:pt idx="156">
                  <c:v>9.0277777777777804E-3</c:v>
                </c:pt>
                <c:pt idx="157">
                  <c:v>9.08564814814815E-3</c:v>
                </c:pt>
                <c:pt idx="158">
                  <c:v>9.1435185185185196E-3</c:v>
                </c:pt>
                <c:pt idx="159">
                  <c:v>9.2013888888888892E-3</c:v>
                </c:pt>
                <c:pt idx="160">
                  <c:v>9.2592592592592605E-3</c:v>
                </c:pt>
                <c:pt idx="161">
                  <c:v>9.3171296296296301E-3</c:v>
                </c:pt>
                <c:pt idx="162">
                  <c:v>9.3749999999999997E-3</c:v>
                </c:pt>
                <c:pt idx="163">
                  <c:v>9.4328703703703692E-3</c:v>
                </c:pt>
                <c:pt idx="164">
                  <c:v>9.4907407407407406E-3</c:v>
                </c:pt>
                <c:pt idx="165">
                  <c:v>9.5486111111111101E-3</c:v>
                </c:pt>
                <c:pt idx="166">
                  <c:v>9.6064814814814797E-3</c:v>
                </c:pt>
                <c:pt idx="167">
                  <c:v>9.6643518518518493E-3</c:v>
                </c:pt>
                <c:pt idx="168">
                  <c:v>9.7222222222222206E-3</c:v>
                </c:pt>
                <c:pt idx="169">
                  <c:v>9.7800925925925902E-3</c:v>
                </c:pt>
                <c:pt idx="170">
                  <c:v>9.8379629629629598E-3</c:v>
                </c:pt>
                <c:pt idx="171">
                  <c:v>9.8958333333333294E-3</c:v>
                </c:pt>
                <c:pt idx="172">
                  <c:v>9.9537037037037007E-3</c:v>
                </c:pt>
                <c:pt idx="173">
                  <c:v>1.00115740740741E-2</c:v>
                </c:pt>
                <c:pt idx="174">
                  <c:v>1.00694444444444E-2</c:v>
                </c:pt>
                <c:pt idx="175">
                  <c:v>1.0127314814814801E-2</c:v>
                </c:pt>
                <c:pt idx="176">
                  <c:v>1.01851851851852E-2</c:v>
                </c:pt>
                <c:pt idx="177">
                  <c:v>1.0243055555555601E-2</c:v>
                </c:pt>
                <c:pt idx="178">
                  <c:v>1.0300925925925899E-2</c:v>
                </c:pt>
                <c:pt idx="179">
                  <c:v>1.03587962962963E-2</c:v>
                </c:pt>
                <c:pt idx="180">
                  <c:v>1.0416666666666701E-2</c:v>
                </c:pt>
                <c:pt idx="181">
                  <c:v>1.0474537037036999E-2</c:v>
                </c:pt>
                <c:pt idx="182">
                  <c:v>1.05324074074074E-2</c:v>
                </c:pt>
                <c:pt idx="183">
                  <c:v>1.0590277777777799E-2</c:v>
                </c:pt>
                <c:pt idx="184">
                  <c:v>1.0648148148148099E-2</c:v>
                </c:pt>
                <c:pt idx="185">
                  <c:v>1.07060185185185E-2</c:v>
                </c:pt>
                <c:pt idx="186">
                  <c:v>1.0763888888888899E-2</c:v>
                </c:pt>
                <c:pt idx="187">
                  <c:v>1.08217592592593E-2</c:v>
                </c:pt>
                <c:pt idx="188">
                  <c:v>1.08796296296296E-2</c:v>
                </c:pt>
                <c:pt idx="189">
                  <c:v>1.0937499999999999E-2</c:v>
                </c:pt>
                <c:pt idx="190">
                  <c:v>1.09953703703704E-2</c:v>
                </c:pt>
                <c:pt idx="191">
                  <c:v>1.10532407407407E-2</c:v>
                </c:pt>
                <c:pt idx="192">
                  <c:v>1.1111111111111099E-2</c:v>
                </c:pt>
                <c:pt idx="193">
                  <c:v>1.11689814814815E-2</c:v>
                </c:pt>
                <c:pt idx="194">
                  <c:v>1.1226851851851899E-2</c:v>
                </c:pt>
                <c:pt idx="195">
                  <c:v>1.1284722222222199E-2</c:v>
                </c:pt>
                <c:pt idx="196">
                  <c:v>1.13425925925926E-2</c:v>
                </c:pt>
                <c:pt idx="197">
                  <c:v>1.1400462962962999E-2</c:v>
                </c:pt>
                <c:pt idx="198">
                  <c:v>1.14583333333333E-2</c:v>
                </c:pt>
                <c:pt idx="199">
                  <c:v>1.15162037037037E-2</c:v>
                </c:pt>
                <c:pt idx="200">
                  <c:v>1.1574074074074099E-2</c:v>
                </c:pt>
                <c:pt idx="201">
                  <c:v>1.16319444444444E-2</c:v>
                </c:pt>
                <c:pt idx="202">
                  <c:v>1.16898148148148E-2</c:v>
                </c:pt>
                <c:pt idx="203">
                  <c:v>1.17476851851852E-2</c:v>
                </c:pt>
                <c:pt idx="204">
                  <c:v>1.18055555555556E-2</c:v>
                </c:pt>
                <c:pt idx="205">
                  <c:v>1.1863425925925901E-2</c:v>
                </c:pt>
                <c:pt idx="206">
                  <c:v>1.19212962962963E-2</c:v>
                </c:pt>
                <c:pt idx="207">
                  <c:v>1.19791666666667E-2</c:v>
                </c:pt>
                <c:pt idx="208">
                  <c:v>1.2037037037037001E-2</c:v>
                </c:pt>
                <c:pt idx="209">
                  <c:v>1.20949074074074E-2</c:v>
                </c:pt>
                <c:pt idx="210">
                  <c:v>1.2152777777777801E-2</c:v>
                </c:pt>
                <c:pt idx="211">
                  <c:v>1.2210648148148101E-2</c:v>
                </c:pt>
                <c:pt idx="212">
                  <c:v>1.22685185185185E-2</c:v>
                </c:pt>
                <c:pt idx="213">
                  <c:v>1.2326388888888901E-2</c:v>
                </c:pt>
                <c:pt idx="214">
                  <c:v>1.23842592592593E-2</c:v>
                </c:pt>
                <c:pt idx="215">
                  <c:v>1.24421296296296E-2</c:v>
                </c:pt>
                <c:pt idx="216">
                  <c:v>1.2500000000000001E-2</c:v>
                </c:pt>
                <c:pt idx="217">
                  <c:v>1.25578703703704E-2</c:v>
                </c:pt>
                <c:pt idx="218">
                  <c:v>1.26157407407407E-2</c:v>
                </c:pt>
                <c:pt idx="219">
                  <c:v>1.2673611111111101E-2</c:v>
                </c:pt>
                <c:pt idx="220">
                  <c:v>1.27314814814815E-2</c:v>
                </c:pt>
                <c:pt idx="221">
                  <c:v>1.2789351851851901E-2</c:v>
                </c:pt>
                <c:pt idx="222">
                  <c:v>1.2847222222222201E-2</c:v>
                </c:pt>
                <c:pt idx="223">
                  <c:v>1.29050925925926E-2</c:v>
                </c:pt>
                <c:pt idx="224">
                  <c:v>1.2962962962963001E-2</c:v>
                </c:pt>
                <c:pt idx="225">
                  <c:v>1.3020833333333299E-2</c:v>
                </c:pt>
                <c:pt idx="226">
                  <c:v>1.30787037037037E-2</c:v>
                </c:pt>
                <c:pt idx="227">
                  <c:v>1.3136574074074101E-2</c:v>
                </c:pt>
                <c:pt idx="228">
                  <c:v>1.3194444444444399E-2</c:v>
                </c:pt>
                <c:pt idx="229">
                  <c:v>1.32523148148148E-2</c:v>
                </c:pt>
                <c:pt idx="230">
                  <c:v>1.3310185185185199E-2</c:v>
                </c:pt>
                <c:pt idx="231">
                  <c:v>1.33680555555556E-2</c:v>
                </c:pt>
                <c:pt idx="232">
                  <c:v>1.34259259259259E-2</c:v>
                </c:pt>
                <c:pt idx="233">
                  <c:v>1.3483796296296299E-2</c:v>
                </c:pt>
                <c:pt idx="234">
                  <c:v>1.35416666666667E-2</c:v>
                </c:pt>
                <c:pt idx="235">
                  <c:v>1.3599537037037E-2</c:v>
                </c:pt>
                <c:pt idx="236">
                  <c:v>1.3657407407407399E-2</c:v>
                </c:pt>
                <c:pt idx="237">
                  <c:v>1.37152777777778E-2</c:v>
                </c:pt>
                <c:pt idx="238">
                  <c:v>1.37731481481481E-2</c:v>
                </c:pt>
                <c:pt idx="239">
                  <c:v>1.3831018518518499E-2</c:v>
                </c:pt>
                <c:pt idx="240">
                  <c:v>1.38888888888889E-2</c:v>
                </c:pt>
                <c:pt idx="241">
                  <c:v>1.3946759259259299E-2</c:v>
                </c:pt>
                <c:pt idx="242">
                  <c:v>1.40046296296296E-2</c:v>
                </c:pt>
                <c:pt idx="243">
                  <c:v>1.40625E-2</c:v>
                </c:pt>
                <c:pt idx="244">
                  <c:v>1.4120370370370399E-2</c:v>
                </c:pt>
                <c:pt idx="245">
                  <c:v>1.41782407407407E-2</c:v>
                </c:pt>
                <c:pt idx="246">
                  <c:v>1.42361111111111E-2</c:v>
                </c:pt>
                <c:pt idx="247">
                  <c:v>1.42939814814815E-2</c:v>
                </c:pt>
                <c:pt idx="248">
                  <c:v>1.43518518518519E-2</c:v>
                </c:pt>
                <c:pt idx="249">
                  <c:v>1.4409722222222201E-2</c:v>
                </c:pt>
                <c:pt idx="250">
                  <c:v>1.44675925925926E-2</c:v>
                </c:pt>
                <c:pt idx="251">
                  <c:v>1.4525462962963E-2</c:v>
                </c:pt>
                <c:pt idx="252">
                  <c:v>1.4583333333333301E-2</c:v>
                </c:pt>
                <c:pt idx="253">
                  <c:v>1.46412037037037E-2</c:v>
                </c:pt>
                <c:pt idx="254">
                  <c:v>1.46990740740741E-2</c:v>
                </c:pt>
                <c:pt idx="255">
                  <c:v>1.4756944444444401E-2</c:v>
                </c:pt>
                <c:pt idx="256">
                  <c:v>1.48148148148148E-2</c:v>
                </c:pt>
                <c:pt idx="257">
                  <c:v>1.4872685185185201E-2</c:v>
                </c:pt>
                <c:pt idx="258">
                  <c:v>1.49305555555556E-2</c:v>
                </c:pt>
                <c:pt idx="259">
                  <c:v>1.49884259259259E-2</c:v>
                </c:pt>
                <c:pt idx="260">
                  <c:v>1.5046296296296301E-2</c:v>
                </c:pt>
                <c:pt idx="261">
                  <c:v>1.51041666666667E-2</c:v>
                </c:pt>
                <c:pt idx="262">
                  <c:v>1.5162037037037E-2</c:v>
                </c:pt>
                <c:pt idx="263">
                  <c:v>1.5219907407407401E-2</c:v>
                </c:pt>
                <c:pt idx="264">
                  <c:v>1.52777777777778E-2</c:v>
                </c:pt>
                <c:pt idx="265">
                  <c:v>1.53356481481481E-2</c:v>
                </c:pt>
                <c:pt idx="266">
                  <c:v>1.5393518518518501E-2</c:v>
                </c:pt>
                <c:pt idx="267">
                  <c:v>1.54513888888889E-2</c:v>
                </c:pt>
                <c:pt idx="268">
                  <c:v>1.5509259259259301E-2</c:v>
                </c:pt>
                <c:pt idx="269">
                  <c:v>1.5567129629629599E-2</c:v>
                </c:pt>
                <c:pt idx="270">
                  <c:v>1.5625E-2</c:v>
                </c:pt>
                <c:pt idx="271">
                  <c:v>1.5682870370370399E-2</c:v>
                </c:pt>
                <c:pt idx="272">
                  <c:v>1.5740740740740701E-2</c:v>
                </c:pt>
                <c:pt idx="273">
                  <c:v>1.57986111111111E-2</c:v>
                </c:pt>
                <c:pt idx="274">
                  <c:v>1.5856481481481499E-2</c:v>
                </c:pt>
                <c:pt idx="275">
                  <c:v>1.5914351851851801E-2</c:v>
                </c:pt>
                <c:pt idx="276">
                  <c:v>1.59722222222222E-2</c:v>
                </c:pt>
                <c:pt idx="277">
                  <c:v>1.6030092592592599E-2</c:v>
                </c:pt>
                <c:pt idx="278">
                  <c:v>1.6087962962962998E-2</c:v>
                </c:pt>
                <c:pt idx="279">
                  <c:v>1.61458333333333E-2</c:v>
                </c:pt>
                <c:pt idx="280">
                  <c:v>1.6203703703703699E-2</c:v>
                </c:pt>
                <c:pt idx="281">
                  <c:v>1.6261574074074098E-2</c:v>
                </c:pt>
                <c:pt idx="282">
                  <c:v>1.63194444444444E-2</c:v>
                </c:pt>
                <c:pt idx="283">
                  <c:v>1.6377314814814799E-2</c:v>
                </c:pt>
                <c:pt idx="284">
                  <c:v>1.6435185185185198E-2</c:v>
                </c:pt>
                <c:pt idx="285">
                  <c:v>1.6493055555555601E-2</c:v>
                </c:pt>
                <c:pt idx="286">
                  <c:v>1.65509259259259E-2</c:v>
                </c:pt>
                <c:pt idx="287">
                  <c:v>1.6608796296296299E-2</c:v>
                </c:pt>
                <c:pt idx="288">
                  <c:v>1.6666666666666701E-2</c:v>
                </c:pt>
                <c:pt idx="289">
                  <c:v>1.6724537037037E-2</c:v>
                </c:pt>
                <c:pt idx="290">
                  <c:v>1.6782407407407399E-2</c:v>
                </c:pt>
                <c:pt idx="291">
                  <c:v>1.6840277777777801E-2</c:v>
                </c:pt>
                <c:pt idx="292">
                  <c:v>1.68981481481481E-2</c:v>
                </c:pt>
                <c:pt idx="293">
                  <c:v>1.6956018518518499E-2</c:v>
                </c:pt>
                <c:pt idx="294">
                  <c:v>1.7013888888888901E-2</c:v>
                </c:pt>
                <c:pt idx="295">
                  <c:v>1.70717592592593E-2</c:v>
                </c:pt>
                <c:pt idx="296">
                  <c:v>1.7129629629629599E-2</c:v>
                </c:pt>
                <c:pt idx="297">
                  <c:v>1.7187500000000001E-2</c:v>
                </c:pt>
                <c:pt idx="298">
                  <c:v>1.72453703703704E-2</c:v>
                </c:pt>
                <c:pt idx="299">
                  <c:v>1.7303240740740699E-2</c:v>
                </c:pt>
                <c:pt idx="300">
                  <c:v>1.7361111111111101E-2</c:v>
                </c:pt>
                <c:pt idx="301">
                  <c:v>1.7418981481481501E-2</c:v>
                </c:pt>
                <c:pt idx="302">
                  <c:v>1.74768518518519E-2</c:v>
                </c:pt>
                <c:pt idx="303">
                  <c:v>1.7534722222222202E-2</c:v>
                </c:pt>
                <c:pt idx="304">
                  <c:v>1.7592592592592601E-2</c:v>
                </c:pt>
                <c:pt idx="305">
                  <c:v>1.7650462962963E-2</c:v>
                </c:pt>
                <c:pt idx="306">
                  <c:v>1.7708333333333302E-2</c:v>
                </c:pt>
                <c:pt idx="307">
                  <c:v>1.7766203703703701E-2</c:v>
                </c:pt>
                <c:pt idx="308">
                  <c:v>1.78240740740741E-2</c:v>
                </c:pt>
                <c:pt idx="309">
                  <c:v>1.7881944444444402E-2</c:v>
                </c:pt>
                <c:pt idx="310">
                  <c:v>1.7939814814814801E-2</c:v>
                </c:pt>
                <c:pt idx="311">
                  <c:v>1.79976851851852E-2</c:v>
                </c:pt>
                <c:pt idx="312">
                  <c:v>1.8055555555555599E-2</c:v>
                </c:pt>
                <c:pt idx="313">
                  <c:v>1.8113425925925901E-2</c:v>
                </c:pt>
                <c:pt idx="314">
                  <c:v>1.81712962962963E-2</c:v>
                </c:pt>
                <c:pt idx="315">
                  <c:v>1.8229166666666699E-2</c:v>
                </c:pt>
                <c:pt idx="316">
                  <c:v>1.8287037037037001E-2</c:v>
                </c:pt>
                <c:pt idx="317">
                  <c:v>1.83449074074074E-2</c:v>
                </c:pt>
                <c:pt idx="318">
                  <c:v>1.8402777777777799E-2</c:v>
                </c:pt>
                <c:pt idx="319">
                  <c:v>1.8460648148148101E-2</c:v>
                </c:pt>
                <c:pt idx="320">
                  <c:v>1.85185185185185E-2</c:v>
                </c:pt>
                <c:pt idx="321">
                  <c:v>1.8576388888888899E-2</c:v>
                </c:pt>
                <c:pt idx="322">
                  <c:v>1.8634259259259298E-2</c:v>
                </c:pt>
                <c:pt idx="323">
                  <c:v>1.86921296296296E-2</c:v>
                </c:pt>
                <c:pt idx="324">
                  <c:v>1.8749999999999999E-2</c:v>
                </c:pt>
                <c:pt idx="325">
                  <c:v>1.8807870370370398E-2</c:v>
                </c:pt>
                <c:pt idx="326">
                  <c:v>1.88657407407407E-2</c:v>
                </c:pt>
                <c:pt idx="327">
                  <c:v>1.8923611111111099E-2</c:v>
                </c:pt>
                <c:pt idx="328">
                  <c:v>1.8981481481481498E-2</c:v>
                </c:pt>
                <c:pt idx="329">
                  <c:v>1.90393518518518E-2</c:v>
                </c:pt>
                <c:pt idx="330">
                  <c:v>1.9097222222222199E-2</c:v>
                </c:pt>
                <c:pt idx="331">
                  <c:v>1.9155092592592599E-2</c:v>
                </c:pt>
                <c:pt idx="332">
                  <c:v>1.9212962962963001E-2</c:v>
                </c:pt>
                <c:pt idx="333">
                  <c:v>1.92708333333333E-2</c:v>
                </c:pt>
                <c:pt idx="334">
                  <c:v>1.9328703703703699E-2</c:v>
                </c:pt>
                <c:pt idx="335">
                  <c:v>1.9386574074074101E-2</c:v>
                </c:pt>
                <c:pt idx="336">
                  <c:v>1.94444444444444E-2</c:v>
                </c:pt>
                <c:pt idx="337">
                  <c:v>1.9502314814814799E-2</c:v>
                </c:pt>
                <c:pt idx="338">
                  <c:v>1.9560185185185201E-2</c:v>
                </c:pt>
                <c:pt idx="339">
                  <c:v>1.96180555555556E-2</c:v>
                </c:pt>
                <c:pt idx="340">
                  <c:v>1.9675925925925899E-2</c:v>
                </c:pt>
                <c:pt idx="341">
                  <c:v>1.9733796296296301E-2</c:v>
                </c:pt>
                <c:pt idx="342">
                  <c:v>1.97916666666667E-2</c:v>
                </c:pt>
                <c:pt idx="343">
                  <c:v>1.9849537037036999E-2</c:v>
                </c:pt>
                <c:pt idx="344">
                  <c:v>1.9907407407407401E-2</c:v>
                </c:pt>
                <c:pt idx="345">
                  <c:v>1.9965277777777801E-2</c:v>
                </c:pt>
                <c:pt idx="346">
                  <c:v>2.0023148148148099E-2</c:v>
                </c:pt>
                <c:pt idx="347">
                  <c:v>2.0081018518518502E-2</c:v>
                </c:pt>
                <c:pt idx="348">
                  <c:v>2.0138888888888901E-2</c:v>
                </c:pt>
                <c:pt idx="349">
                  <c:v>2.01967592592593E-2</c:v>
                </c:pt>
                <c:pt idx="350">
                  <c:v>2.0254629629629602E-2</c:v>
                </c:pt>
                <c:pt idx="351">
                  <c:v>2.0312500000000001E-2</c:v>
                </c:pt>
                <c:pt idx="352">
                  <c:v>2.03703703703704E-2</c:v>
                </c:pt>
                <c:pt idx="353">
                  <c:v>2.0428240740740702E-2</c:v>
                </c:pt>
                <c:pt idx="354">
                  <c:v>2.0486111111111101E-2</c:v>
                </c:pt>
                <c:pt idx="355">
                  <c:v>2.05439814814815E-2</c:v>
                </c:pt>
                <c:pt idx="356">
                  <c:v>2.0601851851851899E-2</c:v>
                </c:pt>
                <c:pt idx="357">
                  <c:v>2.0659722222222201E-2</c:v>
                </c:pt>
                <c:pt idx="358">
                  <c:v>2.07175925925926E-2</c:v>
                </c:pt>
                <c:pt idx="359">
                  <c:v>2.0775462962962999E-2</c:v>
                </c:pt>
                <c:pt idx="360">
                  <c:v>2.0833333333333301E-2</c:v>
                </c:pt>
                <c:pt idx="361">
                  <c:v>2.08912037037037E-2</c:v>
                </c:pt>
                <c:pt idx="362">
                  <c:v>2.0949074074074099E-2</c:v>
                </c:pt>
                <c:pt idx="363">
                  <c:v>2.1006944444444401E-2</c:v>
                </c:pt>
                <c:pt idx="364">
                  <c:v>2.10648148148148E-2</c:v>
                </c:pt>
                <c:pt idx="365">
                  <c:v>2.1122685185185199E-2</c:v>
                </c:pt>
                <c:pt idx="366">
                  <c:v>2.1180555555555598E-2</c:v>
                </c:pt>
                <c:pt idx="367">
                  <c:v>2.12384259259259E-2</c:v>
                </c:pt>
                <c:pt idx="368">
                  <c:v>2.1296296296296299E-2</c:v>
                </c:pt>
                <c:pt idx="369">
                  <c:v>2.1354166666666698E-2</c:v>
                </c:pt>
                <c:pt idx="370">
                  <c:v>2.1412037037037E-2</c:v>
                </c:pt>
                <c:pt idx="371">
                  <c:v>2.1469907407407399E-2</c:v>
                </c:pt>
                <c:pt idx="372">
                  <c:v>2.1527777777777798E-2</c:v>
                </c:pt>
                <c:pt idx="373">
                  <c:v>2.15856481481481E-2</c:v>
                </c:pt>
                <c:pt idx="374">
                  <c:v>2.1643518518518499E-2</c:v>
                </c:pt>
                <c:pt idx="375">
                  <c:v>2.1701388888888899E-2</c:v>
                </c:pt>
                <c:pt idx="376">
                  <c:v>2.1759259259259301E-2</c:v>
                </c:pt>
                <c:pt idx="377">
                  <c:v>2.18171296296296E-2</c:v>
                </c:pt>
                <c:pt idx="378">
                  <c:v>2.1874999999999999E-2</c:v>
                </c:pt>
                <c:pt idx="379">
                  <c:v>2.1932870370370401E-2</c:v>
                </c:pt>
                <c:pt idx="380">
                  <c:v>2.19907407407407E-2</c:v>
                </c:pt>
                <c:pt idx="381">
                  <c:v>2.2048611111111099E-2</c:v>
                </c:pt>
                <c:pt idx="382">
                  <c:v>2.2106481481481501E-2</c:v>
                </c:pt>
                <c:pt idx="383">
                  <c:v>2.21643518518519E-2</c:v>
                </c:pt>
                <c:pt idx="384">
                  <c:v>2.2222222222222199E-2</c:v>
                </c:pt>
                <c:pt idx="385">
                  <c:v>2.2280092592592601E-2</c:v>
                </c:pt>
                <c:pt idx="386">
                  <c:v>2.2337962962963E-2</c:v>
                </c:pt>
                <c:pt idx="387">
                  <c:v>2.2395833333333299E-2</c:v>
                </c:pt>
                <c:pt idx="388">
                  <c:v>2.2453703703703701E-2</c:v>
                </c:pt>
                <c:pt idx="389">
                  <c:v>2.25115740740741E-2</c:v>
                </c:pt>
                <c:pt idx="390">
                  <c:v>2.2569444444444399E-2</c:v>
                </c:pt>
                <c:pt idx="391">
                  <c:v>2.2627314814814802E-2</c:v>
                </c:pt>
                <c:pt idx="392">
                  <c:v>2.2685185185185201E-2</c:v>
                </c:pt>
                <c:pt idx="393">
                  <c:v>2.27430555555556E-2</c:v>
                </c:pt>
                <c:pt idx="394">
                  <c:v>2.2800925925925902E-2</c:v>
                </c:pt>
                <c:pt idx="395">
                  <c:v>2.2858796296296301E-2</c:v>
                </c:pt>
                <c:pt idx="396">
                  <c:v>2.29166666666667E-2</c:v>
                </c:pt>
                <c:pt idx="397">
                  <c:v>2.2974537037037002E-2</c:v>
                </c:pt>
                <c:pt idx="398">
                  <c:v>2.3032407407407401E-2</c:v>
                </c:pt>
                <c:pt idx="399">
                  <c:v>2.30902777777778E-2</c:v>
                </c:pt>
                <c:pt idx="400">
                  <c:v>2.3148148148148098E-2</c:v>
                </c:pt>
                <c:pt idx="401">
                  <c:v>2.3206018518518501E-2</c:v>
                </c:pt>
                <c:pt idx="402">
                  <c:v>2.32638888888889E-2</c:v>
                </c:pt>
                <c:pt idx="403">
                  <c:v>2.3321759259259299E-2</c:v>
                </c:pt>
                <c:pt idx="404">
                  <c:v>2.3379629629629601E-2</c:v>
                </c:pt>
                <c:pt idx="405">
                  <c:v>2.34375E-2</c:v>
                </c:pt>
                <c:pt idx="406">
                  <c:v>2.3495370370370399E-2</c:v>
                </c:pt>
                <c:pt idx="407">
                  <c:v>2.3553240740740701E-2</c:v>
                </c:pt>
                <c:pt idx="408">
                  <c:v>2.36111111111111E-2</c:v>
                </c:pt>
                <c:pt idx="409">
                  <c:v>2.3668981481481499E-2</c:v>
                </c:pt>
                <c:pt idx="410">
                  <c:v>2.3726851851851801E-2</c:v>
                </c:pt>
                <c:pt idx="411">
                  <c:v>2.37847222222222E-2</c:v>
                </c:pt>
                <c:pt idx="412">
                  <c:v>2.3842592592592599E-2</c:v>
                </c:pt>
                <c:pt idx="413">
                  <c:v>2.3900462962962998E-2</c:v>
                </c:pt>
                <c:pt idx="414">
                  <c:v>2.39583333333333E-2</c:v>
                </c:pt>
                <c:pt idx="415">
                  <c:v>2.4016203703703699E-2</c:v>
                </c:pt>
                <c:pt idx="416">
                  <c:v>2.4074074074074098E-2</c:v>
                </c:pt>
                <c:pt idx="417">
                  <c:v>2.41319444444444E-2</c:v>
                </c:pt>
                <c:pt idx="418">
                  <c:v>2.4189814814814799E-2</c:v>
                </c:pt>
                <c:pt idx="419">
                  <c:v>2.4247685185185198E-2</c:v>
                </c:pt>
                <c:pt idx="420">
                  <c:v>2.4305555555555601E-2</c:v>
                </c:pt>
                <c:pt idx="421">
                  <c:v>2.43634259259259E-2</c:v>
                </c:pt>
                <c:pt idx="422">
                  <c:v>2.4421296296296299E-2</c:v>
                </c:pt>
                <c:pt idx="423">
                  <c:v>2.4479166666666701E-2</c:v>
                </c:pt>
                <c:pt idx="424">
                  <c:v>2.4537037037037E-2</c:v>
                </c:pt>
                <c:pt idx="425">
                  <c:v>2.4594907407407399E-2</c:v>
                </c:pt>
                <c:pt idx="426">
                  <c:v>2.4652777777777801E-2</c:v>
                </c:pt>
                <c:pt idx="427">
                  <c:v>2.47106481481481E-2</c:v>
                </c:pt>
                <c:pt idx="428">
                  <c:v>2.4768518518518499E-2</c:v>
                </c:pt>
                <c:pt idx="429">
                  <c:v>2.4826388888888901E-2</c:v>
                </c:pt>
                <c:pt idx="430">
                  <c:v>2.48842592592593E-2</c:v>
                </c:pt>
                <c:pt idx="431">
                  <c:v>2.4942129629629599E-2</c:v>
                </c:pt>
                <c:pt idx="432">
                  <c:v>2.5000000000000001E-2</c:v>
                </c:pt>
                <c:pt idx="433">
                  <c:v>2.50578703703704E-2</c:v>
                </c:pt>
                <c:pt idx="434">
                  <c:v>2.5115740740740699E-2</c:v>
                </c:pt>
                <c:pt idx="435">
                  <c:v>2.5173611111111101E-2</c:v>
                </c:pt>
                <c:pt idx="436">
                  <c:v>2.5231481481481501E-2</c:v>
                </c:pt>
                <c:pt idx="437">
                  <c:v>2.52893518518519E-2</c:v>
                </c:pt>
                <c:pt idx="438">
                  <c:v>2.5347222222222202E-2</c:v>
                </c:pt>
                <c:pt idx="439">
                  <c:v>2.5405092592592601E-2</c:v>
                </c:pt>
                <c:pt idx="440">
                  <c:v>2.5462962962963E-2</c:v>
                </c:pt>
                <c:pt idx="441">
                  <c:v>2.5520833333333302E-2</c:v>
                </c:pt>
                <c:pt idx="442">
                  <c:v>2.5578703703703701E-2</c:v>
                </c:pt>
                <c:pt idx="443">
                  <c:v>2.56365740740741E-2</c:v>
                </c:pt>
                <c:pt idx="444">
                  <c:v>2.5694444444444402E-2</c:v>
                </c:pt>
                <c:pt idx="445">
                  <c:v>2.5752314814814801E-2</c:v>
                </c:pt>
                <c:pt idx="446">
                  <c:v>2.58101851851852E-2</c:v>
                </c:pt>
                <c:pt idx="447">
                  <c:v>2.5868055555555599E-2</c:v>
                </c:pt>
                <c:pt idx="448">
                  <c:v>2.5925925925925901E-2</c:v>
                </c:pt>
                <c:pt idx="449">
                  <c:v>2.59837962962963E-2</c:v>
                </c:pt>
                <c:pt idx="450">
                  <c:v>2.6041666666666699E-2</c:v>
                </c:pt>
                <c:pt idx="451">
                  <c:v>2.6099537037037001E-2</c:v>
                </c:pt>
                <c:pt idx="452">
                  <c:v>2.61574074074074E-2</c:v>
                </c:pt>
                <c:pt idx="453">
                  <c:v>2.6215277777777799E-2</c:v>
                </c:pt>
                <c:pt idx="454">
                  <c:v>2.6273148148148101E-2</c:v>
                </c:pt>
                <c:pt idx="455">
                  <c:v>2.63310185185185E-2</c:v>
                </c:pt>
                <c:pt idx="456">
                  <c:v>2.6388888888888899E-2</c:v>
                </c:pt>
                <c:pt idx="457">
                  <c:v>2.6446759259259298E-2</c:v>
                </c:pt>
                <c:pt idx="458">
                  <c:v>2.65046296296296E-2</c:v>
                </c:pt>
                <c:pt idx="459">
                  <c:v>2.6562499999999999E-2</c:v>
                </c:pt>
                <c:pt idx="460">
                  <c:v>2.6620370370370398E-2</c:v>
                </c:pt>
                <c:pt idx="461">
                  <c:v>2.66782407407407E-2</c:v>
                </c:pt>
                <c:pt idx="462">
                  <c:v>2.6736111111111099E-2</c:v>
                </c:pt>
                <c:pt idx="463">
                  <c:v>2.6793981481481498E-2</c:v>
                </c:pt>
                <c:pt idx="464">
                  <c:v>2.68518518518518E-2</c:v>
                </c:pt>
                <c:pt idx="465">
                  <c:v>2.6909722222222199E-2</c:v>
                </c:pt>
                <c:pt idx="466">
                  <c:v>2.6967592592592599E-2</c:v>
                </c:pt>
                <c:pt idx="467">
                  <c:v>2.7025462962963001E-2</c:v>
                </c:pt>
                <c:pt idx="468">
                  <c:v>2.70833333333333E-2</c:v>
                </c:pt>
                <c:pt idx="469">
                  <c:v>2.7141203703703699E-2</c:v>
                </c:pt>
                <c:pt idx="470">
                  <c:v>2.7199074074074101E-2</c:v>
                </c:pt>
                <c:pt idx="471">
                  <c:v>2.72569444444444E-2</c:v>
                </c:pt>
                <c:pt idx="472">
                  <c:v>2.7314814814814799E-2</c:v>
                </c:pt>
                <c:pt idx="473">
                  <c:v>2.7372685185185201E-2</c:v>
                </c:pt>
                <c:pt idx="474">
                  <c:v>2.74305555555556E-2</c:v>
                </c:pt>
                <c:pt idx="475">
                  <c:v>2.7488425925925899E-2</c:v>
                </c:pt>
                <c:pt idx="476">
                  <c:v>2.7546296296296301E-2</c:v>
                </c:pt>
                <c:pt idx="477">
                  <c:v>2.76041666666667E-2</c:v>
                </c:pt>
                <c:pt idx="478">
                  <c:v>2.7662037037036999E-2</c:v>
                </c:pt>
                <c:pt idx="479">
                  <c:v>2.7719907407407401E-2</c:v>
                </c:pt>
                <c:pt idx="480">
                  <c:v>2.7777777777777801E-2</c:v>
                </c:pt>
                <c:pt idx="481">
                  <c:v>2.7835648148148099E-2</c:v>
                </c:pt>
                <c:pt idx="482">
                  <c:v>2.7893518518518502E-2</c:v>
                </c:pt>
                <c:pt idx="483">
                  <c:v>2.7951388888888901E-2</c:v>
                </c:pt>
                <c:pt idx="484">
                  <c:v>2.80092592592593E-2</c:v>
                </c:pt>
                <c:pt idx="485">
                  <c:v>2.8067129629629602E-2</c:v>
                </c:pt>
                <c:pt idx="486">
                  <c:v>2.8125000000000001E-2</c:v>
                </c:pt>
                <c:pt idx="487">
                  <c:v>2.81828703703704E-2</c:v>
                </c:pt>
                <c:pt idx="488">
                  <c:v>2.8240740740740702E-2</c:v>
                </c:pt>
                <c:pt idx="489">
                  <c:v>2.8298611111111101E-2</c:v>
                </c:pt>
                <c:pt idx="490">
                  <c:v>2.83564814814815E-2</c:v>
                </c:pt>
                <c:pt idx="491">
                  <c:v>2.8414351851851899E-2</c:v>
                </c:pt>
                <c:pt idx="492">
                  <c:v>2.8472222222222201E-2</c:v>
                </c:pt>
                <c:pt idx="493">
                  <c:v>2.85300925925926E-2</c:v>
                </c:pt>
                <c:pt idx="494">
                  <c:v>2.8587962962962999E-2</c:v>
                </c:pt>
                <c:pt idx="495">
                  <c:v>2.8645833333333301E-2</c:v>
                </c:pt>
                <c:pt idx="496">
                  <c:v>2.87037037037037E-2</c:v>
                </c:pt>
                <c:pt idx="497">
                  <c:v>2.8761574074074099E-2</c:v>
                </c:pt>
                <c:pt idx="498">
                  <c:v>2.8819444444444401E-2</c:v>
                </c:pt>
                <c:pt idx="499">
                  <c:v>2.88773148148148E-2</c:v>
                </c:pt>
                <c:pt idx="500">
                  <c:v>2.8935185185185199E-2</c:v>
                </c:pt>
                <c:pt idx="501">
                  <c:v>2.8993055555555598E-2</c:v>
                </c:pt>
                <c:pt idx="502">
                  <c:v>2.90509259259259E-2</c:v>
                </c:pt>
                <c:pt idx="503">
                  <c:v>2.9108796296296299E-2</c:v>
                </c:pt>
                <c:pt idx="504">
                  <c:v>2.9166666666666698E-2</c:v>
                </c:pt>
                <c:pt idx="505">
                  <c:v>2.9224537037037E-2</c:v>
                </c:pt>
                <c:pt idx="506">
                  <c:v>2.9282407407407399E-2</c:v>
                </c:pt>
                <c:pt idx="507">
                  <c:v>2.9340277777777798E-2</c:v>
                </c:pt>
                <c:pt idx="508">
                  <c:v>2.93981481481481E-2</c:v>
                </c:pt>
                <c:pt idx="509">
                  <c:v>2.9456018518518499E-2</c:v>
                </c:pt>
                <c:pt idx="510">
                  <c:v>2.9513888888888899E-2</c:v>
                </c:pt>
                <c:pt idx="511">
                  <c:v>2.9571759259259301E-2</c:v>
                </c:pt>
                <c:pt idx="512">
                  <c:v>2.96296296296296E-2</c:v>
                </c:pt>
                <c:pt idx="513">
                  <c:v>2.9687499999999999E-2</c:v>
                </c:pt>
                <c:pt idx="514">
                  <c:v>2.9745370370370401E-2</c:v>
                </c:pt>
                <c:pt idx="515">
                  <c:v>2.98032407407407E-2</c:v>
                </c:pt>
                <c:pt idx="516">
                  <c:v>2.9861111111111099E-2</c:v>
                </c:pt>
                <c:pt idx="517">
                  <c:v>2.9918981481481501E-2</c:v>
                </c:pt>
                <c:pt idx="518">
                  <c:v>2.99768518518518E-2</c:v>
                </c:pt>
                <c:pt idx="519">
                  <c:v>3.0034722222222199E-2</c:v>
                </c:pt>
                <c:pt idx="520">
                  <c:v>3.0092592592592601E-2</c:v>
                </c:pt>
                <c:pt idx="521">
                  <c:v>3.0150462962963E-2</c:v>
                </c:pt>
                <c:pt idx="522">
                  <c:v>3.0208333333333299E-2</c:v>
                </c:pt>
                <c:pt idx="523">
                  <c:v>3.0266203703703701E-2</c:v>
                </c:pt>
                <c:pt idx="524">
                  <c:v>3.03240740740741E-2</c:v>
                </c:pt>
                <c:pt idx="525">
                  <c:v>3.0381944444444399E-2</c:v>
                </c:pt>
                <c:pt idx="526">
                  <c:v>3.0439814814814802E-2</c:v>
                </c:pt>
                <c:pt idx="527">
                  <c:v>3.0497685185185201E-2</c:v>
                </c:pt>
                <c:pt idx="528">
                  <c:v>3.05555555555556E-2</c:v>
                </c:pt>
                <c:pt idx="529">
                  <c:v>3.0613425925925902E-2</c:v>
                </c:pt>
                <c:pt idx="530">
                  <c:v>3.0671296296296301E-2</c:v>
                </c:pt>
                <c:pt idx="531">
                  <c:v>3.07291666666667E-2</c:v>
                </c:pt>
                <c:pt idx="532">
                  <c:v>3.0787037037037002E-2</c:v>
                </c:pt>
                <c:pt idx="533">
                  <c:v>3.0844907407407401E-2</c:v>
                </c:pt>
                <c:pt idx="534">
                  <c:v>3.09027777777778E-2</c:v>
                </c:pt>
                <c:pt idx="535">
                  <c:v>3.0960648148148098E-2</c:v>
                </c:pt>
                <c:pt idx="536">
                  <c:v>3.1018518518518501E-2</c:v>
                </c:pt>
                <c:pt idx="537">
                  <c:v>3.10763888888889E-2</c:v>
                </c:pt>
                <c:pt idx="538">
                  <c:v>3.1134259259259299E-2</c:v>
                </c:pt>
                <c:pt idx="539">
                  <c:v>3.1192129629629601E-2</c:v>
                </c:pt>
                <c:pt idx="540">
                  <c:v>3.125E-2</c:v>
                </c:pt>
                <c:pt idx="541">
                  <c:v>3.1307870370370403E-2</c:v>
                </c:pt>
                <c:pt idx="542">
                  <c:v>3.1365740740740701E-2</c:v>
                </c:pt>
                <c:pt idx="543">
                  <c:v>3.1423611111111097E-2</c:v>
                </c:pt>
                <c:pt idx="544">
                  <c:v>3.1481481481481499E-2</c:v>
                </c:pt>
                <c:pt idx="545">
                  <c:v>3.1539351851851798E-2</c:v>
                </c:pt>
                <c:pt idx="546">
                  <c:v>3.15972222222222E-2</c:v>
                </c:pt>
                <c:pt idx="547">
                  <c:v>3.1655092592592603E-2</c:v>
                </c:pt>
                <c:pt idx="548">
                  <c:v>3.1712962962962998E-2</c:v>
                </c:pt>
                <c:pt idx="549">
                  <c:v>3.1770833333333297E-2</c:v>
                </c:pt>
                <c:pt idx="550">
                  <c:v>3.1828703703703699E-2</c:v>
                </c:pt>
                <c:pt idx="551">
                  <c:v>3.1886574074074102E-2</c:v>
                </c:pt>
                <c:pt idx="552">
                  <c:v>3.19444444444444E-2</c:v>
                </c:pt>
                <c:pt idx="553">
                  <c:v>3.2002314814814803E-2</c:v>
                </c:pt>
                <c:pt idx="554">
                  <c:v>3.2060185185185198E-2</c:v>
                </c:pt>
                <c:pt idx="555">
                  <c:v>3.2118055555555601E-2</c:v>
                </c:pt>
                <c:pt idx="556">
                  <c:v>3.21759259259259E-2</c:v>
                </c:pt>
                <c:pt idx="557">
                  <c:v>3.2233796296296302E-2</c:v>
                </c:pt>
                <c:pt idx="558">
                  <c:v>3.2291666666666698E-2</c:v>
                </c:pt>
                <c:pt idx="559">
                  <c:v>3.2349537037037003E-2</c:v>
                </c:pt>
                <c:pt idx="560">
                  <c:v>3.2407407407407399E-2</c:v>
                </c:pt>
                <c:pt idx="561">
                  <c:v>3.2465277777777801E-2</c:v>
                </c:pt>
                <c:pt idx="562">
                  <c:v>3.25231481481481E-2</c:v>
                </c:pt>
                <c:pt idx="563">
                  <c:v>3.2581018518518502E-2</c:v>
                </c:pt>
                <c:pt idx="564">
                  <c:v>3.2638888888888898E-2</c:v>
                </c:pt>
                <c:pt idx="565">
                  <c:v>3.26967592592593E-2</c:v>
                </c:pt>
                <c:pt idx="566">
                  <c:v>3.2754629629629599E-2</c:v>
                </c:pt>
                <c:pt idx="567">
                  <c:v>3.2812500000000001E-2</c:v>
                </c:pt>
                <c:pt idx="568">
                  <c:v>3.2870370370370397E-2</c:v>
                </c:pt>
                <c:pt idx="569">
                  <c:v>3.2928240740740702E-2</c:v>
                </c:pt>
                <c:pt idx="570">
                  <c:v>3.2986111111111098E-2</c:v>
                </c:pt>
                <c:pt idx="571">
                  <c:v>3.3043981481481501E-2</c:v>
                </c:pt>
                <c:pt idx="572">
                  <c:v>3.3101851851851799E-2</c:v>
                </c:pt>
                <c:pt idx="573">
                  <c:v>3.3159722222222202E-2</c:v>
                </c:pt>
                <c:pt idx="574">
                  <c:v>3.3217592592592597E-2</c:v>
                </c:pt>
                <c:pt idx="575">
                  <c:v>3.3275462962963E-2</c:v>
                </c:pt>
                <c:pt idx="576">
                  <c:v>3.3333333333333298E-2</c:v>
                </c:pt>
                <c:pt idx="577">
                  <c:v>3.3391203703703701E-2</c:v>
                </c:pt>
                <c:pt idx="578">
                  <c:v>3.3449074074074103E-2</c:v>
                </c:pt>
                <c:pt idx="579">
                  <c:v>3.3506944444444402E-2</c:v>
                </c:pt>
                <c:pt idx="580">
                  <c:v>3.3564814814814797E-2</c:v>
                </c:pt>
                <c:pt idx="581">
                  <c:v>3.36226851851852E-2</c:v>
                </c:pt>
                <c:pt idx="582">
                  <c:v>3.3680555555555602E-2</c:v>
                </c:pt>
                <c:pt idx="583">
                  <c:v>3.3738425925925901E-2</c:v>
                </c:pt>
                <c:pt idx="584">
                  <c:v>3.3796296296296303E-2</c:v>
                </c:pt>
                <c:pt idx="585">
                  <c:v>3.3854166666666699E-2</c:v>
                </c:pt>
                <c:pt idx="586">
                  <c:v>3.3912037037036998E-2</c:v>
                </c:pt>
                <c:pt idx="587">
                  <c:v>3.39699074074074E-2</c:v>
                </c:pt>
                <c:pt idx="588">
                  <c:v>3.4027777777777803E-2</c:v>
                </c:pt>
                <c:pt idx="589">
                  <c:v>3.4085648148148101E-2</c:v>
                </c:pt>
                <c:pt idx="590">
                  <c:v>3.4143518518518497E-2</c:v>
                </c:pt>
                <c:pt idx="591">
                  <c:v>3.4201388888888899E-2</c:v>
                </c:pt>
                <c:pt idx="592">
                  <c:v>3.4259259259259302E-2</c:v>
                </c:pt>
                <c:pt idx="593">
                  <c:v>3.43171296296296E-2</c:v>
                </c:pt>
                <c:pt idx="594">
                  <c:v>3.4375000000000003E-2</c:v>
                </c:pt>
                <c:pt idx="595">
                  <c:v>3.4432870370370398E-2</c:v>
                </c:pt>
                <c:pt idx="596">
                  <c:v>3.4490740740740697E-2</c:v>
                </c:pt>
                <c:pt idx="597">
                  <c:v>3.4548611111111099E-2</c:v>
                </c:pt>
                <c:pt idx="598">
                  <c:v>3.4606481481481502E-2</c:v>
                </c:pt>
                <c:pt idx="599">
                  <c:v>3.46643518518518E-2</c:v>
                </c:pt>
                <c:pt idx="600">
                  <c:v>3.4722222222222203E-2</c:v>
                </c:pt>
                <c:pt idx="601">
                  <c:v>3.4780092592592599E-2</c:v>
                </c:pt>
                <c:pt idx="602">
                  <c:v>3.4837962962963001E-2</c:v>
                </c:pt>
                <c:pt idx="603">
                  <c:v>3.48958333333333E-2</c:v>
                </c:pt>
                <c:pt idx="604">
                  <c:v>3.4953703703703702E-2</c:v>
                </c:pt>
                <c:pt idx="605">
                  <c:v>3.5011574074074098E-2</c:v>
                </c:pt>
                <c:pt idx="606">
                  <c:v>3.5069444444444403E-2</c:v>
                </c:pt>
                <c:pt idx="607">
                  <c:v>3.5127314814814799E-2</c:v>
                </c:pt>
                <c:pt idx="608">
                  <c:v>3.5185185185185201E-2</c:v>
                </c:pt>
                <c:pt idx="609">
                  <c:v>3.5243055555555597E-2</c:v>
                </c:pt>
                <c:pt idx="610">
                  <c:v>3.5300925925925902E-2</c:v>
                </c:pt>
                <c:pt idx="611">
                  <c:v>3.5358796296296298E-2</c:v>
                </c:pt>
                <c:pt idx="612">
                  <c:v>3.54166666666667E-2</c:v>
                </c:pt>
                <c:pt idx="613">
                  <c:v>3.5474537037036999E-2</c:v>
                </c:pt>
                <c:pt idx="614">
                  <c:v>3.5532407407407401E-2</c:v>
                </c:pt>
                <c:pt idx="615">
                  <c:v>3.5590277777777797E-2</c:v>
                </c:pt>
                <c:pt idx="616">
                  <c:v>3.5648148148148102E-2</c:v>
                </c:pt>
                <c:pt idx="617">
                  <c:v>3.5706018518518498E-2</c:v>
                </c:pt>
                <c:pt idx="618">
                  <c:v>3.5763888888888901E-2</c:v>
                </c:pt>
                <c:pt idx="619">
                  <c:v>3.5821759259259303E-2</c:v>
                </c:pt>
                <c:pt idx="620">
                  <c:v>3.5879629629629602E-2</c:v>
                </c:pt>
                <c:pt idx="621">
                  <c:v>3.5937499999999997E-2</c:v>
                </c:pt>
                <c:pt idx="622">
                  <c:v>3.59953703703704E-2</c:v>
                </c:pt>
                <c:pt idx="623">
                  <c:v>3.6053240740740698E-2</c:v>
                </c:pt>
                <c:pt idx="624">
                  <c:v>3.6111111111111101E-2</c:v>
                </c:pt>
                <c:pt idx="625">
                  <c:v>3.6168981481481503E-2</c:v>
                </c:pt>
                <c:pt idx="626">
                  <c:v>3.6226851851851899E-2</c:v>
                </c:pt>
                <c:pt idx="627">
                  <c:v>3.6284722222222197E-2</c:v>
                </c:pt>
                <c:pt idx="628">
                  <c:v>3.63425925925926E-2</c:v>
                </c:pt>
                <c:pt idx="629">
                  <c:v>3.6400462962963002E-2</c:v>
                </c:pt>
                <c:pt idx="630">
                  <c:v>3.6458333333333301E-2</c:v>
                </c:pt>
                <c:pt idx="631">
                  <c:v>3.6516203703703697E-2</c:v>
                </c:pt>
                <c:pt idx="632">
                  <c:v>3.6574074074074099E-2</c:v>
                </c:pt>
                <c:pt idx="633">
                  <c:v>3.6631944444444398E-2</c:v>
                </c:pt>
                <c:pt idx="634">
                  <c:v>3.66898148148148E-2</c:v>
                </c:pt>
                <c:pt idx="635">
                  <c:v>3.6747685185185203E-2</c:v>
                </c:pt>
                <c:pt idx="636">
                  <c:v>3.6805555555555501E-2</c:v>
                </c:pt>
                <c:pt idx="637">
                  <c:v>3.6863425925925897E-2</c:v>
                </c:pt>
                <c:pt idx="638">
                  <c:v>3.6921296296296299E-2</c:v>
                </c:pt>
                <c:pt idx="639">
                  <c:v>3.6979166666666702E-2</c:v>
                </c:pt>
                <c:pt idx="640">
                  <c:v>3.7037037037037E-2</c:v>
                </c:pt>
                <c:pt idx="641">
                  <c:v>3.7094907407407403E-2</c:v>
                </c:pt>
                <c:pt idx="642">
                  <c:v>3.7152777777777798E-2</c:v>
                </c:pt>
                <c:pt idx="643">
                  <c:v>3.7210648148148097E-2</c:v>
                </c:pt>
                <c:pt idx="644">
                  <c:v>3.7268518518518499E-2</c:v>
                </c:pt>
                <c:pt idx="645">
                  <c:v>3.7326388888888902E-2</c:v>
                </c:pt>
                <c:pt idx="646">
                  <c:v>3.7384259259259298E-2</c:v>
                </c:pt>
                <c:pt idx="647">
                  <c:v>3.7442129629629603E-2</c:v>
                </c:pt>
                <c:pt idx="648">
                  <c:v>3.7499999999999999E-2</c:v>
                </c:pt>
                <c:pt idx="649">
                  <c:v>3.7557870370370401E-2</c:v>
                </c:pt>
                <c:pt idx="650">
                  <c:v>3.76157407407407E-2</c:v>
                </c:pt>
                <c:pt idx="651">
                  <c:v>3.7673611111111102E-2</c:v>
                </c:pt>
                <c:pt idx="652">
                  <c:v>3.7731481481481498E-2</c:v>
                </c:pt>
                <c:pt idx="653">
                  <c:v>3.77893518518519E-2</c:v>
                </c:pt>
                <c:pt idx="654">
                  <c:v>3.7847222222222199E-2</c:v>
                </c:pt>
                <c:pt idx="655">
                  <c:v>3.7905092592592601E-2</c:v>
                </c:pt>
                <c:pt idx="656">
                  <c:v>3.7962962962962997E-2</c:v>
                </c:pt>
                <c:pt idx="657">
                  <c:v>3.8020833333333302E-2</c:v>
                </c:pt>
                <c:pt idx="658">
                  <c:v>3.8078703703703698E-2</c:v>
                </c:pt>
                <c:pt idx="659">
                  <c:v>3.81365740740741E-2</c:v>
                </c:pt>
                <c:pt idx="660">
                  <c:v>3.8194444444444399E-2</c:v>
                </c:pt>
                <c:pt idx="661">
                  <c:v>3.8252314814814802E-2</c:v>
                </c:pt>
                <c:pt idx="662">
                  <c:v>3.8310185185185197E-2</c:v>
                </c:pt>
                <c:pt idx="663">
                  <c:v>3.83680555555556E-2</c:v>
                </c:pt>
                <c:pt idx="664">
                  <c:v>3.8425925925925898E-2</c:v>
                </c:pt>
                <c:pt idx="665">
                  <c:v>3.8483796296296301E-2</c:v>
                </c:pt>
                <c:pt idx="666">
                  <c:v>3.8541666666666703E-2</c:v>
                </c:pt>
                <c:pt idx="667">
                  <c:v>3.8599537037037002E-2</c:v>
                </c:pt>
                <c:pt idx="668">
                  <c:v>3.8657407407407397E-2</c:v>
                </c:pt>
                <c:pt idx="669">
                  <c:v>3.87152777777778E-2</c:v>
                </c:pt>
                <c:pt idx="670">
                  <c:v>3.8773148148148098E-2</c:v>
                </c:pt>
                <c:pt idx="671">
                  <c:v>3.8831018518518501E-2</c:v>
                </c:pt>
                <c:pt idx="672">
                  <c:v>3.8888888888888903E-2</c:v>
                </c:pt>
                <c:pt idx="673">
                  <c:v>3.8946759259259299E-2</c:v>
                </c:pt>
                <c:pt idx="674">
                  <c:v>3.9004629629629597E-2</c:v>
                </c:pt>
                <c:pt idx="675">
                  <c:v>3.90625E-2</c:v>
                </c:pt>
                <c:pt idx="676">
                  <c:v>3.9120370370370403E-2</c:v>
                </c:pt>
                <c:pt idx="677">
                  <c:v>3.9178240740740701E-2</c:v>
                </c:pt>
                <c:pt idx="678">
                  <c:v>3.9236111111111097E-2</c:v>
                </c:pt>
                <c:pt idx="679">
                  <c:v>3.9293981481481499E-2</c:v>
                </c:pt>
                <c:pt idx="680">
                  <c:v>3.9351851851851798E-2</c:v>
                </c:pt>
                <c:pt idx="681">
                  <c:v>3.94097222222222E-2</c:v>
                </c:pt>
                <c:pt idx="682">
                  <c:v>3.9467592592592603E-2</c:v>
                </c:pt>
                <c:pt idx="683">
                  <c:v>3.9525462962962998E-2</c:v>
                </c:pt>
                <c:pt idx="684">
                  <c:v>3.9583333333333297E-2</c:v>
                </c:pt>
                <c:pt idx="685">
                  <c:v>3.9641203703703699E-2</c:v>
                </c:pt>
                <c:pt idx="686">
                  <c:v>3.9699074074074102E-2</c:v>
                </c:pt>
                <c:pt idx="687">
                  <c:v>3.97569444444444E-2</c:v>
                </c:pt>
                <c:pt idx="688">
                  <c:v>3.9814814814814803E-2</c:v>
                </c:pt>
                <c:pt idx="689">
                  <c:v>3.9872685185185198E-2</c:v>
                </c:pt>
                <c:pt idx="690">
                  <c:v>3.9930555555555601E-2</c:v>
                </c:pt>
                <c:pt idx="691">
                  <c:v>3.99884259259259E-2</c:v>
                </c:pt>
                <c:pt idx="692">
                  <c:v>4.0046296296296302E-2</c:v>
                </c:pt>
                <c:pt idx="693">
                  <c:v>4.0104166666666698E-2</c:v>
                </c:pt>
                <c:pt idx="694">
                  <c:v>4.0162037037037003E-2</c:v>
                </c:pt>
                <c:pt idx="695">
                  <c:v>4.0219907407407399E-2</c:v>
                </c:pt>
                <c:pt idx="696">
                  <c:v>4.0277777777777801E-2</c:v>
                </c:pt>
                <c:pt idx="697">
                  <c:v>4.03356481481481E-2</c:v>
                </c:pt>
                <c:pt idx="698">
                  <c:v>4.0393518518518502E-2</c:v>
                </c:pt>
                <c:pt idx="699">
                  <c:v>4.0451388888888898E-2</c:v>
                </c:pt>
                <c:pt idx="700">
                  <c:v>4.05092592592593E-2</c:v>
                </c:pt>
                <c:pt idx="701">
                  <c:v>4.0567129629629599E-2</c:v>
                </c:pt>
                <c:pt idx="702">
                  <c:v>4.0625000000000001E-2</c:v>
                </c:pt>
                <c:pt idx="703">
                  <c:v>4.0682870370370397E-2</c:v>
                </c:pt>
                <c:pt idx="704">
                  <c:v>4.0740740740740702E-2</c:v>
                </c:pt>
                <c:pt idx="705">
                  <c:v>4.0798611111111098E-2</c:v>
                </c:pt>
                <c:pt idx="706">
                  <c:v>4.0856481481481501E-2</c:v>
                </c:pt>
                <c:pt idx="707">
                  <c:v>4.0914351851851799E-2</c:v>
                </c:pt>
                <c:pt idx="708">
                  <c:v>4.0972222222222202E-2</c:v>
                </c:pt>
                <c:pt idx="709">
                  <c:v>4.1030092592592597E-2</c:v>
                </c:pt>
                <c:pt idx="710">
                  <c:v>4.1087962962963E-2</c:v>
                </c:pt>
                <c:pt idx="711">
                  <c:v>4.1145833333333298E-2</c:v>
                </c:pt>
                <c:pt idx="712">
                  <c:v>4.1203703703703701E-2</c:v>
                </c:pt>
                <c:pt idx="713">
                  <c:v>4.1261574074074103E-2</c:v>
                </c:pt>
                <c:pt idx="714">
                  <c:v>4.1319444444444402E-2</c:v>
                </c:pt>
                <c:pt idx="715">
                  <c:v>4.1377314814814797E-2</c:v>
                </c:pt>
                <c:pt idx="716">
                  <c:v>4.14351851851852E-2</c:v>
                </c:pt>
                <c:pt idx="717">
                  <c:v>4.1493055555555602E-2</c:v>
                </c:pt>
                <c:pt idx="718">
                  <c:v>4.1550925925925901E-2</c:v>
                </c:pt>
                <c:pt idx="719">
                  <c:v>4.1608796296296303E-2</c:v>
                </c:pt>
                <c:pt idx="720">
                  <c:v>4.1666666666666699E-2</c:v>
                </c:pt>
                <c:pt idx="721">
                  <c:v>4.1724537037037102E-2</c:v>
                </c:pt>
                <c:pt idx="722">
                  <c:v>4.1782407407407497E-2</c:v>
                </c:pt>
                <c:pt idx="723">
                  <c:v>4.18402777777779E-2</c:v>
                </c:pt>
                <c:pt idx="724">
                  <c:v>4.1898148148148302E-2</c:v>
                </c:pt>
              </c:numCache>
            </c:numRef>
          </c:xVal>
          <c:yVal>
            <c:numRef>
              <c:f>Hartslagen!$C$3750:$C$4474</c:f>
              <c:numCache>
                <c:formatCode>General</c:formatCode>
                <c:ptCount val="725"/>
                <c:pt idx="0">
                  <c:v>94</c:v>
                </c:pt>
                <c:pt idx="1">
                  <c:v>94</c:v>
                </c:pt>
                <c:pt idx="2">
                  <c:v>94</c:v>
                </c:pt>
                <c:pt idx="3">
                  <c:v>108</c:v>
                </c:pt>
                <c:pt idx="4">
                  <c:v>109</c:v>
                </c:pt>
                <c:pt idx="5">
                  <c:v>114</c:v>
                </c:pt>
                <c:pt idx="6">
                  <c:v>117</c:v>
                </c:pt>
                <c:pt idx="7">
                  <c:v>118</c:v>
                </c:pt>
                <c:pt idx="8">
                  <c:v>118</c:v>
                </c:pt>
                <c:pt idx="9">
                  <c:v>117</c:v>
                </c:pt>
                <c:pt idx="10">
                  <c:v>118</c:v>
                </c:pt>
                <c:pt idx="11">
                  <c:v>118</c:v>
                </c:pt>
                <c:pt idx="12">
                  <c:v>119</c:v>
                </c:pt>
                <c:pt idx="13">
                  <c:v>119</c:v>
                </c:pt>
                <c:pt idx="14">
                  <c:v>117</c:v>
                </c:pt>
                <c:pt idx="15">
                  <c:v>118</c:v>
                </c:pt>
                <c:pt idx="16">
                  <c:v>116</c:v>
                </c:pt>
                <c:pt idx="17">
                  <c:v>116</c:v>
                </c:pt>
                <c:pt idx="18">
                  <c:v>119</c:v>
                </c:pt>
                <c:pt idx="19">
                  <c:v>119</c:v>
                </c:pt>
                <c:pt idx="20">
                  <c:v>119</c:v>
                </c:pt>
                <c:pt idx="21">
                  <c:v>117</c:v>
                </c:pt>
                <c:pt idx="22">
                  <c:v>115</c:v>
                </c:pt>
                <c:pt idx="23">
                  <c:v>115</c:v>
                </c:pt>
                <c:pt idx="24">
                  <c:v>118</c:v>
                </c:pt>
                <c:pt idx="25">
                  <c:v>121</c:v>
                </c:pt>
                <c:pt idx="26">
                  <c:v>120</c:v>
                </c:pt>
                <c:pt idx="27">
                  <c:v>117</c:v>
                </c:pt>
                <c:pt idx="28">
                  <c:v>119</c:v>
                </c:pt>
                <c:pt idx="29">
                  <c:v>118</c:v>
                </c:pt>
                <c:pt idx="30">
                  <c:v>117</c:v>
                </c:pt>
                <c:pt idx="31">
                  <c:v>114</c:v>
                </c:pt>
                <c:pt idx="32">
                  <c:v>117</c:v>
                </c:pt>
                <c:pt idx="33">
                  <c:v>117</c:v>
                </c:pt>
                <c:pt idx="34">
                  <c:v>116</c:v>
                </c:pt>
                <c:pt idx="35">
                  <c:v>113</c:v>
                </c:pt>
                <c:pt idx="36">
                  <c:v>112</c:v>
                </c:pt>
                <c:pt idx="37">
                  <c:v>114</c:v>
                </c:pt>
                <c:pt idx="38">
                  <c:v>116</c:v>
                </c:pt>
                <c:pt idx="39">
                  <c:v>118</c:v>
                </c:pt>
                <c:pt idx="40">
                  <c:v>118</c:v>
                </c:pt>
                <c:pt idx="41">
                  <c:v>118</c:v>
                </c:pt>
                <c:pt idx="42">
                  <c:v>119</c:v>
                </c:pt>
                <c:pt idx="43">
                  <c:v>121</c:v>
                </c:pt>
                <c:pt idx="44">
                  <c:v>119</c:v>
                </c:pt>
                <c:pt idx="45">
                  <c:v>116</c:v>
                </c:pt>
                <c:pt idx="46">
                  <c:v>117</c:v>
                </c:pt>
                <c:pt idx="47">
                  <c:v>117</c:v>
                </c:pt>
                <c:pt idx="48">
                  <c:v>116</c:v>
                </c:pt>
                <c:pt idx="49">
                  <c:v>116</c:v>
                </c:pt>
                <c:pt idx="50">
                  <c:v>120</c:v>
                </c:pt>
                <c:pt idx="51">
                  <c:v>119</c:v>
                </c:pt>
                <c:pt idx="52">
                  <c:v>118</c:v>
                </c:pt>
                <c:pt idx="53">
                  <c:v>118</c:v>
                </c:pt>
                <c:pt idx="54">
                  <c:v>119</c:v>
                </c:pt>
                <c:pt idx="55">
                  <c:v>122</c:v>
                </c:pt>
                <c:pt idx="56">
                  <c:v>121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119</c:v>
                </c:pt>
                <c:pt idx="63">
                  <c:v>119</c:v>
                </c:pt>
                <c:pt idx="64">
                  <c:v>118</c:v>
                </c:pt>
                <c:pt idx="65">
                  <c:v>116</c:v>
                </c:pt>
                <c:pt idx="66">
                  <c:v>118</c:v>
                </c:pt>
                <c:pt idx="67">
                  <c:v>118</c:v>
                </c:pt>
                <c:pt idx="68">
                  <c:v>117</c:v>
                </c:pt>
                <c:pt idx="69">
                  <c:v>117</c:v>
                </c:pt>
                <c:pt idx="70">
                  <c:v>118</c:v>
                </c:pt>
                <c:pt idx="71">
                  <c:v>116</c:v>
                </c:pt>
                <c:pt idx="72">
                  <c:v>116</c:v>
                </c:pt>
                <c:pt idx="73">
                  <c:v>115</c:v>
                </c:pt>
                <c:pt idx="74">
                  <c:v>117</c:v>
                </c:pt>
                <c:pt idx="75">
                  <c:v>115</c:v>
                </c:pt>
                <c:pt idx="76">
                  <c:v>114</c:v>
                </c:pt>
                <c:pt idx="77">
                  <c:v>116</c:v>
                </c:pt>
                <c:pt idx="78">
                  <c:v>119</c:v>
                </c:pt>
                <c:pt idx="79">
                  <c:v>120</c:v>
                </c:pt>
                <c:pt idx="80">
                  <c:v>119</c:v>
                </c:pt>
                <c:pt idx="81">
                  <c:v>117</c:v>
                </c:pt>
                <c:pt idx="82">
                  <c:v>116</c:v>
                </c:pt>
                <c:pt idx="83">
                  <c:v>114</c:v>
                </c:pt>
                <c:pt idx="84">
                  <c:v>102</c:v>
                </c:pt>
                <c:pt idx="85">
                  <c:v>92</c:v>
                </c:pt>
                <c:pt idx="86">
                  <c:v>90</c:v>
                </c:pt>
                <c:pt idx="87">
                  <c:v>88</c:v>
                </c:pt>
                <c:pt idx="88">
                  <c:v>88</c:v>
                </c:pt>
                <c:pt idx="89">
                  <c:v>82</c:v>
                </c:pt>
                <c:pt idx="90">
                  <c:v>79</c:v>
                </c:pt>
                <c:pt idx="91">
                  <c:v>75</c:v>
                </c:pt>
                <c:pt idx="92">
                  <c:v>75</c:v>
                </c:pt>
                <c:pt idx="93">
                  <c:v>75</c:v>
                </c:pt>
                <c:pt idx="94">
                  <c:v>109</c:v>
                </c:pt>
                <c:pt idx="95">
                  <c:v>110</c:v>
                </c:pt>
                <c:pt idx="96">
                  <c:v>141</c:v>
                </c:pt>
                <c:pt idx="97">
                  <c:v>119</c:v>
                </c:pt>
                <c:pt idx="98">
                  <c:v>119</c:v>
                </c:pt>
                <c:pt idx="99">
                  <c:v>116</c:v>
                </c:pt>
                <c:pt idx="100">
                  <c:v>116</c:v>
                </c:pt>
                <c:pt idx="101">
                  <c:v>115</c:v>
                </c:pt>
                <c:pt idx="102">
                  <c:v>114</c:v>
                </c:pt>
                <c:pt idx="103">
                  <c:v>112</c:v>
                </c:pt>
                <c:pt idx="104">
                  <c:v>114</c:v>
                </c:pt>
                <c:pt idx="105">
                  <c:v>116</c:v>
                </c:pt>
                <c:pt idx="106">
                  <c:v>118</c:v>
                </c:pt>
                <c:pt idx="107">
                  <c:v>118</c:v>
                </c:pt>
                <c:pt idx="108">
                  <c:v>121</c:v>
                </c:pt>
                <c:pt idx="109">
                  <c:v>121</c:v>
                </c:pt>
                <c:pt idx="110">
                  <c:v>121</c:v>
                </c:pt>
                <c:pt idx="111">
                  <c:v>121</c:v>
                </c:pt>
                <c:pt idx="112">
                  <c:v>123</c:v>
                </c:pt>
                <c:pt idx="113">
                  <c:v>123</c:v>
                </c:pt>
                <c:pt idx="114">
                  <c:v>122</c:v>
                </c:pt>
                <c:pt idx="115">
                  <c:v>122</c:v>
                </c:pt>
                <c:pt idx="116">
                  <c:v>127</c:v>
                </c:pt>
                <c:pt idx="117">
                  <c:v>127</c:v>
                </c:pt>
                <c:pt idx="118">
                  <c:v>126</c:v>
                </c:pt>
                <c:pt idx="119">
                  <c:v>126</c:v>
                </c:pt>
                <c:pt idx="120">
                  <c:v>127</c:v>
                </c:pt>
                <c:pt idx="121">
                  <c:v>125</c:v>
                </c:pt>
                <c:pt idx="122">
                  <c:v>126</c:v>
                </c:pt>
                <c:pt idx="123">
                  <c:v>126</c:v>
                </c:pt>
                <c:pt idx="124">
                  <c:v>124</c:v>
                </c:pt>
                <c:pt idx="125">
                  <c:v>123</c:v>
                </c:pt>
                <c:pt idx="126">
                  <c:v>121</c:v>
                </c:pt>
                <c:pt idx="127">
                  <c:v>120</c:v>
                </c:pt>
                <c:pt idx="128">
                  <c:v>120</c:v>
                </c:pt>
                <c:pt idx="129">
                  <c:v>117</c:v>
                </c:pt>
                <c:pt idx="130">
                  <c:v>119</c:v>
                </c:pt>
                <c:pt idx="131">
                  <c:v>119</c:v>
                </c:pt>
                <c:pt idx="132">
                  <c:v>118</c:v>
                </c:pt>
                <c:pt idx="133">
                  <c:v>114</c:v>
                </c:pt>
                <c:pt idx="134">
                  <c:v>119</c:v>
                </c:pt>
                <c:pt idx="135">
                  <c:v>119</c:v>
                </c:pt>
                <c:pt idx="136">
                  <c:v>119</c:v>
                </c:pt>
                <c:pt idx="137">
                  <c:v>118</c:v>
                </c:pt>
                <c:pt idx="138">
                  <c:v>120</c:v>
                </c:pt>
                <c:pt idx="139">
                  <c:v>121</c:v>
                </c:pt>
                <c:pt idx="140">
                  <c:v>121</c:v>
                </c:pt>
                <c:pt idx="141">
                  <c:v>121</c:v>
                </c:pt>
                <c:pt idx="142">
                  <c:v>123</c:v>
                </c:pt>
                <c:pt idx="143">
                  <c:v>124</c:v>
                </c:pt>
                <c:pt idx="144">
                  <c:v>124</c:v>
                </c:pt>
                <c:pt idx="145">
                  <c:v>123</c:v>
                </c:pt>
                <c:pt idx="146">
                  <c:v>123</c:v>
                </c:pt>
                <c:pt idx="147">
                  <c:v>123</c:v>
                </c:pt>
                <c:pt idx="148">
                  <c:v>123</c:v>
                </c:pt>
                <c:pt idx="149">
                  <c:v>119</c:v>
                </c:pt>
                <c:pt idx="150">
                  <c:v>120</c:v>
                </c:pt>
                <c:pt idx="151">
                  <c:v>121</c:v>
                </c:pt>
                <c:pt idx="152">
                  <c:v>123</c:v>
                </c:pt>
                <c:pt idx="153">
                  <c:v>123</c:v>
                </c:pt>
                <c:pt idx="154">
                  <c:v>122</c:v>
                </c:pt>
                <c:pt idx="155">
                  <c:v>124</c:v>
                </c:pt>
                <c:pt idx="156">
                  <c:v>125</c:v>
                </c:pt>
                <c:pt idx="157">
                  <c:v>125</c:v>
                </c:pt>
                <c:pt idx="158">
                  <c:v>126</c:v>
                </c:pt>
                <c:pt idx="159">
                  <c:v>124</c:v>
                </c:pt>
                <c:pt idx="160">
                  <c:v>124</c:v>
                </c:pt>
                <c:pt idx="161">
                  <c:v>121</c:v>
                </c:pt>
                <c:pt idx="162">
                  <c:v>121</c:v>
                </c:pt>
                <c:pt idx="163">
                  <c:v>121</c:v>
                </c:pt>
                <c:pt idx="164">
                  <c:v>122</c:v>
                </c:pt>
                <c:pt idx="165">
                  <c:v>121</c:v>
                </c:pt>
                <c:pt idx="166">
                  <c:v>120</c:v>
                </c:pt>
                <c:pt idx="167">
                  <c:v>119</c:v>
                </c:pt>
                <c:pt idx="168">
                  <c:v>117</c:v>
                </c:pt>
                <c:pt idx="169">
                  <c:v>110</c:v>
                </c:pt>
                <c:pt idx="170">
                  <c:v>103</c:v>
                </c:pt>
                <c:pt idx="171">
                  <c:v>104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90</c:v>
                </c:pt>
                <c:pt idx="176">
                  <c:v>83</c:v>
                </c:pt>
                <c:pt idx="177">
                  <c:v>84</c:v>
                </c:pt>
                <c:pt idx="178">
                  <c:v>82</c:v>
                </c:pt>
                <c:pt idx="179">
                  <c:v>100</c:v>
                </c:pt>
                <c:pt idx="180">
                  <c:v>101</c:v>
                </c:pt>
                <c:pt idx="181">
                  <c:v>101</c:v>
                </c:pt>
                <c:pt idx="182">
                  <c:v>110</c:v>
                </c:pt>
                <c:pt idx="183">
                  <c:v>109</c:v>
                </c:pt>
                <c:pt idx="184">
                  <c:v>93</c:v>
                </c:pt>
                <c:pt idx="185">
                  <c:v>100</c:v>
                </c:pt>
                <c:pt idx="186">
                  <c:v>101</c:v>
                </c:pt>
                <c:pt idx="187">
                  <c:v>100</c:v>
                </c:pt>
                <c:pt idx="188">
                  <c:v>99</c:v>
                </c:pt>
                <c:pt idx="189">
                  <c:v>98</c:v>
                </c:pt>
                <c:pt idx="190">
                  <c:v>97</c:v>
                </c:pt>
                <c:pt idx="191">
                  <c:v>99</c:v>
                </c:pt>
                <c:pt idx="192">
                  <c:v>96</c:v>
                </c:pt>
                <c:pt idx="193">
                  <c:v>94</c:v>
                </c:pt>
                <c:pt idx="194">
                  <c:v>94</c:v>
                </c:pt>
                <c:pt idx="195">
                  <c:v>94</c:v>
                </c:pt>
                <c:pt idx="196">
                  <c:v>80</c:v>
                </c:pt>
                <c:pt idx="197">
                  <c:v>79</c:v>
                </c:pt>
                <c:pt idx="198">
                  <c:v>78</c:v>
                </c:pt>
                <c:pt idx="199">
                  <c:v>75</c:v>
                </c:pt>
                <c:pt idx="200">
                  <c:v>75</c:v>
                </c:pt>
                <c:pt idx="201">
                  <c:v>84</c:v>
                </c:pt>
                <c:pt idx="202">
                  <c:v>96</c:v>
                </c:pt>
                <c:pt idx="203">
                  <c:v>101</c:v>
                </c:pt>
                <c:pt idx="204">
                  <c:v>103</c:v>
                </c:pt>
                <c:pt idx="205">
                  <c:v>105</c:v>
                </c:pt>
                <c:pt idx="206">
                  <c:v>105</c:v>
                </c:pt>
                <c:pt idx="207">
                  <c:v>115</c:v>
                </c:pt>
                <c:pt idx="208">
                  <c:v>117</c:v>
                </c:pt>
                <c:pt idx="209">
                  <c:v>117</c:v>
                </c:pt>
                <c:pt idx="210">
                  <c:v>120</c:v>
                </c:pt>
                <c:pt idx="211">
                  <c:v>121</c:v>
                </c:pt>
                <c:pt idx="212">
                  <c:v>120</c:v>
                </c:pt>
                <c:pt idx="213">
                  <c:v>120</c:v>
                </c:pt>
                <c:pt idx="214">
                  <c:v>121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120</c:v>
                </c:pt>
                <c:pt idx="219">
                  <c:v>121</c:v>
                </c:pt>
                <c:pt idx="220">
                  <c:v>120</c:v>
                </c:pt>
                <c:pt idx="221">
                  <c:v>122</c:v>
                </c:pt>
                <c:pt idx="222">
                  <c:v>126</c:v>
                </c:pt>
                <c:pt idx="223">
                  <c:v>127</c:v>
                </c:pt>
                <c:pt idx="224">
                  <c:v>126</c:v>
                </c:pt>
                <c:pt idx="225">
                  <c:v>128</c:v>
                </c:pt>
                <c:pt idx="226">
                  <c:v>127</c:v>
                </c:pt>
                <c:pt idx="227">
                  <c:v>127</c:v>
                </c:pt>
                <c:pt idx="228">
                  <c:v>127</c:v>
                </c:pt>
                <c:pt idx="229">
                  <c:v>125</c:v>
                </c:pt>
                <c:pt idx="230">
                  <c:v>124</c:v>
                </c:pt>
                <c:pt idx="231">
                  <c:v>125</c:v>
                </c:pt>
                <c:pt idx="232">
                  <c:v>122</c:v>
                </c:pt>
                <c:pt idx="233">
                  <c:v>123</c:v>
                </c:pt>
                <c:pt idx="234">
                  <c:v>123</c:v>
                </c:pt>
                <c:pt idx="235">
                  <c:v>124</c:v>
                </c:pt>
                <c:pt idx="236">
                  <c:v>124</c:v>
                </c:pt>
                <c:pt idx="237">
                  <c:v>125</c:v>
                </c:pt>
                <c:pt idx="238">
                  <c:v>125</c:v>
                </c:pt>
                <c:pt idx="239">
                  <c:v>123</c:v>
                </c:pt>
                <c:pt idx="240">
                  <c:v>123</c:v>
                </c:pt>
                <c:pt idx="241">
                  <c:v>122</c:v>
                </c:pt>
                <c:pt idx="242">
                  <c:v>122</c:v>
                </c:pt>
                <c:pt idx="243">
                  <c:v>121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122</c:v>
                </c:pt>
                <c:pt idx="248">
                  <c:v>119</c:v>
                </c:pt>
                <c:pt idx="249">
                  <c:v>117</c:v>
                </c:pt>
                <c:pt idx="250">
                  <c:v>107</c:v>
                </c:pt>
                <c:pt idx="251">
                  <c:v>98</c:v>
                </c:pt>
                <c:pt idx="252">
                  <c:v>85</c:v>
                </c:pt>
                <c:pt idx="253">
                  <c:v>80</c:v>
                </c:pt>
                <c:pt idx="254">
                  <c:v>80</c:v>
                </c:pt>
                <c:pt idx="255">
                  <c:v>82</c:v>
                </c:pt>
                <c:pt idx="256">
                  <c:v>82</c:v>
                </c:pt>
                <c:pt idx="257">
                  <c:v>81</c:v>
                </c:pt>
                <c:pt idx="258">
                  <c:v>83</c:v>
                </c:pt>
                <c:pt idx="259">
                  <c:v>83</c:v>
                </c:pt>
                <c:pt idx="260">
                  <c:v>103</c:v>
                </c:pt>
                <c:pt idx="261">
                  <c:v>109</c:v>
                </c:pt>
                <c:pt idx="262">
                  <c:v>109</c:v>
                </c:pt>
                <c:pt idx="263">
                  <c:v>115</c:v>
                </c:pt>
                <c:pt idx="264">
                  <c:v>117</c:v>
                </c:pt>
                <c:pt idx="265">
                  <c:v>123</c:v>
                </c:pt>
                <c:pt idx="266">
                  <c:v>124</c:v>
                </c:pt>
                <c:pt idx="267">
                  <c:v>123</c:v>
                </c:pt>
                <c:pt idx="268">
                  <c:v>123</c:v>
                </c:pt>
                <c:pt idx="269">
                  <c:v>125</c:v>
                </c:pt>
                <c:pt idx="270">
                  <c:v>125</c:v>
                </c:pt>
                <c:pt idx="271">
                  <c:v>128</c:v>
                </c:pt>
                <c:pt idx="272">
                  <c:v>128</c:v>
                </c:pt>
                <c:pt idx="273">
                  <c:v>128</c:v>
                </c:pt>
                <c:pt idx="274">
                  <c:v>128</c:v>
                </c:pt>
                <c:pt idx="275">
                  <c:v>128</c:v>
                </c:pt>
                <c:pt idx="276">
                  <c:v>128</c:v>
                </c:pt>
                <c:pt idx="277">
                  <c:v>127</c:v>
                </c:pt>
                <c:pt idx="278">
                  <c:v>128</c:v>
                </c:pt>
                <c:pt idx="279">
                  <c:v>130</c:v>
                </c:pt>
                <c:pt idx="280">
                  <c:v>131</c:v>
                </c:pt>
                <c:pt idx="281">
                  <c:v>131</c:v>
                </c:pt>
                <c:pt idx="282">
                  <c:v>129</c:v>
                </c:pt>
                <c:pt idx="283">
                  <c:v>129</c:v>
                </c:pt>
                <c:pt idx="284">
                  <c:v>128</c:v>
                </c:pt>
                <c:pt idx="285">
                  <c:v>129</c:v>
                </c:pt>
                <c:pt idx="286">
                  <c:v>129</c:v>
                </c:pt>
                <c:pt idx="287">
                  <c:v>131</c:v>
                </c:pt>
                <c:pt idx="288">
                  <c:v>132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130</c:v>
                </c:pt>
                <c:pt idx="293">
                  <c:v>130</c:v>
                </c:pt>
                <c:pt idx="294">
                  <c:v>130</c:v>
                </c:pt>
                <c:pt idx="295">
                  <c:v>129</c:v>
                </c:pt>
                <c:pt idx="296">
                  <c:v>129</c:v>
                </c:pt>
                <c:pt idx="297">
                  <c:v>128</c:v>
                </c:pt>
                <c:pt idx="298">
                  <c:v>130</c:v>
                </c:pt>
                <c:pt idx="299">
                  <c:v>131</c:v>
                </c:pt>
                <c:pt idx="300">
                  <c:v>131</c:v>
                </c:pt>
                <c:pt idx="301">
                  <c:v>130</c:v>
                </c:pt>
                <c:pt idx="302">
                  <c:v>129</c:v>
                </c:pt>
                <c:pt idx="303">
                  <c:v>130</c:v>
                </c:pt>
                <c:pt idx="304">
                  <c:v>131</c:v>
                </c:pt>
                <c:pt idx="305">
                  <c:v>134</c:v>
                </c:pt>
                <c:pt idx="306">
                  <c:v>133</c:v>
                </c:pt>
                <c:pt idx="307">
                  <c:v>133</c:v>
                </c:pt>
                <c:pt idx="308">
                  <c:v>134</c:v>
                </c:pt>
                <c:pt idx="309">
                  <c:v>134</c:v>
                </c:pt>
                <c:pt idx="310">
                  <c:v>131</c:v>
                </c:pt>
                <c:pt idx="311">
                  <c:v>130</c:v>
                </c:pt>
                <c:pt idx="312">
                  <c:v>130</c:v>
                </c:pt>
                <c:pt idx="313">
                  <c:v>130</c:v>
                </c:pt>
                <c:pt idx="314">
                  <c:v>130</c:v>
                </c:pt>
                <c:pt idx="315">
                  <c:v>131</c:v>
                </c:pt>
                <c:pt idx="316">
                  <c:v>132</c:v>
                </c:pt>
                <c:pt idx="317">
                  <c:v>132</c:v>
                </c:pt>
                <c:pt idx="318">
                  <c:v>130</c:v>
                </c:pt>
                <c:pt idx="319">
                  <c:v>130</c:v>
                </c:pt>
                <c:pt idx="320">
                  <c:v>130</c:v>
                </c:pt>
                <c:pt idx="321">
                  <c:v>130</c:v>
                </c:pt>
                <c:pt idx="322">
                  <c:v>130</c:v>
                </c:pt>
                <c:pt idx="323">
                  <c:v>131</c:v>
                </c:pt>
                <c:pt idx="324">
                  <c:v>129</c:v>
                </c:pt>
                <c:pt idx="325">
                  <c:v>125</c:v>
                </c:pt>
                <c:pt idx="326">
                  <c:v>123</c:v>
                </c:pt>
                <c:pt idx="327">
                  <c:v>118</c:v>
                </c:pt>
                <c:pt idx="328">
                  <c:v>107</c:v>
                </c:pt>
                <c:pt idx="329">
                  <c:v>116</c:v>
                </c:pt>
                <c:pt idx="330">
                  <c:v>119</c:v>
                </c:pt>
                <c:pt idx="331">
                  <c:v>96</c:v>
                </c:pt>
                <c:pt idx="332">
                  <c:v>97</c:v>
                </c:pt>
                <c:pt idx="333">
                  <c:v>84</c:v>
                </c:pt>
                <c:pt idx="334">
                  <c:v>84</c:v>
                </c:pt>
                <c:pt idx="335">
                  <c:v>85</c:v>
                </c:pt>
                <c:pt idx="336">
                  <c:v>103</c:v>
                </c:pt>
                <c:pt idx="337">
                  <c:v>103</c:v>
                </c:pt>
                <c:pt idx="338">
                  <c:v>122</c:v>
                </c:pt>
                <c:pt idx="339">
                  <c:v>122</c:v>
                </c:pt>
                <c:pt idx="340">
                  <c:v>123</c:v>
                </c:pt>
                <c:pt idx="341">
                  <c:v>128</c:v>
                </c:pt>
                <c:pt idx="342">
                  <c:v>128</c:v>
                </c:pt>
                <c:pt idx="343">
                  <c:v>126</c:v>
                </c:pt>
                <c:pt idx="344">
                  <c:v>126</c:v>
                </c:pt>
                <c:pt idx="345">
                  <c:v>130</c:v>
                </c:pt>
                <c:pt idx="346">
                  <c:v>133</c:v>
                </c:pt>
                <c:pt idx="347">
                  <c:v>135</c:v>
                </c:pt>
                <c:pt idx="348">
                  <c:v>138</c:v>
                </c:pt>
                <c:pt idx="349">
                  <c:v>136</c:v>
                </c:pt>
                <c:pt idx="350">
                  <c:v>137</c:v>
                </c:pt>
                <c:pt idx="351">
                  <c:v>136</c:v>
                </c:pt>
                <c:pt idx="352">
                  <c:v>136</c:v>
                </c:pt>
                <c:pt idx="353">
                  <c:v>137</c:v>
                </c:pt>
                <c:pt idx="354">
                  <c:v>138</c:v>
                </c:pt>
                <c:pt idx="355">
                  <c:v>137</c:v>
                </c:pt>
                <c:pt idx="356">
                  <c:v>138</c:v>
                </c:pt>
                <c:pt idx="357">
                  <c:v>140</c:v>
                </c:pt>
                <c:pt idx="358">
                  <c:v>140</c:v>
                </c:pt>
                <c:pt idx="359">
                  <c:v>139</c:v>
                </c:pt>
                <c:pt idx="360">
                  <c:v>139</c:v>
                </c:pt>
                <c:pt idx="361">
                  <c:v>137</c:v>
                </c:pt>
                <c:pt idx="362">
                  <c:v>136</c:v>
                </c:pt>
                <c:pt idx="363">
                  <c:v>136</c:v>
                </c:pt>
                <c:pt idx="364">
                  <c:v>138</c:v>
                </c:pt>
                <c:pt idx="365">
                  <c:v>138</c:v>
                </c:pt>
                <c:pt idx="366">
                  <c:v>138</c:v>
                </c:pt>
                <c:pt idx="367">
                  <c:v>140</c:v>
                </c:pt>
                <c:pt idx="368">
                  <c:v>139</c:v>
                </c:pt>
                <c:pt idx="369">
                  <c:v>138</c:v>
                </c:pt>
                <c:pt idx="370">
                  <c:v>139</c:v>
                </c:pt>
                <c:pt idx="371">
                  <c:v>140</c:v>
                </c:pt>
                <c:pt idx="372">
                  <c:v>139</c:v>
                </c:pt>
                <c:pt idx="373">
                  <c:v>140</c:v>
                </c:pt>
                <c:pt idx="374">
                  <c:v>138</c:v>
                </c:pt>
                <c:pt idx="375">
                  <c:v>138</c:v>
                </c:pt>
                <c:pt idx="376">
                  <c:v>136</c:v>
                </c:pt>
                <c:pt idx="377">
                  <c:v>139</c:v>
                </c:pt>
                <c:pt idx="378">
                  <c:v>139</c:v>
                </c:pt>
                <c:pt idx="379">
                  <c:v>138</c:v>
                </c:pt>
                <c:pt idx="380">
                  <c:v>138</c:v>
                </c:pt>
                <c:pt idx="381">
                  <c:v>137</c:v>
                </c:pt>
                <c:pt idx="382">
                  <c:v>139</c:v>
                </c:pt>
                <c:pt idx="383">
                  <c:v>138</c:v>
                </c:pt>
                <c:pt idx="384">
                  <c:v>138</c:v>
                </c:pt>
                <c:pt idx="385">
                  <c:v>136</c:v>
                </c:pt>
                <c:pt idx="386">
                  <c:v>136</c:v>
                </c:pt>
                <c:pt idx="387">
                  <c:v>136</c:v>
                </c:pt>
                <c:pt idx="388">
                  <c:v>136</c:v>
                </c:pt>
                <c:pt idx="389">
                  <c:v>136</c:v>
                </c:pt>
                <c:pt idx="390">
                  <c:v>136</c:v>
                </c:pt>
                <c:pt idx="391">
                  <c:v>135</c:v>
                </c:pt>
                <c:pt idx="392">
                  <c:v>135</c:v>
                </c:pt>
                <c:pt idx="393">
                  <c:v>137</c:v>
                </c:pt>
                <c:pt idx="394">
                  <c:v>137</c:v>
                </c:pt>
                <c:pt idx="395">
                  <c:v>138</c:v>
                </c:pt>
                <c:pt idx="396">
                  <c:v>136</c:v>
                </c:pt>
                <c:pt idx="397">
                  <c:v>134</c:v>
                </c:pt>
                <c:pt idx="398">
                  <c:v>128</c:v>
                </c:pt>
                <c:pt idx="399">
                  <c:v>121</c:v>
                </c:pt>
                <c:pt idx="400">
                  <c:v>113</c:v>
                </c:pt>
                <c:pt idx="401">
                  <c:v>112</c:v>
                </c:pt>
                <c:pt idx="402">
                  <c:v>112</c:v>
                </c:pt>
                <c:pt idx="403">
                  <c:v>112</c:v>
                </c:pt>
                <c:pt idx="404">
                  <c:v>104</c:v>
                </c:pt>
                <c:pt idx="405">
                  <c:v>95</c:v>
                </c:pt>
                <c:pt idx="406">
                  <c:v>90</c:v>
                </c:pt>
                <c:pt idx="407">
                  <c:v>90</c:v>
                </c:pt>
                <c:pt idx="408">
                  <c:v>104</c:v>
                </c:pt>
                <c:pt idx="409">
                  <c:v>104</c:v>
                </c:pt>
                <c:pt idx="410">
                  <c:v>125</c:v>
                </c:pt>
                <c:pt idx="411">
                  <c:v>126</c:v>
                </c:pt>
                <c:pt idx="412">
                  <c:v>126</c:v>
                </c:pt>
                <c:pt idx="413">
                  <c:v>133</c:v>
                </c:pt>
                <c:pt idx="414">
                  <c:v>131</c:v>
                </c:pt>
                <c:pt idx="415">
                  <c:v>132</c:v>
                </c:pt>
                <c:pt idx="416">
                  <c:v>134</c:v>
                </c:pt>
                <c:pt idx="417">
                  <c:v>136</c:v>
                </c:pt>
                <c:pt idx="418">
                  <c:v>138</c:v>
                </c:pt>
                <c:pt idx="419">
                  <c:v>140</c:v>
                </c:pt>
                <c:pt idx="420">
                  <c:v>140</c:v>
                </c:pt>
                <c:pt idx="421">
                  <c:v>138</c:v>
                </c:pt>
                <c:pt idx="422">
                  <c:v>135</c:v>
                </c:pt>
                <c:pt idx="423">
                  <c:v>135</c:v>
                </c:pt>
                <c:pt idx="424">
                  <c:v>137</c:v>
                </c:pt>
                <c:pt idx="425">
                  <c:v>138</c:v>
                </c:pt>
                <c:pt idx="426">
                  <c:v>139</c:v>
                </c:pt>
                <c:pt idx="427">
                  <c:v>140</c:v>
                </c:pt>
                <c:pt idx="428">
                  <c:v>142</c:v>
                </c:pt>
                <c:pt idx="429">
                  <c:v>143</c:v>
                </c:pt>
                <c:pt idx="430">
                  <c:v>143</c:v>
                </c:pt>
                <c:pt idx="431">
                  <c:v>142</c:v>
                </c:pt>
                <c:pt idx="432">
                  <c:v>141</c:v>
                </c:pt>
                <c:pt idx="433">
                  <c:v>139</c:v>
                </c:pt>
                <c:pt idx="434">
                  <c:v>140</c:v>
                </c:pt>
                <c:pt idx="435">
                  <c:v>140</c:v>
                </c:pt>
                <c:pt idx="436">
                  <c:v>142</c:v>
                </c:pt>
                <c:pt idx="437">
                  <c:v>142</c:v>
                </c:pt>
                <c:pt idx="438">
                  <c:v>144</c:v>
                </c:pt>
                <c:pt idx="439">
                  <c:v>144</c:v>
                </c:pt>
                <c:pt idx="440">
                  <c:v>144</c:v>
                </c:pt>
                <c:pt idx="441">
                  <c:v>143</c:v>
                </c:pt>
                <c:pt idx="442">
                  <c:v>144</c:v>
                </c:pt>
                <c:pt idx="443">
                  <c:v>144</c:v>
                </c:pt>
                <c:pt idx="444">
                  <c:v>147</c:v>
                </c:pt>
                <c:pt idx="445">
                  <c:v>147</c:v>
                </c:pt>
                <c:pt idx="446">
                  <c:v>147</c:v>
                </c:pt>
                <c:pt idx="447">
                  <c:v>146</c:v>
                </c:pt>
                <c:pt idx="448">
                  <c:v>146</c:v>
                </c:pt>
                <c:pt idx="449">
                  <c:v>143</c:v>
                </c:pt>
                <c:pt idx="450">
                  <c:v>142</c:v>
                </c:pt>
                <c:pt idx="451">
                  <c:v>141</c:v>
                </c:pt>
                <c:pt idx="452">
                  <c:v>141</c:v>
                </c:pt>
                <c:pt idx="453">
                  <c:v>141</c:v>
                </c:pt>
                <c:pt idx="454">
                  <c:v>143</c:v>
                </c:pt>
                <c:pt idx="455">
                  <c:v>143</c:v>
                </c:pt>
                <c:pt idx="456">
                  <c:v>144</c:v>
                </c:pt>
                <c:pt idx="457">
                  <c:v>143</c:v>
                </c:pt>
                <c:pt idx="458">
                  <c:v>141</c:v>
                </c:pt>
                <c:pt idx="459">
                  <c:v>140</c:v>
                </c:pt>
                <c:pt idx="460">
                  <c:v>139</c:v>
                </c:pt>
                <c:pt idx="461">
                  <c:v>139</c:v>
                </c:pt>
                <c:pt idx="462">
                  <c:v>139</c:v>
                </c:pt>
                <c:pt idx="463">
                  <c:v>143</c:v>
                </c:pt>
                <c:pt idx="464">
                  <c:v>144</c:v>
                </c:pt>
                <c:pt idx="465">
                  <c:v>145</c:v>
                </c:pt>
                <c:pt idx="466">
                  <c:v>145</c:v>
                </c:pt>
                <c:pt idx="467">
                  <c:v>139</c:v>
                </c:pt>
                <c:pt idx="468">
                  <c:v>135</c:v>
                </c:pt>
                <c:pt idx="469">
                  <c:v>131</c:v>
                </c:pt>
                <c:pt idx="470">
                  <c:v>123</c:v>
                </c:pt>
                <c:pt idx="471">
                  <c:v>124</c:v>
                </c:pt>
                <c:pt idx="472">
                  <c:v>117</c:v>
                </c:pt>
                <c:pt idx="473">
                  <c:v>116</c:v>
                </c:pt>
                <c:pt idx="474">
                  <c:v>100</c:v>
                </c:pt>
                <c:pt idx="475">
                  <c:v>93</c:v>
                </c:pt>
                <c:pt idx="476">
                  <c:v>89</c:v>
                </c:pt>
                <c:pt idx="477">
                  <c:v>101</c:v>
                </c:pt>
                <c:pt idx="478">
                  <c:v>118</c:v>
                </c:pt>
                <c:pt idx="479">
                  <c:v>125</c:v>
                </c:pt>
                <c:pt idx="480">
                  <c:v>131</c:v>
                </c:pt>
                <c:pt idx="481">
                  <c:v>137</c:v>
                </c:pt>
                <c:pt idx="482">
                  <c:v>141</c:v>
                </c:pt>
                <c:pt idx="483">
                  <c:v>143</c:v>
                </c:pt>
                <c:pt idx="484">
                  <c:v>145</c:v>
                </c:pt>
                <c:pt idx="485">
                  <c:v>146</c:v>
                </c:pt>
                <c:pt idx="486">
                  <c:v>146</c:v>
                </c:pt>
                <c:pt idx="487">
                  <c:v>148</c:v>
                </c:pt>
                <c:pt idx="488">
                  <c:v>147</c:v>
                </c:pt>
                <c:pt idx="489">
                  <c:v>147</c:v>
                </c:pt>
                <c:pt idx="490">
                  <c:v>148</c:v>
                </c:pt>
                <c:pt idx="491">
                  <c:v>149</c:v>
                </c:pt>
                <c:pt idx="492">
                  <c:v>149</c:v>
                </c:pt>
                <c:pt idx="493">
                  <c:v>150</c:v>
                </c:pt>
                <c:pt idx="494">
                  <c:v>150</c:v>
                </c:pt>
                <c:pt idx="495">
                  <c:v>150</c:v>
                </c:pt>
                <c:pt idx="496">
                  <c:v>150</c:v>
                </c:pt>
                <c:pt idx="497">
                  <c:v>152</c:v>
                </c:pt>
                <c:pt idx="498">
                  <c:v>151</c:v>
                </c:pt>
                <c:pt idx="499">
                  <c:v>150</c:v>
                </c:pt>
                <c:pt idx="500">
                  <c:v>149</c:v>
                </c:pt>
                <c:pt idx="501">
                  <c:v>147</c:v>
                </c:pt>
                <c:pt idx="502">
                  <c:v>147</c:v>
                </c:pt>
                <c:pt idx="503">
                  <c:v>148</c:v>
                </c:pt>
                <c:pt idx="504">
                  <c:v>148</c:v>
                </c:pt>
                <c:pt idx="505">
                  <c:v>148</c:v>
                </c:pt>
                <c:pt idx="506">
                  <c:v>147</c:v>
                </c:pt>
                <c:pt idx="507">
                  <c:v>146</c:v>
                </c:pt>
                <c:pt idx="508">
                  <c:v>146</c:v>
                </c:pt>
                <c:pt idx="509">
                  <c:v>146</c:v>
                </c:pt>
                <c:pt idx="510">
                  <c:v>147</c:v>
                </c:pt>
                <c:pt idx="511">
                  <c:v>148</c:v>
                </c:pt>
                <c:pt idx="512">
                  <c:v>147</c:v>
                </c:pt>
                <c:pt idx="513">
                  <c:v>147</c:v>
                </c:pt>
                <c:pt idx="514">
                  <c:v>148</c:v>
                </c:pt>
                <c:pt idx="515">
                  <c:v>149</c:v>
                </c:pt>
                <c:pt idx="516">
                  <c:v>149</c:v>
                </c:pt>
                <c:pt idx="517">
                  <c:v>149</c:v>
                </c:pt>
                <c:pt idx="518">
                  <c:v>151</c:v>
                </c:pt>
                <c:pt idx="519">
                  <c:v>150</c:v>
                </c:pt>
                <c:pt idx="520">
                  <c:v>148</c:v>
                </c:pt>
                <c:pt idx="521">
                  <c:v>147</c:v>
                </c:pt>
                <c:pt idx="522">
                  <c:v>146</c:v>
                </c:pt>
                <c:pt idx="523">
                  <c:v>147</c:v>
                </c:pt>
                <c:pt idx="524">
                  <c:v>146</c:v>
                </c:pt>
                <c:pt idx="525">
                  <c:v>146</c:v>
                </c:pt>
                <c:pt idx="526">
                  <c:v>148</c:v>
                </c:pt>
                <c:pt idx="527">
                  <c:v>149</c:v>
                </c:pt>
                <c:pt idx="528">
                  <c:v>150</c:v>
                </c:pt>
                <c:pt idx="529">
                  <c:v>149</c:v>
                </c:pt>
                <c:pt idx="530">
                  <c:v>149</c:v>
                </c:pt>
                <c:pt idx="531">
                  <c:v>146</c:v>
                </c:pt>
                <c:pt idx="532">
                  <c:v>142</c:v>
                </c:pt>
                <c:pt idx="533">
                  <c:v>140</c:v>
                </c:pt>
                <c:pt idx="534">
                  <c:v>135</c:v>
                </c:pt>
                <c:pt idx="535">
                  <c:v>134</c:v>
                </c:pt>
                <c:pt idx="536">
                  <c:v>126</c:v>
                </c:pt>
                <c:pt idx="537">
                  <c:v>121</c:v>
                </c:pt>
                <c:pt idx="538">
                  <c:v>118</c:v>
                </c:pt>
                <c:pt idx="539">
                  <c:v>105</c:v>
                </c:pt>
                <c:pt idx="540">
                  <c:v>98</c:v>
                </c:pt>
                <c:pt idx="541">
                  <c:v>95</c:v>
                </c:pt>
                <c:pt idx="542">
                  <c:v>94</c:v>
                </c:pt>
                <c:pt idx="543">
                  <c:v>112</c:v>
                </c:pt>
                <c:pt idx="544">
                  <c:v>123</c:v>
                </c:pt>
                <c:pt idx="545">
                  <c:v>127</c:v>
                </c:pt>
                <c:pt idx="546">
                  <c:v>128</c:v>
                </c:pt>
                <c:pt idx="547">
                  <c:v>133</c:v>
                </c:pt>
                <c:pt idx="548">
                  <c:v>136</c:v>
                </c:pt>
                <c:pt idx="549">
                  <c:v>139</c:v>
                </c:pt>
                <c:pt idx="550">
                  <c:v>141</c:v>
                </c:pt>
                <c:pt idx="551">
                  <c:v>143</c:v>
                </c:pt>
                <c:pt idx="552">
                  <c:v>144</c:v>
                </c:pt>
                <c:pt idx="553">
                  <c:v>143</c:v>
                </c:pt>
                <c:pt idx="554">
                  <c:v>144</c:v>
                </c:pt>
                <c:pt idx="555">
                  <c:v>145</c:v>
                </c:pt>
                <c:pt idx="556">
                  <c:v>146</c:v>
                </c:pt>
                <c:pt idx="557">
                  <c:v>147</c:v>
                </c:pt>
                <c:pt idx="558">
                  <c:v>148</c:v>
                </c:pt>
                <c:pt idx="559">
                  <c:v>151</c:v>
                </c:pt>
                <c:pt idx="560">
                  <c:v>153</c:v>
                </c:pt>
                <c:pt idx="561">
                  <c:v>154</c:v>
                </c:pt>
                <c:pt idx="562">
                  <c:v>155</c:v>
                </c:pt>
                <c:pt idx="563">
                  <c:v>156</c:v>
                </c:pt>
                <c:pt idx="564">
                  <c:v>156</c:v>
                </c:pt>
                <c:pt idx="565">
                  <c:v>157</c:v>
                </c:pt>
                <c:pt idx="566">
                  <c:v>157</c:v>
                </c:pt>
                <c:pt idx="567">
                  <c:v>156</c:v>
                </c:pt>
                <c:pt idx="568">
                  <c:v>156</c:v>
                </c:pt>
                <c:pt idx="569">
                  <c:v>155</c:v>
                </c:pt>
                <c:pt idx="570">
                  <c:v>154</c:v>
                </c:pt>
                <c:pt idx="571">
                  <c:v>153</c:v>
                </c:pt>
                <c:pt idx="572">
                  <c:v>153</c:v>
                </c:pt>
                <c:pt idx="573">
                  <c:v>153</c:v>
                </c:pt>
                <c:pt idx="574">
                  <c:v>153</c:v>
                </c:pt>
                <c:pt idx="575">
                  <c:v>153</c:v>
                </c:pt>
                <c:pt idx="576">
                  <c:v>153</c:v>
                </c:pt>
                <c:pt idx="577">
                  <c:v>154</c:v>
                </c:pt>
                <c:pt idx="578">
                  <c:v>154</c:v>
                </c:pt>
                <c:pt idx="579">
                  <c:v>153</c:v>
                </c:pt>
                <c:pt idx="580">
                  <c:v>152</c:v>
                </c:pt>
                <c:pt idx="581">
                  <c:v>152</c:v>
                </c:pt>
                <c:pt idx="582">
                  <c:v>152</c:v>
                </c:pt>
                <c:pt idx="583">
                  <c:v>153</c:v>
                </c:pt>
                <c:pt idx="584">
                  <c:v>154</c:v>
                </c:pt>
                <c:pt idx="585">
                  <c:v>152</c:v>
                </c:pt>
                <c:pt idx="586">
                  <c:v>151</c:v>
                </c:pt>
                <c:pt idx="587">
                  <c:v>151</c:v>
                </c:pt>
                <c:pt idx="588">
                  <c:v>151</c:v>
                </c:pt>
                <c:pt idx="589">
                  <c:v>150</c:v>
                </c:pt>
                <c:pt idx="590">
                  <c:v>151</c:v>
                </c:pt>
                <c:pt idx="591">
                  <c:v>151</c:v>
                </c:pt>
                <c:pt idx="592">
                  <c:v>153</c:v>
                </c:pt>
                <c:pt idx="593">
                  <c:v>153</c:v>
                </c:pt>
                <c:pt idx="594">
                  <c:v>151</c:v>
                </c:pt>
                <c:pt idx="595">
                  <c:v>148</c:v>
                </c:pt>
                <c:pt idx="596">
                  <c:v>148</c:v>
                </c:pt>
                <c:pt idx="597">
                  <c:v>146</c:v>
                </c:pt>
                <c:pt idx="598">
                  <c:v>140</c:v>
                </c:pt>
                <c:pt idx="599">
                  <c:v>132</c:v>
                </c:pt>
                <c:pt idx="600">
                  <c:v>123</c:v>
                </c:pt>
                <c:pt idx="601">
                  <c:v>114</c:v>
                </c:pt>
                <c:pt idx="602">
                  <c:v>117</c:v>
                </c:pt>
                <c:pt idx="603">
                  <c:v>122</c:v>
                </c:pt>
                <c:pt idx="604">
                  <c:v>107</c:v>
                </c:pt>
                <c:pt idx="605">
                  <c:v>104</c:v>
                </c:pt>
                <c:pt idx="606">
                  <c:v>113</c:v>
                </c:pt>
                <c:pt idx="607">
                  <c:v>127</c:v>
                </c:pt>
                <c:pt idx="608">
                  <c:v>130</c:v>
                </c:pt>
                <c:pt idx="609">
                  <c:v>135</c:v>
                </c:pt>
                <c:pt idx="610">
                  <c:v>138</c:v>
                </c:pt>
                <c:pt idx="611">
                  <c:v>141</c:v>
                </c:pt>
                <c:pt idx="612">
                  <c:v>143</c:v>
                </c:pt>
                <c:pt idx="613">
                  <c:v>142</c:v>
                </c:pt>
                <c:pt idx="614">
                  <c:v>143</c:v>
                </c:pt>
                <c:pt idx="615">
                  <c:v>146</c:v>
                </c:pt>
                <c:pt idx="616">
                  <c:v>150</c:v>
                </c:pt>
                <c:pt idx="617">
                  <c:v>152</c:v>
                </c:pt>
                <c:pt idx="618">
                  <c:v>153</c:v>
                </c:pt>
                <c:pt idx="619">
                  <c:v>154</c:v>
                </c:pt>
                <c:pt idx="620">
                  <c:v>155</c:v>
                </c:pt>
                <c:pt idx="621">
                  <c:v>156</c:v>
                </c:pt>
                <c:pt idx="622">
                  <c:v>157</c:v>
                </c:pt>
                <c:pt idx="623">
                  <c:v>158</c:v>
                </c:pt>
                <c:pt idx="624">
                  <c:v>159</c:v>
                </c:pt>
                <c:pt idx="625">
                  <c:v>158</c:v>
                </c:pt>
                <c:pt idx="626">
                  <c:v>158</c:v>
                </c:pt>
                <c:pt idx="627">
                  <c:v>156</c:v>
                </c:pt>
                <c:pt idx="628">
                  <c:v>156</c:v>
                </c:pt>
                <c:pt idx="629">
                  <c:v>157</c:v>
                </c:pt>
                <c:pt idx="630">
                  <c:v>158</c:v>
                </c:pt>
                <c:pt idx="631">
                  <c:v>159</c:v>
                </c:pt>
                <c:pt idx="632">
                  <c:v>160</c:v>
                </c:pt>
                <c:pt idx="633">
                  <c:v>156</c:v>
                </c:pt>
                <c:pt idx="634">
                  <c:v>157</c:v>
                </c:pt>
                <c:pt idx="635">
                  <c:v>156</c:v>
                </c:pt>
                <c:pt idx="636">
                  <c:v>157</c:v>
                </c:pt>
                <c:pt idx="637">
                  <c:v>158</c:v>
                </c:pt>
                <c:pt idx="638">
                  <c:v>159</c:v>
                </c:pt>
                <c:pt idx="639">
                  <c:v>158</c:v>
                </c:pt>
                <c:pt idx="640">
                  <c:v>157</c:v>
                </c:pt>
                <c:pt idx="641">
                  <c:v>158</c:v>
                </c:pt>
                <c:pt idx="642">
                  <c:v>157</c:v>
                </c:pt>
                <c:pt idx="643">
                  <c:v>157</c:v>
                </c:pt>
                <c:pt idx="644">
                  <c:v>157</c:v>
                </c:pt>
                <c:pt idx="645">
                  <c:v>158</c:v>
                </c:pt>
                <c:pt idx="646">
                  <c:v>157</c:v>
                </c:pt>
                <c:pt idx="647">
                  <c:v>157</c:v>
                </c:pt>
                <c:pt idx="648">
                  <c:v>158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159</c:v>
                </c:pt>
                <c:pt idx="653">
                  <c:v>159</c:v>
                </c:pt>
                <c:pt idx="654">
                  <c:v>158</c:v>
                </c:pt>
                <c:pt idx="655">
                  <c:v>157</c:v>
                </c:pt>
                <c:pt idx="656">
                  <c:v>156</c:v>
                </c:pt>
                <c:pt idx="657">
                  <c:v>148</c:v>
                </c:pt>
                <c:pt idx="658">
                  <c:v>143</c:v>
                </c:pt>
                <c:pt idx="659">
                  <c:v>139</c:v>
                </c:pt>
                <c:pt idx="660">
                  <c:v>131</c:v>
                </c:pt>
                <c:pt idx="661">
                  <c:v>126</c:v>
                </c:pt>
                <c:pt idx="662">
                  <c:v>117</c:v>
                </c:pt>
                <c:pt idx="663">
                  <c:v>121</c:v>
                </c:pt>
                <c:pt idx="664">
                  <c:v>120</c:v>
                </c:pt>
                <c:pt idx="665">
                  <c:v>115</c:v>
                </c:pt>
                <c:pt idx="666">
                  <c:v>110</c:v>
                </c:pt>
                <c:pt idx="667">
                  <c:v>122</c:v>
                </c:pt>
                <c:pt idx="668">
                  <c:v>131</c:v>
                </c:pt>
                <c:pt idx="669">
                  <c:v>135</c:v>
                </c:pt>
                <c:pt idx="670">
                  <c:v>138</c:v>
                </c:pt>
                <c:pt idx="671">
                  <c:v>141</c:v>
                </c:pt>
                <c:pt idx="672">
                  <c:v>143</c:v>
                </c:pt>
                <c:pt idx="673">
                  <c:v>145</c:v>
                </c:pt>
                <c:pt idx="674">
                  <c:v>146</c:v>
                </c:pt>
                <c:pt idx="675">
                  <c:v>150</c:v>
                </c:pt>
                <c:pt idx="676">
                  <c:v>152</c:v>
                </c:pt>
                <c:pt idx="677">
                  <c:v>155</c:v>
                </c:pt>
                <c:pt idx="678">
                  <c:v>157</c:v>
                </c:pt>
                <c:pt idx="679">
                  <c:v>159</c:v>
                </c:pt>
                <c:pt idx="680">
                  <c:v>160</c:v>
                </c:pt>
                <c:pt idx="681">
                  <c:v>160</c:v>
                </c:pt>
                <c:pt idx="682">
                  <c:v>159</c:v>
                </c:pt>
                <c:pt idx="683">
                  <c:v>160</c:v>
                </c:pt>
                <c:pt idx="684">
                  <c:v>160</c:v>
                </c:pt>
                <c:pt idx="685">
                  <c:v>161</c:v>
                </c:pt>
                <c:pt idx="686">
                  <c:v>163</c:v>
                </c:pt>
                <c:pt idx="687">
                  <c:v>163</c:v>
                </c:pt>
                <c:pt idx="688">
                  <c:v>163</c:v>
                </c:pt>
                <c:pt idx="689">
                  <c:v>163</c:v>
                </c:pt>
                <c:pt idx="690">
                  <c:v>162</c:v>
                </c:pt>
                <c:pt idx="691">
                  <c:v>162</c:v>
                </c:pt>
                <c:pt idx="692">
                  <c:v>162</c:v>
                </c:pt>
                <c:pt idx="693">
                  <c:v>164</c:v>
                </c:pt>
                <c:pt idx="694">
                  <c:v>165</c:v>
                </c:pt>
                <c:pt idx="695">
                  <c:v>164</c:v>
                </c:pt>
                <c:pt idx="696">
                  <c:v>164</c:v>
                </c:pt>
                <c:pt idx="697">
                  <c:v>163</c:v>
                </c:pt>
                <c:pt idx="698">
                  <c:v>163</c:v>
                </c:pt>
                <c:pt idx="699">
                  <c:v>164</c:v>
                </c:pt>
                <c:pt idx="700">
                  <c:v>163</c:v>
                </c:pt>
                <c:pt idx="701">
                  <c:v>164</c:v>
                </c:pt>
                <c:pt idx="702">
                  <c:v>165</c:v>
                </c:pt>
                <c:pt idx="703">
                  <c:v>166</c:v>
                </c:pt>
                <c:pt idx="704">
                  <c:v>165</c:v>
                </c:pt>
                <c:pt idx="705">
                  <c:v>165</c:v>
                </c:pt>
                <c:pt idx="706">
                  <c:v>165</c:v>
                </c:pt>
                <c:pt idx="707">
                  <c:v>166</c:v>
                </c:pt>
                <c:pt idx="708">
                  <c:v>164</c:v>
                </c:pt>
                <c:pt idx="709">
                  <c:v>164</c:v>
                </c:pt>
                <c:pt idx="710">
                  <c:v>164</c:v>
                </c:pt>
                <c:pt idx="711">
                  <c:v>165</c:v>
                </c:pt>
                <c:pt idx="712">
                  <c:v>166</c:v>
                </c:pt>
                <c:pt idx="713">
                  <c:v>165</c:v>
                </c:pt>
                <c:pt idx="714">
                  <c:v>159</c:v>
                </c:pt>
                <c:pt idx="715">
                  <c:v>150</c:v>
                </c:pt>
                <c:pt idx="716">
                  <c:v>144</c:v>
                </c:pt>
                <c:pt idx="717">
                  <c:v>139</c:v>
                </c:pt>
                <c:pt idx="718">
                  <c:v>137</c:v>
                </c:pt>
                <c:pt idx="719">
                  <c:v>136</c:v>
                </c:pt>
                <c:pt idx="720">
                  <c:v>134</c:v>
                </c:pt>
                <c:pt idx="721">
                  <c:v>126</c:v>
                </c:pt>
                <c:pt idx="722">
                  <c:v>121</c:v>
                </c:pt>
                <c:pt idx="723">
                  <c:v>119</c:v>
                </c:pt>
                <c:pt idx="724">
                  <c:v>120</c:v>
                </c:pt>
              </c:numCache>
            </c:numRef>
          </c:yVal>
          <c:smooth val="0"/>
        </c:ser>
        <c:ser>
          <c:idx val="1"/>
          <c:order val="1"/>
          <c:tx>
            <c:v>1/07/2005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Hartslagen!$B$5968:$B$6431</c:f>
              <c:numCache>
                <c:formatCode>h:mm:ss</c:formatCode>
                <c:ptCount val="464"/>
                <c:pt idx="0">
                  <c:v>0</c:v>
                </c:pt>
                <c:pt idx="1">
                  <c:v>5.7870370370370366E-5</c:v>
                </c:pt>
                <c:pt idx="2">
                  <c:v>1.15740740740741E-4</c:v>
                </c:pt>
                <c:pt idx="3">
                  <c:v>1.7361111111111101E-4</c:v>
                </c:pt>
                <c:pt idx="4">
                  <c:v>2.31481481481481E-4</c:v>
                </c:pt>
                <c:pt idx="5">
                  <c:v>2.89351851851852E-4</c:v>
                </c:pt>
                <c:pt idx="6">
                  <c:v>3.4722222222222202E-4</c:v>
                </c:pt>
                <c:pt idx="7">
                  <c:v>4.0509259259259301E-4</c:v>
                </c:pt>
                <c:pt idx="8">
                  <c:v>4.6296296296296298E-4</c:v>
                </c:pt>
                <c:pt idx="9">
                  <c:v>5.20833333333333E-4</c:v>
                </c:pt>
                <c:pt idx="10">
                  <c:v>5.78703703703704E-4</c:v>
                </c:pt>
                <c:pt idx="11">
                  <c:v>6.3657407407407402E-4</c:v>
                </c:pt>
                <c:pt idx="12">
                  <c:v>6.9444444444444404E-4</c:v>
                </c:pt>
                <c:pt idx="13">
                  <c:v>7.5231481481481503E-4</c:v>
                </c:pt>
                <c:pt idx="14">
                  <c:v>8.1018518518518505E-4</c:v>
                </c:pt>
                <c:pt idx="15">
                  <c:v>8.6805555555555605E-4</c:v>
                </c:pt>
                <c:pt idx="16">
                  <c:v>9.2592592592592596E-4</c:v>
                </c:pt>
                <c:pt idx="17">
                  <c:v>9.8379629629629598E-4</c:v>
                </c:pt>
                <c:pt idx="18">
                  <c:v>1.0416666666666699E-3</c:v>
                </c:pt>
                <c:pt idx="19">
                  <c:v>1.0995370370370399E-3</c:v>
                </c:pt>
                <c:pt idx="20">
                  <c:v>1.1574074074074099E-3</c:v>
                </c:pt>
                <c:pt idx="21">
                  <c:v>1.21527777777778E-3</c:v>
                </c:pt>
                <c:pt idx="22">
                  <c:v>1.27314814814815E-3</c:v>
                </c:pt>
                <c:pt idx="23">
                  <c:v>1.33101851851852E-3</c:v>
                </c:pt>
                <c:pt idx="24">
                  <c:v>1.38888888888889E-3</c:v>
                </c:pt>
                <c:pt idx="25">
                  <c:v>1.44675925925926E-3</c:v>
                </c:pt>
                <c:pt idx="26">
                  <c:v>1.5046296296296301E-3</c:v>
                </c:pt>
                <c:pt idx="27">
                  <c:v>1.5625000000000001E-3</c:v>
                </c:pt>
                <c:pt idx="28">
                  <c:v>1.6203703703703701E-3</c:v>
                </c:pt>
                <c:pt idx="29">
                  <c:v>1.6782407407407399E-3</c:v>
                </c:pt>
                <c:pt idx="30">
                  <c:v>1.7361111111111099E-3</c:v>
                </c:pt>
                <c:pt idx="31">
                  <c:v>1.79398148148148E-3</c:v>
                </c:pt>
                <c:pt idx="32">
                  <c:v>1.85185185185185E-3</c:v>
                </c:pt>
                <c:pt idx="33">
                  <c:v>1.90972222222222E-3</c:v>
                </c:pt>
                <c:pt idx="34">
                  <c:v>1.9675925925925898E-3</c:v>
                </c:pt>
                <c:pt idx="35">
                  <c:v>2.0254629629629598E-3</c:v>
                </c:pt>
                <c:pt idx="36">
                  <c:v>2.0833333333333298E-3</c:v>
                </c:pt>
                <c:pt idx="37">
                  <c:v>2.1412037037036999E-3</c:v>
                </c:pt>
                <c:pt idx="38">
                  <c:v>2.1990740740740699E-3</c:v>
                </c:pt>
                <c:pt idx="39">
                  <c:v>2.2569444444444399E-3</c:v>
                </c:pt>
                <c:pt idx="40">
                  <c:v>2.3148148148148099E-3</c:v>
                </c:pt>
                <c:pt idx="41">
                  <c:v>2.3726851851851899E-3</c:v>
                </c:pt>
                <c:pt idx="42">
                  <c:v>2.4305555555555599E-3</c:v>
                </c:pt>
                <c:pt idx="43">
                  <c:v>2.48842592592593E-3</c:v>
                </c:pt>
                <c:pt idx="44">
                  <c:v>2.5462962962963E-3</c:v>
                </c:pt>
                <c:pt idx="45">
                  <c:v>2.60416666666667E-3</c:v>
                </c:pt>
                <c:pt idx="46">
                  <c:v>2.66203703703704E-3</c:v>
                </c:pt>
                <c:pt idx="47">
                  <c:v>2.71990740740741E-3</c:v>
                </c:pt>
                <c:pt idx="48">
                  <c:v>2.7777777777777801E-3</c:v>
                </c:pt>
                <c:pt idx="49">
                  <c:v>2.8356481481481501E-3</c:v>
                </c:pt>
                <c:pt idx="50">
                  <c:v>2.8935185185185201E-3</c:v>
                </c:pt>
                <c:pt idx="51">
                  <c:v>2.9513888888888901E-3</c:v>
                </c:pt>
                <c:pt idx="52">
                  <c:v>3.0092592592592601E-3</c:v>
                </c:pt>
                <c:pt idx="53">
                  <c:v>3.0671296296296302E-3</c:v>
                </c:pt>
                <c:pt idx="54">
                  <c:v>3.1250000000000002E-3</c:v>
                </c:pt>
                <c:pt idx="55">
                  <c:v>3.1828703703703702E-3</c:v>
                </c:pt>
                <c:pt idx="56">
                  <c:v>3.2407407407407402E-3</c:v>
                </c:pt>
                <c:pt idx="57">
                  <c:v>3.2986111111111098E-3</c:v>
                </c:pt>
                <c:pt idx="58">
                  <c:v>3.3564814814814798E-3</c:v>
                </c:pt>
                <c:pt idx="59">
                  <c:v>3.4143518518518498E-3</c:v>
                </c:pt>
                <c:pt idx="60">
                  <c:v>3.4722222222222199E-3</c:v>
                </c:pt>
                <c:pt idx="61">
                  <c:v>3.5300925925925899E-3</c:v>
                </c:pt>
                <c:pt idx="62">
                  <c:v>3.5879629629629599E-3</c:v>
                </c:pt>
                <c:pt idx="63">
                  <c:v>3.6458333333333299E-3</c:v>
                </c:pt>
                <c:pt idx="64">
                  <c:v>3.7037037037036999E-3</c:v>
                </c:pt>
                <c:pt idx="65">
                  <c:v>3.76157407407407E-3</c:v>
                </c:pt>
                <c:pt idx="66">
                  <c:v>3.81944444444444E-3</c:v>
                </c:pt>
                <c:pt idx="67">
                  <c:v>3.87731481481481E-3</c:v>
                </c:pt>
                <c:pt idx="68">
                  <c:v>3.9351851851851796E-3</c:v>
                </c:pt>
                <c:pt idx="69">
                  <c:v>3.9930555555555596E-3</c:v>
                </c:pt>
                <c:pt idx="70">
                  <c:v>4.05092592592593E-3</c:v>
                </c:pt>
                <c:pt idx="71">
                  <c:v>4.1087962962962996E-3</c:v>
                </c:pt>
                <c:pt idx="72">
                  <c:v>4.1666666666666701E-3</c:v>
                </c:pt>
                <c:pt idx="73">
                  <c:v>4.2245370370370397E-3</c:v>
                </c:pt>
                <c:pt idx="74">
                  <c:v>4.2824074074074101E-3</c:v>
                </c:pt>
                <c:pt idx="75">
                  <c:v>4.3402777777777797E-3</c:v>
                </c:pt>
                <c:pt idx="76">
                  <c:v>4.3981481481481502E-3</c:v>
                </c:pt>
                <c:pt idx="77">
                  <c:v>4.4560185185185197E-3</c:v>
                </c:pt>
                <c:pt idx="78">
                  <c:v>4.5138888888888902E-3</c:v>
                </c:pt>
                <c:pt idx="79">
                  <c:v>4.5717592592592598E-3</c:v>
                </c:pt>
                <c:pt idx="80">
                  <c:v>4.6296296296296302E-3</c:v>
                </c:pt>
                <c:pt idx="81">
                  <c:v>4.6874999999999998E-3</c:v>
                </c:pt>
                <c:pt idx="82">
                  <c:v>4.7453703703703703E-3</c:v>
                </c:pt>
                <c:pt idx="83">
                  <c:v>4.8032407407407399E-3</c:v>
                </c:pt>
                <c:pt idx="84">
                  <c:v>4.8611111111111103E-3</c:v>
                </c:pt>
                <c:pt idx="85">
                  <c:v>4.9189814814814799E-3</c:v>
                </c:pt>
                <c:pt idx="86">
                  <c:v>4.9768518518518504E-3</c:v>
                </c:pt>
                <c:pt idx="87">
                  <c:v>5.0347222222222199E-3</c:v>
                </c:pt>
                <c:pt idx="88">
                  <c:v>5.0925925925925904E-3</c:v>
                </c:pt>
                <c:pt idx="89">
                  <c:v>5.15046296296296E-3</c:v>
                </c:pt>
                <c:pt idx="90">
                  <c:v>5.2083333333333296E-3</c:v>
                </c:pt>
                <c:pt idx="91">
                  <c:v>5.2662037037037E-3</c:v>
                </c:pt>
                <c:pt idx="92">
                  <c:v>5.3240740740740696E-3</c:v>
                </c:pt>
                <c:pt idx="93">
                  <c:v>5.3819444444444401E-3</c:v>
                </c:pt>
                <c:pt idx="94">
                  <c:v>5.4398148148148097E-3</c:v>
                </c:pt>
                <c:pt idx="95">
                  <c:v>5.4976851851851801E-3</c:v>
                </c:pt>
                <c:pt idx="96">
                  <c:v>5.5555555555555497E-3</c:v>
                </c:pt>
                <c:pt idx="97">
                  <c:v>5.6134259259259297E-3</c:v>
                </c:pt>
                <c:pt idx="98">
                  <c:v>5.6712962962963001E-3</c:v>
                </c:pt>
                <c:pt idx="99">
                  <c:v>5.7291666666666697E-3</c:v>
                </c:pt>
                <c:pt idx="100">
                  <c:v>5.7870370370370402E-3</c:v>
                </c:pt>
                <c:pt idx="101">
                  <c:v>5.8449074074074098E-3</c:v>
                </c:pt>
                <c:pt idx="102">
                  <c:v>5.9027777777777802E-3</c:v>
                </c:pt>
                <c:pt idx="103">
                  <c:v>5.9606481481481498E-3</c:v>
                </c:pt>
                <c:pt idx="104">
                  <c:v>6.0185185185185203E-3</c:v>
                </c:pt>
                <c:pt idx="105">
                  <c:v>6.0763888888888899E-3</c:v>
                </c:pt>
                <c:pt idx="106">
                  <c:v>6.1342592592592603E-3</c:v>
                </c:pt>
                <c:pt idx="107">
                  <c:v>6.1921296296296299E-3</c:v>
                </c:pt>
                <c:pt idx="108">
                  <c:v>6.2500000000000003E-3</c:v>
                </c:pt>
                <c:pt idx="109">
                  <c:v>6.3078703703703699E-3</c:v>
                </c:pt>
                <c:pt idx="110">
                  <c:v>6.3657407407407404E-3</c:v>
                </c:pt>
                <c:pt idx="111">
                  <c:v>6.42361111111111E-3</c:v>
                </c:pt>
                <c:pt idx="112">
                  <c:v>6.4814814814814804E-3</c:v>
                </c:pt>
                <c:pt idx="113">
                  <c:v>6.53935185185185E-3</c:v>
                </c:pt>
                <c:pt idx="114">
                  <c:v>6.5972222222222196E-3</c:v>
                </c:pt>
                <c:pt idx="115">
                  <c:v>6.6550925925925901E-3</c:v>
                </c:pt>
                <c:pt idx="116">
                  <c:v>6.7129629629629596E-3</c:v>
                </c:pt>
                <c:pt idx="117">
                  <c:v>6.7708333333333301E-3</c:v>
                </c:pt>
                <c:pt idx="118">
                  <c:v>6.8287037037036997E-3</c:v>
                </c:pt>
                <c:pt idx="119">
                  <c:v>6.8865740740740701E-3</c:v>
                </c:pt>
                <c:pt idx="120">
                  <c:v>6.9444444444444397E-3</c:v>
                </c:pt>
                <c:pt idx="121">
                  <c:v>7.0023148148148102E-3</c:v>
                </c:pt>
                <c:pt idx="122">
                  <c:v>7.0601851851851798E-3</c:v>
                </c:pt>
                <c:pt idx="123">
                  <c:v>7.1180555555555598E-3</c:v>
                </c:pt>
                <c:pt idx="124">
                  <c:v>7.1759259259259302E-3</c:v>
                </c:pt>
                <c:pt idx="125">
                  <c:v>7.2337962962962998E-3</c:v>
                </c:pt>
                <c:pt idx="126">
                  <c:v>7.2916666666666703E-3</c:v>
                </c:pt>
                <c:pt idx="127">
                  <c:v>7.3495370370370398E-3</c:v>
                </c:pt>
                <c:pt idx="128">
                  <c:v>7.4074074074074103E-3</c:v>
                </c:pt>
                <c:pt idx="129">
                  <c:v>7.4652777777777799E-3</c:v>
                </c:pt>
                <c:pt idx="130">
                  <c:v>7.5231481481481503E-3</c:v>
                </c:pt>
                <c:pt idx="131">
                  <c:v>7.5810185185185199E-3</c:v>
                </c:pt>
                <c:pt idx="132">
                  <c:v>7.6388888888888904E-3</c:v>
                </c:pt>
                <c:pt idx="133">
                  <c:v>7.69675925925926E-3</c:v>
                </c:pt>
                <c:pt idx="134">
                  <c:v>7.7546296296296304E-3</c:v>
                </c:pt>
                <c:pt idx="135">
                  <c:v>7.8125E-3</c:v>
                </c:pt>
                <c:pt idx="136">
                  <c:v>7.8703703703703696E-3</c:v>
                </c:pt>
                <c:pt idx="137">
                  <c:v>7.9282407407407392E-3</c:v>
                </c:pt>
                <c:pt idx="138">
                  <c:v>7.9861111111111105E-3</c:v>
                </c:pt>
                <c:pt idx="139">
                  <c:v>8.0439814814814801E-3</c:v>
                </c:pt>
                <c:pt idx="140">
                  <c:v>8.1018518518518497E-3</c:v>
                </c:pt>
                <c:pt idx="141">
                  <c:v>8.1597222222222193E-3</c:v>
                </c:pt>
                <c:pt idx="142">
                  <c:v>8.2175925925925906E-3</c:v>
                </c:pt>
                <c:pt idx="143">
                  <c:v>8.2754629629629602E-3</c:v>
                </c:pt>
                <c:pt idx="144">
                  <c:v>8.3333333333333297E-3</c:v>
                </c:pt>
                <c:pt idx="145">
                  <c:v>8.3912037037036993E-3</c:v>
                </c:pt>
                <c:pt idx="146">
                  <c:v>8.4490740740740707E-3</c:v>
                </c:pt>
                <c:pt idx="147">
                  <c:v>8.5069444444444402E-3</c:v>
                </c:pt>
                <c:pt idx="148">
                  <c:v>8.5648148148148098E-3</c:v>
                </c:pt>
                <c:pt idx="149">
                  <c:v>8.6226851851851794E-3</c:v>
                </c:pt>
                <c:pt idx="150">
                  <c:v>8.6805555555555507E-3</c:v>
                </c:pt>
                <c:pt idx="151">
                  <c:v>8.7384259259259307E-3</c:v>
                </c:pt>
                <c:pt idx="152">
                  <c:v>8.7962962962963003E-3</c:v>
                </c:pt>
                <c:pt idx="153">
                  <c:v>8.8541666666666699E-3</c:v>
                </c:pt>
                <c:pt idx="154">
                  <c:v>8.9120370370370395E-3</c:v>
                </c:pt>
                <c:pt idx="155">
                  <c:v>8.9699074074074108E-3</c:v>
                </c:pt>
                <c:pt idx="156">
                  <c:v>9.0277777777777804E-3</c:v>
                </c:pt>
                <c:pt idx="157">
                  <c:v>9.08564814814815E-3</c:v>
                </c:pt>
                <c:pt idx="158">
                  <c:v>9.1435185185185196E-3</c:v>
                </c:pt>
                <c:pt idx="159">
                  <c:v>9.2013888888888892E-3</c:v>
                </c:pt>
                <c:pt idx="160">
                  <c:v>9.2592592592592605E-3</c:v>
                </c:pt>
                <c:pt idx="161">
                  <c:v>9.3171296296296301E-3</c:v>
                </c:pt>
                <c:pt idx="162">
                  <c:v>9.3749999999999997E-3</c:v>
                </c:pt>
                <c:pt idx="163">
                  <c:v>9.4328703703703692E-3</c:v>
                </c:pt>
                <c:pt idx="164">
                  <c:v>9.4907407407407406E-3</c:v>
                </c:pt>
                <c:pt idx="165">
                  <c:v>9.5486111111111101E-3</c:v>
                </c:pt>
                <c:pt idx="166">
                  <c:v>9.6064814814814797E-3</c:v>
                </c:pt>
                <c:pt idx="167">
                  <c:v>9.6643518518518493E-3</c:v>
                </c:pt>
                <c:pt idx="168">
                  <c:v>9.7222222222222206E-3</c:v>
                </c:pt>
                <c:pt idx="169">
                  <c:v>9.7800925925925902E-3</c:v>
                </c:pt>
                <c:pt idx="170">
                  <c:v>9.8379629629629598E-3</c:v>
                </c:pt>
                <c:pt idx="171">
                  <c:v>9.8958333333333294E-3</c:v>
                </c:pt>
                <c:pt idx="172">
                  <c:v>9.9537037037037007E-3</c:v>
                </c:pt>
                <c:pt idx="173">
                  <c:v>1.00115740740741E-2</c:v>
                </c:pt>
                <c:pt idx="174">
                  <c:v>1.00694444444444E-2</c:v>
                </c:pt>
                <c:pt idx="175">
                  <c:v>1.0127314814814801E-2</c:v>
                </c:pt>
                <c:pt idx="176">
                  <c:v>1.01851851851852E-2</c:v>
                </c:pt>
                <c:pt idx="177">
                  <c:v>1.0243055555555601E-2</c:v>
                </c:pt>
                <c:pt idx="178">
                  <c:v>1.0300925925925899E-2</c:v>
                </c:pt>
                <c:pt idx="179">
                  <c:v>1.03587962962963E-2</c:v>
                </c:pt>
                <c:pt idx="180">
                  <c:v>1.0416666666666701E-2</c:v>
                </c:pt>
                <c:pt idx="181">
                  <c:v>1.0474537037036999E-2</c:v>
                </c:pt>
                <c:pt idx="182">
                  <c:v>1.05324074074074E-2</c:v>
                </c:pt>
                <c:pt idx="183">
                  <c:v>1.0590277777777799E-2</c:v>
                </c:pt>
                <c:pt idx="184">
                  <c:v>1.0648148148148099E-2</c:v>
                </c:pt>
                <c:pt idx="185">
                  <c:v>1.07060185185185E-2</c:v>
                </c:pt>
                <c:pt idx="186">
                  <c:v>1.0763888888888899E-2</c:v>
                </c:pt>
                <c:pt idx="187">
                  <c:v>1.08217592592593E-2</c:v>
                </c:pt>
                <c:pt idx="188">
                  <c:v>1.08796296296296E-2</c:v>
                </c:pt>
                <c:pt idx="189">
                  <c:v>1.0937499999999999E-2</c:v>
                </c:pt>
                <c:pt idx="190">
                  <c:v>1.09953703703704E-2</c:v>
                </c:pt>
                <c:pt idx="191">
                  <c:v>1.10532407407407E-2</c:v>
                </c:pt>
                <c:pt idx="192">
                  <c:v>1.1111111111111099E-2</c:v>
                </c:pt>
                <c:pt idx="193">
                  <c:v>1.11689814814815E-2</c:v>
                </c:pt>
                <c:pt idx="194">
                  <c:v>1.1226851851851899E-2</c:v>
                </c:pt>
                <c:pt idx="195">
                  <c:v>1.1284722222222199E-2</c:v>
                </c:pt>
                <c:pt idx="196">
                  <c:v>1.13425925925926E-2</c:v>
                </c:pt>
                <c:pt idx="197">
                  <c:v>1.1400462962962999E-2</c:v>
                </c:pt>
                <c:pt idx="198">
                  <c:v>1.14583333333333E-2</c:v>
                </c:pt>
                <c:pt idx="199">
                  <c:v>1.15162037037037E-2</c:v>
                </c:pt>
                <c:pt idx="200">
                  <c:v>1.1574074074074099E-2</c:v>
                </c:pt>
                <c:pt idx="201">
                  <c:v>1.16319444444444E-2</c:v>
                </c:pt>
                <c:pt idx="202">
                  <c:v>1.16898148148148E-2</c:v>
                </c:pt>
                <c:pt idx="203">
                  <c:v>1.17476851851852E-2</c:v>
                </c:pt>
                <c:pt idx="204">
                  <c:v>1.18055555555556E-2</c:v>
                </c:pt>
                <c:pt idx="205">
                  <c:v>1.1863425925925901E-2</c:v>
                </c:pt>
                <c:pt idx="206">
                  <c:v>1.19212962962963E-2</c:v>
                </c:pt>
                <c:pt idx="207">
                  <c:v>1.19791666666667E-2</c:v>
                </c:pt>
                <c:pt idx="208">
                  <c:v>1.2037037037037001E-2</c:v>
                </c:pt>
                <c:pt idx="209">
                  <c:v>1.20949074074074E-2</c:v>
                </c:pt>
                <c:pt idx="210">
                  <c:v>1.2152777777777801E-2</c:v>
                </c:pt>
                <c:pt idx="211">
                  <c:v>1.2210648148148101E-2</c:v>
                </c:pt>
                <c:pt idx="212">
                  <c:v>1.22685185185185E-2</c:v>
                </c:pt>
                <c:pt idx="213">
                  <c:v>1.2326388888888901E-2</c:v>
                </c:pt>
                <c:pt idx="214">
                  <c:v>1.23842592592593E-2</c:v>
                </c:pt>
                <c:pt idx="215">
                  <c:v>1.24421296296296E-2</c:v>
                </c:pt>
                <c:pt idx="216">
                  <c:v>1.2500000000000001E-2</c:v>
                </c:pt>
                <c:pt idx="217">
                  <c:v>1.25578703703704E-2</c:v>
                </c:pt>
                <c:pt idx="218">
                  <c:v>1.26157407407407E-2</c:v>
                </c:pt>
                <c:pt idx="219">
                  <c:v>1.2673611111111101E-2</c:v>
                </c:pt>
                <c:pt idx="220">
                  <c:v>1.27314814814815E-2</c:v>
                </c:pt>
                <c:pt idx="221">
                  <c:v>1.2789351851851901E-2</c:v>
                </c:pt>
                <c:pt idx="222">
                  <c:v>1.2847222222222201E-2</c:v>
                </c:pt>
                <c:pt idx="223">
                  <c:v>1.29050925925926E-2</c:v>
                </c:pt>
                <c:pt idx="224">
                  <c:v>1.2962962962963001E-2</c:v>
                </c:pt>
                <c:pt idx="225">
                  <c:v>1.3020833333333299E-2</c:v>
                </c:pt>
                <c:pt idx="226">
                  <c:v>1.30787037037037E-2</c:v>
                </c:pt>
                <c:pt idx="227">
                  <c:v>1.3136574074074101E-2</c:v>
                </c:pt>
                <c:pt idx="228">
                  <c:v>1.3194444444444399E-2</c:v>
                </c:pt>
                <c:pt idx="229">
                  <c:v>1.32523148148148E-2</c:v>
                </c:pt>
                <c:pt idx="230">
                  <c:v>1.3310185185185199E-2</c:v>
                </c:pt>
                <c:pt idx="231">
                  <c:v>1.33680555555556E-2</c:v>
                </c:pt>
                <c:pt idx="232">
                  <c:v>1.34259259259259E-2</c:v>
                </c:pt>
                <c:pt idx="233">
                  <c:v>1.3483796296296299E-2</c:v>
                </c:pt>
                <c:pt idx="234">
                  <c:v>1.35416666666667E-2</c:v>
                </c:pt>
                <c:pt idx="235">
                  <c:v>1.3599537037037E-2</c:v>
                </c:pt>
                <c:pt idx="236">
                  <c:v>1.3657407407407399E-2</c:v>
                </c:pt>
                <c:pt idx="237">
                  <c:v>1.37152777777778E-2</c:v>
                </c:pt>
                <c:pt idx="238">
                  <c:v>1.37731481481481E-2</c:v>
                </c:pt>
                <c:pt idx="239">
                  <c:v>1.3831018518518499E-2</c:v>
                </c:pt>
                <c:pt idx="240">
                  <c:v>1.38888888888889E-2</c:v>
                </c:pt>
                <c:pt idx="241">
                  <c:v>1.3946759259259299E-2</c:v>
                </c:pt>
                <c:pt idx="242">
                  <c:v>1.40046296296296E-2</c:v>
                </c:pt>
                <c:pt idx="243">
                  <c:v>1.40625E-2</c:v>
                </c:pt>
                <c:pt idx="244">
                  <c:v>1.4120370370370399E-2</c:v>
                </c:pt>
                <c:pt idx="245">
                  <c:v>1.41782407407407E-2</c:v>
                </c:pt>
                <c:pt idx="246">
                  <c:v>1.42361111111111E-2</c:v>
                </c:pt>
                <c:pt idx="247">
                  <c:v>1.42939814814815E-2</c:v>
                </c:pt>
                <c:pt idx="248">
                  <c:v>1.43518518518519E-2</c:v>
                </c:pt>
                <c:pt idx="249">
                  <c:v>1.4409722222222201E-2</c:v>
                </c:pt>
                <c:pt idx="250">
                  <c:v>1.44675925925926E-2</c:v>
                </c:pt>
                <c:pt idx="251">
                  <c:v>1.4525462962963E-2</c:v>
                </c:pt>
                <c:pt idx="252">
                  <c:v>1.4583333333333301E-2</c:v>
                </c:pt>
                <c:pt idx="253">
                  <c:v>1.46412037037037E-2</c:v>
                </c:pt>
                <c:pt idx="254">
                  <c:v>1.46990740740741E-2</c:v>
                </c:pt>
                <c:pt idx="255">
                  <c:v>1.4756944444444401E-2</c:v>
                </c:pt>
                <c:pt idx="256">
                  <c:v>1.48148148148148E-2</c:v>
                </c:pt>
                <c:pt idx="257">
                  <c:v>1.4872685185185201E-2</c:v>
                </c:pt>
                <c:pt idx="258">
                  <c:v>1.49305555555556E-2</c:v>
                </c:pt>
                <c:pt idx="259">
                  <c:v>1.49884259259259E-2</c:v>
                </c:pt>
                <c:pt idx="260">
                  <c:v>1.5046296296296301E-2</c:v>
                </c:pt>
                <c:pt idx="261">
                  <c:v>1.51041666666667E-2</c:v>
                </c:pt>
                <c:pt idx="262">
                  <c:v>1.5162037037037E-2</c:v>
                </c:pt>
                <c:pt idx="263">
                  <c:v>1.5219907407407401E-2</c:v>
                </c:pt>
                <c:pt idx="264">
                  <c:v>1.52777777777778E-2</c:v>
                </c:pt>
                <c:pt idx="265">
                  <c:v>1.53356481481481E-2</c:v>
                </c:pt>
                <c:pt idx="266">
                  <c:v>1.5393518518518501E-2</c:v>
                </c:pt>
                <c:pt idx="267">
                  <c:v>1.54513888888889E-2</c:v>
                </c:pt>
                <c:pt idx="268">
                  <c:v>1.5509259259259301E-2</c:v>
                </c:pt>
                <c:pt idx="269">
                  <c:v>1.5567129629629599E-2</c:v>
                </c:pt>
                <c:pt idx="270">
                  <c:v>1.5625E-2</c:v>
                </c:pt>
                <c:pt idx="271">
                  <c:v>1.5682870370370399E-2</c:v>
                </c:pt>
                <c:pt idx="272">
                  <c:v>1.5740740740740701E-2</c:v>
                </c:pt>
                <c:pt idx="273">
                  <c:v>1.57986111111111E-2</c:v>
                </c:pt>
                <c:pt idx="274">
                  <c:v>1.5856481481481499E-2</c:v>
                </c:pt>
                <c:pt idx="275">
                  <c:v>1.5914351851851801E-2</c:v>
                </c:pt>
                <c:pt idx="276">
                  <c:v>1.59722222222222E-2</c:v>
                </c:pt>
                <c:pt idx="277">
                  <c:v>1.6030092592592599E-2</c:v>
                </c:pt>
                <c:pt idx="278">
                  <c:v>1.6087962962962998E-2</c:v>
                </c:pt>
                <c:pt idx="279">
                  <c:v>1.61458333333333E-2</c:v>
                </c:pt>
                <c:pt idx="280">
                  <c:v>1.6203703703703699E-2</c:v>
                </c:pt>
                <c:pt idx="281">
                  <c:v>1.6261574074074098E-2</c:v>
                </c:pt>
                <c:pt idx="282">
                  <c:v>1.63194444444444E-2</c:v>
                </c:pt>
                <c:pt idx="283">
                  <c:v>1.6377314814814799E-2</c:v>
                </c:pt>
                <c:pt idx="284">
                  <c:v>1.6435185185185198E-2</c:v>
                </c:pt>
                <c:pt idx="285">
                  <c:v>1.6493055555555601E-2</c:v>
                </c:pt>
                <c:pt idx="286">
                  <c:v>1.65509259259259E-2</c:v>
                </c:pt>
                <c:pt idx="287">
                  <c:v>1.6608796296296299E-2</c:v>
                </c:pt>
                <c:pt idx="288">
                  <c:v>1.6666666666666701E-2</c:v>
                </c:pt>
                <c:pt idx="289">
                  <c:v>1.6724537037037E-2</c:v>
                </c:pt>
                <c:pt idx="290">
                  <c:v>1.6782407407407399E-2</c:v>
                </c:pt>
                <c:pt idx="291">
                  <c:v>1.6840277777777801E-2</c:v>
                </c:pt>
                <c:pt idx="292">
                  <c:v>1.68981481481481E-2</c:v>
                </c:pt>
                <c:pt idx="293">
                  <c:v>1.6956018518518499E-2</c:v>
                </c:pt>
                <c:pt idx="294">
                  <c:v>1.7013888888888901E-2</c:v>
                </c:pt>
                <c:pt idx="295">
                  <c:v>1.70717592592593E-2</c:v>
                </c:pt>
                <c:pt idx="296">
                  <c:v>1.7129629629629599E-2</c:v>
                </c:pt>
                <c:pt idx="297">
                  <c:v>1.7187500000000001E-2</c:v>
                </c:pt>
                <c:pt idx="298">
                  <c:v>1.72453703703704E-2</c:v>
                </c:pt>
                <c:pt idx="299">
                  <c:v>1.7303240740740699E-2</c:v>
                </c:pt>
                <c:pt idx="300">
                  <c:v>1.7361111111111101E-2</c:v>
                </c:pt>
                <c:pt idx="301">
                  <c:v>1.7418981481481501E-2</c:v>
                </c:pt>
                <c:pt idx="302">
                  <c:v>1.74768518518519E-2</c:v>
                </c:pt>
                <c:pt idx="303">
                  <c:v>1.7534722222222202E-2</c:v>
                </c:pt>
                <c:pt idx="304">
                  <c:v>1.7592592592592601E-2</c:v>
                </c:pt>
                <c:pt idx="305">
                  <c:v>1.7650462962963E-2</c:v>
                </c:pt>
                <c:pt idx="306">
                  <c:v>1.7708333333333302E-2</c:v>
                </c:pt>
                <c:pt idx="307">
                  <c:v>1.7766203703703701E-2</c:v>
                </c:pt>
                <c:pt idx="308">
                  <c:v>1.78240740740741E-2</c:v>
                </c:pt>
                <c:pt idx="309">
                  <c:v>1.7881944444444402E-2</c:v>
                </c:pt>
                <c:pt idx="310">
                  <c:v>1.7939814814814801E-2</c:v>
                </c:pt>
                <c:pt idx="311">
                  <c:v>1.79976851851852E-2</c:v>
                </c:pt>
                <c:pt idx="312">
                  <c:v>1.8055555555555599E-2</c:v>
                </c:pt>
                <c:pt idx="313">
                  <c:v>1.8113425925925901E-2</c:v>
                </c:pt>
                <c:pt idx="314">
                  <c:v>1.81712962962963E-2</c:v>
                </c:pt>
                <c:pt idx="315">
                  <c:v>1.8229166666666699E-2</c:v>
                </c:pt>
                <c:pt idx="316">
                  <c:v>1.8287037037037001E-2</c:v>
                </c:pt>
                <c:pt idx="317">
                  <c:v>1.83449074074074E-2</c:v>
                </c:pt>
                <c:pt idx="318">
                  <c:v>1.8402777777777799E-2</c:v>
                </c:pt>
                <c:pt idx="319">
                  <c:v>1.8460648148148101E-2</c:v>
                </c:pt>
                <c:pt idx="320">
                  <c:v>1.85185185185185E-2</c:v>
                </c:pt>
                <c:pt idx="321">
                  <c:v>1.8576388888888899E-2</c:v>
                </c:pt>
                <c:pt idx="322">
                  <c:v>1.8634259259259298E-2</c:v>
                </c:pt>
                <c:pt idx="323">
                  <c:v>1.86921296296296E-2</c:v>
                </c:pt>
                <c:pt idx="324">
                  <c:v>1.8749999999999999E-2</c:v>
                </c:pt>
                <c:pt idx="325">
                  <c:v>1.8807870370370398E-2</c:v>
                </c:pt>
                <c:pt idx="326">
                  <c:v>1.88657407407407E-2</c:v>
                </c:pt>
                <c:pt idx="327">
                  <c:v>1.8923611111111099E-2</c:v>
                </c:pt>
                <c:pt idx="328">
                  <c:v>1.8981481481481498E-2</c:v>
                </c:pt>
                <c:pt idx="329">
                  <c:v>1.90393518518518E-2</c:v>
                </c:pt>
                <c:pt idx="330">
                  <c:v>1.9097222222222199E-2</c:v>
                </c:pt>
                <c:pt idx="331">
                  <c:v>1.9155092592592599E-2</c:v>
                </c:pt>
                <c:pt idx="332">
                  <c:v>1.9212962962963001E-2</c:v>
                </c:pt>
                <c:pt idx="333">
                  <c:v>1.92708333333333E-2</c:v>
                </c:pt>
                <c:pt idx="334">
                  <c:v>1.9328703703703699E-2</c:v>
                </c:pt>
                <c:pt idx="335">
                  <c:v>1.9386574074074101E-2</c:v>
                </c:pt>
                <c:pt idx="336">
                  <c:v>1.94444444444444E-2</c:v>
                </c:pt>
                <c:pt idx="337">
                  <c:v>1.9502314814814799E-2</c:v>
                </c:pt>
                <c:pt idx="338">
                  <c:v>1.9560185185185201E-2</c:v>
                </c:pt>
                <c:pt idx="339">
                  <c:v>1.96180555555556E-2</c:v>
                </c:pt>
                <c:pt idx="340">
                  <c:v>1.9675925925925899E-2</c:v>
                </c:pt>
                <c:pt idx="341">
                  <c:v>1.9733796296296301E-2</c:v>
                </c:pt>
                <c:pt idx="342">
                  <c:v>1.97916666666667E-2</c:v>
                </c:pt>
                <c:pt idx="343">
                  <c:v>1.9849537037036999E-2</c:v>
                </c:pt>
                <c:pt idx="344">
                  <c:v>1.9907407407407401E-2</c:v>
                </c:pt>
                <c:pt idx="345">
                  <c:v>1.9965277777777801E-2</c:v>
                </c:pt>
                <c:pt idx="346">
                  <c:v>2.0023148148148099E-2</c:v>
                </c:pt>
                <c:pt idx="347">
                  <c:v>2.0081018518518502E-2</c:v>
                </c:pt>
                <c:pt idx="348">
                  <c:v>2.0138888888888901E-2</c:v>
                </c:pt>
                <c:pt idx="349">
                  <c:v>2.01967592592593E-2</c:v>
                </c:pt>
                <c:pt idx="350">
                  <c:v>2.0254629629629602E-2</c:v>
                </c:pt>
                <c:pt idx="351">
                  <c:v>2.0312500000000001E-2</c:v>
                </c:pt>
                <c:pt idx="352">
                  <c:v>2.03703703703704E-2</c:v>
                </c:pt>
                <c:pt idx="353">
                  <c:v>2.0428240740740702E-2</c:v>
                </c:pt>
                <c:pt idx="354">
                  <c:v>2.0486111111111101E-2</c:v>
                </c:pt>
                <c:pt idx="355">
                  <c:v>2.05439814814815E-2</c:v>
                </c:pt>
                <c:pt idx="356">
                  <c:v>2.0601851851851899E-2</c:v>
                </c:pt>
                <c:pt idx="357">
                  <c:v>2.0659722222222201E-2</c:v>
                </c:pt>
                <c:pt idx="358">
                  <c:v>2.07175925925926E-2</c:v>
                </c:pt>
                <c:pt idx="359">
                  <c:v>2.0775462962962999E-2</c:v>
                </c:pt>
                <c:pt idx="360">
                  <c:v>2.0833333333333301E-2</c:v>
                </c:pt>
                <c:pt idx="361">
                  <c:v>2.08912037037037E-2</c:v>
                </c:pt>
                <c:pt idx="362">
                  <c:v>2.0949074074074099E-2</c:v>
                </c:pt>
                <c:pt idx="363">
                  <c:v>2.1006944444444401E-2</c:v>
                </c:pt>
                <c:pt idx="364">
                  <c:v>2.10648148148148E-2</c:v>
                </c:pt>
                <c:pt idx="365">
                  <c:v>2.1122685185185199E-2</c:v>
                </c:pt>
                <c:pt idx="366">
                  <c:v>2.1180555555555598E-2</c:v>
                </c:pt>
                <c:pt idx="367">
                  <c:v>2.12384259259259E-2</c:v>
                </c:pt>
                <c:pt idx="368">
                  <c:v>2.1296296296296299E-2</c:v>
                </c:pt>
                <c:pt idx="369">
                  <c:v>2.1354166666666698E-2</c:v>
                </c:pt>
                <c:pt idx="370">
                  <c:v>2.1412037037037E-2</c:v>
                </c:pt>
                <c:pt idx="371">
                  <c:v>2.1469907407407399E-2</c:v>
                </c:pt>
                <c:pt idx="372">
                  <c:v>2.1527777777777798E-2</c:v>
                </c:pt>
                <c:pt idx="373">
                  <c:v>2.15856481481481E-2</c:v>
                </c:pt>
                <c:pt idx="374">
                  <c:v>2.1643518518518499E-2</c:v>
                </c:pt>
                <c:pt idx="375">
                  <c:v>2.1701388888888899E-2</c:v>
                </c:pt>
                <c:pt idx="376">
                  <c:v>2.1759259259259301E-2</c:v>
                </c:pt>
                <c:pt idx="377">
                  <c:v>2.18171296296296E-2</c:v>
                </c:pt>
                <c:pt idx="378">
                  <c:v>2.1874999999999999E-2</c:v>
                </c:pt>
                <c:pt idx="379">
                  <c:v>2.1932870370370401E-2</c:v>
                </c:pt>
                <c:pt idx="380">
                  <c:v>2.19907407407407E-2</c:v>
                </c:pt>
                <c:pt idx="381">
                  <c:v>2.2048611111111099E-2</c:v>
                </c:pt>
                <c:pt idx="382">
                  <c:v>2.2106481481481501E-2</c:v>
                </c:pt>
                <c:pt idx="383">
                  <c:v>2.21643518518519E-2</c:v>
                </c:pt>
                <c:pt idx="384">
                  <c:v>2.2222222222222199E-2</c:v>
                </c:pt>
                <c:pt idx="385">
                  <c:v>2.2280092592592601E-2</c:v>
                </c:pt>
                <c:pt idx="386">
                  <c:v>2.2337962962963E-2</c:v>
                </c:pt>
                <c:pt idx="387">
                  <c:v>2.2395833333333299E-2</c:v>
                </c:pt>
                <c:pt idx="388">
                  <c:v>2.2453703703703701E-2</c:v>
                </c:pt>
                <c:pt idx="389">
                  <c:v>2.25115740740741E-2</c:v>
                </c:pt>
                <c:pt idx="390">
                  <c:v>2.2569444444444399E-2</c:v>
                </c:pt>
                <c:pt idx="391">
                  <c:v>2.2627314814814802E-2</c:v>
                </c:pt>
                <c:pt idx="392">
                  <c:v>2.2685185185185201E-2</c:v>
                </c:pt>
                <c:pt idx="393">
                  <c:v>2.27430555555556E-2</c:v>
                </c:pt>
                <c:pt idx="394">
                  <c:v>2.2800925925925902E-2</c:v>
                </c:pt>
                <c:pt idx="395">
                  <c:v>2.2858796296296301E-2</c:v>
                </c:pt>
                <c:pt idx="396">
                  <c:v>2.29166666666667E-2</c:v>
                </c:pt>
                <c:pt idx="397">
                  <c:v>2.2974537037037002E-2</c:v>
                </c:pt>
                <c:pt idx="398">
                  <c:v>2.3032407407407401E-2</c:v>
                </c:pt>
                <c:pt idx="399">
                  <c:v>2.30902777777778E-2</c:v>
                </c:pt>
                <c:pt idx="400">
                  <c:v>2.3148148148148098E-2</c:v>
                </c:pt>
                <c:pt idx="401">
                  <c:v>2.3206018518518501E-2</c:v>
                </c:pt>
                <c:pt idx="402">
                  <c:v>2.32638888888889E-2</c:v>
                </c:pt>
                <c:pt idx="403">
                  <c:v>2.3321759259259299E-2</c:v>
                </c:pt>
                <c:pt idx="404">
                  <c:v>2.3379629629629601E-2</c:v>
                </c:pt>
                <c:pt idx="405">
                  <c:v>2.34375E-2</c:v>
                </c:pt>
                <c:pt idx="406">
                  <c:v>2.3495370370370399E-2</c:v>
                </c:pt>
                <c:pt idx="407">
                  <c:v>2.3553240740740701E-2</c:v>
                </c:pt>
                <c:pt idx="408">
                  <c:v>2.36111111111111E-2</c:v>
                </c:pt>
                <c:pt idx="409">
                  <c:v>2.3668981481481499E-2</c:v>
                </c:pt>
                <c:pt idx="410">
                  <c:v>2.3726851851851801E-2</c:v>
                </c:pt>
                <c:pt idx="411">
                  <c:v>2.37847222222222E-2</c:v>
                </c:pt>
                <c:pt idx="412">
                  <c:v>2.3842592592592599E-2</c:v>
                </c:pt>
                <c:pt idx="413">
                  <c:v>2.3900462962962998E-2</c:v>
                </c:pt>
                <c:pt idx="414">
                  <c:v>2.39583333333333E-2</c:v>
                </c:pt>
                <c:pt idx="415">
                  <c:v>2.4016203703703699E-2</c:v>
                </c:pt>
                <c:pt idx="416">
                  <c:v>2.4074074074074098E-2</c:v>
                </c:pt>
                <c:pt idx="417">
                  <c:v>2.41319444444444E-2</c:v>
                </c:pt>
                <c:pt idx="418">
                  <c:v>2.4189814814814799E-2</c:v>
                </c:pt>
                <c:pt idx="419">
                  <c:v>2.4247685185185198E-2</c:v>
                </c:pt>
                <c:pt idx="420">
                  <c:v>2.4305555555555601E-2</c:v>
                </c:pt>
                <c:pt idx="421">
                  <c:v>2.43634259259259E-2</c:v>
                </c:pt>
                <c:pt idx="422">
                  <c:v>2.4421296296296299E-2</c:v>
                </c:pt>
                <c:pt idx="423">
                  <c:v>2.4479166666666701E-2</c:v>
                </c:pt>
                <c:pt idx="424">
                  <c:v>2.4537037037037E-2</c:v>
                </c:pt>
                <c:pt idx="425">
                  <c:v>2.4594907407407399E-2</c:v>
                </c:pt>
                <c:pt idx="426">
                  <c:v>2.4652777777777801E-2</c:v>
                </c:pt>
                <c:pt idx="427">
                  <c:v>2.47106481481481E-2</c:v>
                </c:pt>
                <c:pt idx="428">
                  <c:v>2.4768518518518499E-2</c:v>
                </c:pt>
                <c:pt idx="429">
                  <c:v>2.4826388888888901E-2</c:v>
                </c:pt>
                <c:pt idx="430">
                  <c:v>2.48842592592593E-2</c:v>
                </c:pt>
                <c:pt idx="431">
                  <c:v>2.4942129629629599E-2</c:v>
                </c:pt>
                <c:pt idx="432">
                  <c:v>2.5000000000000001E-2</c:v>
                </c:pt>
                <c:pt idx="433">
                  <c:v>2.50578703703704E-2</c:v>
                </c:pt>
                <c:pt idx="434">
                  <c:v>2.5115740740740699E-2</c:v>
                </c:pt>
                <c:pt idx="435">
                  <c:v>2.5173611111111101E-2</c:v>
                </c:pt>
                <c:pt idx="436">
                  <c:v>2.5231481481481501E-2</c:v>
                </c:pt>
                <c:pt idx="437">
                  <c:v>2.52893518518519E-2</c:v>
                </c:pt>
                <c:pt idx="438">
                  <c:v>2.5347222222222202E-2</c:v>
                </c:pt>
                <c:pt idx="439">
                  <c:v>2.5405092592592601E-2</c:v>
                </c:pt>
                <c:pt idx="440">
                  <c:v>2.5462962962963E-2</c:v>
                </c:pt>
                <c:pt idx="441">
                  <c:v>2.5520833333333302E-2</c:v>
                </c:pt>
                <c:pt idx="442">
                  <c:v>2.5578703703703701E-2</c:v>
                </c:pt>
                <c:pt idx="443">
                  <c:v>2.56365740740741E-2</c:v>
                </c:pt>
                <c:pt idx="444">
                  <c:v>2.5694444444444402E-2</c:v>
                </c:pt>
                <c:pt idx="445">
                  <c:v>2.5752314814814801E-2</c:v>
                </c:pt>
                <c:pt idx="446">
                  <c:v>2.58101851851852E-2</c:v>
                </c:pt>
                <c:pt idx="447">
                  <c:v>2.5868055555555599E-2</c:v>
                </c:pt>
                <c:pt idx="448">
                  <c:v>2.5925925925925901E-2</c:v>
                </c:pt>
                <c:pt idx="449">
                  <c:v>2.59837962962963E-2</c:v>
                </c:pt>
                <c:pt idx="450">
                  <c:v>2.6041666666666699E-2</c:v>
                </c:pt>
                <c:pt idx="451">
                  <c:v>2.6099537037037001E-2</c:v>
                </c:pt>
                <c:pt idx="452">
                  <c:v>2.61574074074074E-2</c:v>
                </c:pt>
                <c:pt idx="453">
                  <c:v>2.6215277777777799E-2</c:v>
                </c:pt>
                <c:pt idx="454">
                  <c:v>2.6273148148148101E-2</c:v>
                </c:pt>
                <c:pt idx="455">
                  <c:v>2.63310185185185E-2</c:v>
                </c:pt>
                <c:pt idx="456">
                  <c:v>2.6388888888888899E-2</c:v>
                </c:pt>
                <c:pt idx="457">
                  <c:v>2.6446759259259298E-2</c:v>
                </c:pt>
                <c:pt idx="458">
                  <c:v>2.6504629629629701E-2</c:v>
                </c:pt>
                <c:pt idx="459">
                  <c:v>2.65625000000001E-2</c:v>
                </c:pt>
                <c:pt idx="460">
                  <c:v>2.6620370370370499E-2</c:v>
                </c:pt>
                <c:pt idx="461">
                  <c:v>2.6678240740740902E-2</c:v>
                </c:pt>
                <c:pt idx="462">
                  <c:v>2.6736111111111301E-2</c:v>
                </c:pt>
                <c:pt idx="463">
                  <c:v>2.67939814814817E-2</c:v>
                </c:pt>
              </c:numCache>
            </c:numRef>
          </c:xVal>
          <c:yVal>
            <c:numRef>
              <c:f>Hartslagen!$C$5968:$C$6431</c:f>
              <c:numCache>
                <c:formatCode>General</c:formatCode>
                <c:ptCount val="464"/>
                <c:pt idx="0">
                  <c:v>78</c:v>
                </c:pt>
                <c:pt idx="1">
                  <c:v>78</c:v>
                </c:pt>
                <c:pt idx="2">
                  <c:v>100</c:v>
                </c:pt>
                <c:pt idx="3">
                  <c:v>103</c:v>
                </c:pt>
                <c:pt idx="4">
                  <c:v>127</c:v>
                </c:pt>
                <c:pt idx="5">
                  <c:v>127</c:v>
                </c:pt>
                <c:pt idx="6">
                  <c:v>141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146</c:v>
                </c:pt>
                <c:pt idx="12">
                  <c:v>146</c:v>
                </c:pt>
                <c:pt idx="13">
                  <c:v>147</c:v>
                </c:pt>
                <c:pt idx="14">
                  <c:v>148</c:v>
                </c:pt>
                <c:pt idx="15">
                  <c:v>148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149</c:v>
                </c:pt>
                <c:pt idx="21">
                  <c:v>149</c:v>
                </c:pt>
                <c:pt idx="22">
                  <c:v>149</c:v>
                </c:pt>
                <c:pt idx="23">
                  <c:v>149</c:v>
                </c:pt>
                <c:pt idx="24">
                  <c:v>149</c:v>
                </c:pt>
                <c:pt idx="25">
                  <c:v>149</c:v>
                </c:pt>
                <c:pt idx="26">
                  <c:v>147</c:v>
                </c:pt>
                <c:pt idx="27">
                  <c:v>147</c:v>
                </c:pt>
                <c:pt idx="28">
                  <c:v>147</c:v>
                </c:pt>
                <c:pt idx="29">
                  <c:v>147</c:v>
                </c:pt>
                <c:pt idx="30">
                  <c:v>147</c:v>
                </c:pt>
                <c:pt idx="31">
                  <c:v>146</c:v>
                </c:pt>
                <c:pt idx="32">
                  <c:v>146</c:v>
                </c:pt>
                <c:pt idx="33">
                  <c:v>146</c:v>
                </c:pt>
                <c:pt idx="34">
                  <c:v>146</c:v>
                </c:pt>
                <c:pt idx="35">
                  <c:v>147</c:v>
                </c:pt>
                <c:pt idx="36">
                  <c:v>147</c:v>
                </c:pt>
                <c:pt idx="37">
                  <c:v>146</c:v>
                </c:pt>
                <c:pt idx="38">
                  <c:v>146</c:v>
                </c:pt>
                <c:pt idx="39">
                  <c:v>145</c:v>
                </c:pt>
                <c:pt idx="40">
                  <c:v>142</c:v>
                </c:pt>
                <c:pt idx="41">
                  <c:v>143</c:v>
                </c:pt>
                <c:pt idx="42">
                  <c:v>145</c:v>
                </c:pt>
                <c:pt idx="43">
                  <c:v>145</c:v>
                </c:pt>
                <c:pt idx="44">
                  <c:v>145</c:v>
                </c:pt>
                <c:pt idx="45">
                  <c:v>144</c:v>
                </c:pt>
                <c:pt idx="46">
                  <c:v>144</c:v>
                </c:pt>
                <c:pt idx="47">
                  <c:v>144</c:v>
                </c:pt>
                <c:pt idx="48">
                  <c:v>144</c:v>
                </c:pt>
                <c:pt idx="49">
                  <c:v>143</c:v>
                </c:pt>
                <c:pt idx="50">
                  <c:v>145</c:v>
                </c:pt>
                <c:pt idx="51">
                  <c:v>145</c:v>
                </c:pt>
                <c:pt idx="52">
                  <c:v>148</c:v>
                </c:pt>
                <c:pt idx="53">
                  <c:v>148</c:v>
                </c:pt>
                <c:pt idx="54">
                  <c:v>147</c:v>
                </c:pt>
                <c:pt idx="55">
                  <c:v>150</c:v>
                </c:pt>
                <c:pt idx="56">
                  <c:v>150</c:v>
                </c:pt>
                <c:pt idx="57">
                  <c:v>151</c:v>
                </c:pt>
                <c:pt idx="58">
                  <c:v>151</c:v>
                </c:pt>
                <c:pt idx="59">
                  <c:v>143</c:v>
                </c:pt>
                <c:pt idx="60">
                  <c:v>138</c:v>
                </c:pt>
                <c:pt idx="61">
                  <c:v>130</c:v>
                </c:pt>
                <c:pt idx="62">
                  <c:v>124</c:v>
                </c:pt>
                <c:pt idx="63">
                  <c:v>120</c:v>
                </c:pt>
                <c:pt idx="64">
                  <c:v>111</c:v>
                </c:pt>
                <c:pt idx="65">
                  <c:v>102</c:v>
                </c:pt>
                <c:pt idx="66">
                  <c:v>96</c:v>
                </c:pt>
                <c:pt idx="67">
                  <c:v>93</c:v>
                </c:pt>
                <c:pt idx="68">
                  <c:v>91</c:v>
                </c:pt>
                <c:pt idx="69">
                  <c:v>88</c:v>
                </c:pt>
                <c:pt idx="70">
                  <c:v>85</c:v>
                </c:pt>
                <c:pt idx="71">
                  <c:v>96</c:v>
                </c:pt>
                <c:pt idx="72">
                  <c:v>114</c:v>
                </c:pt>
                <c:pt idx="73">
                  <c:v>121</c:v>
                </c:pt>
                <c:pt idx="74">
                  <c:v>128</c:v>
                </c:pt>
                <c:pt idx="75">
                  <c:v>132</c:v>
                </c:pt>
                <c:pt idx="76">
                  <c:v>137</c:v>
                </c:pt>
                <c:pt idx="77">
                  <c:v>141</c:v>
                </c:pt>
                <c:pt idx="78">
                  <c:v>144</c:v>
                </c:pt>
                <c:pt idx="79">
                  <c:v>145</c:v>
                </c:pt>
                <c:pt idx="80">
                  <c:v>149</c:v>
                </c:pt>
                <c:pt idx="81">
                  <c:v>150</c:v>
                </c:pt>
                <c:pt idx="82">
                  <c:v>150</c:v>
                </c:pt>
                <c:pt idx="83">
                  <c:v>151</c:v>
                </c:pt>
                <c:pt idx="84">
                  <c:v>153</c:v>
                </c:pt>
                <c:pt idx="85">
                  <c:v>153</c:v>
                </c:pt>
                <c:pt idx="86">
                  <c:v>155</c:v>
                </c:pt>
                <c:pt idx="87">
                  <c:v>155</c:v>
                </c:pt>
                <c:pt idx="88">
                  <c:v>155</c:v>
                </c:pt>
                <c:pt idx="89">
                  <c:v>155</c:v>
                </c:pt>
                <c:pt idx="90">
                  <c:v>154</c:v>
                </c:pt>
                <c:pt idx="91">
                  <c:v>154</c:v>
                </c:pt>
                <c:pt idx="92">
                  <c:v>155</c:v>
                </c:pt>
                <c:pt idx="93">
                  <c:v>156</c:v>
                </c:pt>
                <c:pt idx="94">
                  <c:v>156</c:v>
                </c:pt>
                <c:pt idx="95">
                  <c:v>155</c:v>
                </c:pt>
                <c:pt idx="96">
                  <c:v>156</c:v>
                </c:pt>
                <c:pt idx="97">
                  <c:v>156</c:v>
                </c:pt>
                <c:pt idx="98">
                  <c:v>157</c:v>
                </c:pt>
                <c:pt idx="99">
                  <c:v>156</c:v>
                </c:pt>
                <c:pt idx="100">
                  <c:v>156</c:v>
                </c:pt>
                <c:pt idx="101">
                  <c:v>155</c:v>
                </c:pt>
                <c:pt idx="102">
                  <c:v>155</c:v>
                </c:pt>
                <c:pt idx="103">
                  <c:v>155</c:v>
                </c:pt>
                <c:pt idx="104">
                  <c:v>156</c:v>
                </c:pt>
                <c:pt idx="105">
                  <c:v>156</c:v>
                </c:pt>
                <c:pt idx="106">
                  <c:v>154</c:v>
                </c:pt>
                <c:pt idx="107">
                  <c:v>155</c:v>
                </c:pt>
                <c:pt idx="108">
                  <c:v>155</c:v>
                </c:pt>
                <c:pt idx="109">
                  <c:v>154</c:v>
                </c:pt>
                <c:pt idx="110">
                  <c:v>153</c:v>
                </c:pt>
                <c:pt idx="111">
                  <c:v>154</c:v>
                </c:pt>
                <c:pt idx="112">
                  <c:v>153</c:v>
                </c:pt>
                <c:pt idx="113">
                  <c:v>152</c:v>
                </c:pt>
                <c:pt idx="114">
                  <c:v>152</c:v>
                </c:pt>
                <c:pt idx="115">
                  <c:v>151</c:v>
                </c:pt>
                <c:pt idx="116">
                  <c:v>151</c:v>
                </c:pt>
                <c:pt idx="117">
                  <c:v>151</c:v>
                </c:pt>
                <c:pt idx="118">
                  <c:v>152</c:v>
                </c:pt>
                <c:pt idx="119">
                  <c:v>153</c:v>
                </c:pt>
                <c:pt idx="120">
                  <c:v>153</c:v>
                </c:pt>
                <c:pt idx="121">
                  <c:v>153</c:v>
                </c:pt>
                <c:pt idx="122">
                  <c:v>153</c:v>
                </c:pt>
                <c:pt idx="123">
                  <c:v>155</c:v>
                </c:pt>
                <c:pt idx="124">
                  <c:v>156</c:v>
                </c:pt>
                <c:pt idx="125">
                  <c:v>156</c:v>
                </c:pt>
                <c:pt idx="126">
                  <c:v>153</c:v>
                </c:pt>
                <c:pt idx="127">
                  <c:v>151</c:v>
                </c:pt>
                <c:pt idx="128">
                  <c:v>150</c:v>
                </c:pt>
                <c:pt idx="129">
                  <c:v>139</c:v>
                </c:pt>
                <c:pt idx="130">
                  <c:v>135</c:v>
                </c:pt>
                <c:pt idx="131">
                  <c:v>128</c:v>
                </c:pt>
                <c:pt idx="132">
                  <c:v>123</c:v>
                </c:pt>
                <c:pt idx="133">
                  <c:v>117</c:v>
                </c:pt>
                <c:pt idx="134">
                  <c:v>113</c:v>
                </c:pt>
                <c:pt idx="135">
                  <c:v>112</c:v>
                </c:pt>
                <c:pt idx="136">
                  <c:v>107</c:v>
                </c:pt>
                <c:pt idx="137">
                  <c:v>104</c:v>
                </c:pt>
                <c:pt idx="138">
                  <c:v>102</c:v>
                </c:pt>
                <c:pt idx="139">
                  <c:v>111</c:v>
                </c:pt>
                <c:pt idx="140">
                  <c:v>111</c:v>
                </c:pt>
                <c:pt idx="141">
                  <c:v>133</c:v>
                </c:pt>
                <c:pt idx="142">
                  <c:v>138</c:v>
                </c:pt>
                <c:pt idx="143">
                  <c:v>141</c:v>
                </c:pt>
                <c:pt idx="144">
                  <c:v>145</c:v>
                </c:pt>
                <c:pt idx="145">
                  <c:v>148</c:v>
                </c:pt>
                <c:pt idx="146">
                  <c:v>149</c:v>
                </c:pt>
                <c:pt idx="147">
                  <c:v>152</c:v>
                </c:pt>
                <c:pt idx="148">
                  <c:v>154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156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159</c:v>
                </c:pt>
                <c:pt idx="160">
                  <c:v>160</c:v>
                </c:pt>
                <c:pt idx="161">
                  <c:v>160</c:v>
                </c:pt>
                <c:pt idx="162">
                  <c:v>159</c:v>
                </c:pt>
                <c:pt idx="163">
                  <c:v>160</c:v>
                </c:pt>
                <c:pt idx="164">
                  <c:v>160</c:v>
                </c:pt>
                <c:pt idx="165">
                  <c:v>160</c:v>
                </c:pt>
                <c:pt idx="166">
                  <c:v>160</c:v>
                </c:pt>
                <c:pt idx="167">
                  <c:v>160</c:v>
                </c:pt>
                <c:pt idx="168">
                  <c:v>160</c:v>
                </c:pt>
                <c:pt idx="169">
                  <c:v>159</c:v>
                </c:pt>
                <c:pt idx="170">
                  <c:v>158</c:v>
                </c:pt>
                <c:pt idx="171">
                  <c:v>158</c:v>
                </c:pt>
                <c:pt idx="172">
                  <c:v>158</c:v>
                </c:pt>
                <c:pt idx="173">
                  <c:v>158</c:v>
                </c:pt>
                <c:pt idx="174">
                  <c:v>158</c:v>
                </c:pt>
                <c:pt idx="175">
                  <c:v>159</c:v>
                </c:pt>
                <c:pt idx="176">
                  <c:v>157</c:v>
                </c:pt>
                <c:pt idx="177">
                  <c:v>157</c:v>
                </c:pt>
                <c:pt idx="178">
                  <c:v>158</c:v>
                </c:pt>
                <c:pt idx="179">
                  <c:v>158</c:v>
                </c:pt>
                <c:pt idx="180">
                  <c:v>158</c:v>
                </c:pt>
                <c:pt idx="181">
                  <c:v>158</c:v>
                </c:pt>
                <c:pt idx="182">
                  <c:v>159</c:v>
                </c:pt>
                <c:pt idx="183">
                  <c:v>159</c:v>
                </c:pt>
                <c:pt idx="184">
                  <c:v>159</c:v>
                </c:pt>
                <c:pt idx="185">
                  <c:v>161</c:v>
                </c:pt>
                <c:pt idx="186">
                  <c:v>161</c:v>
                </c:pt>
                <c:pt idx="187">
                  <c:v>160</c:v>
                </c:pt>
                <c:pt idx="188">
                  <c:v>160</c:v>
                </c:pt>
                <c:pt idx="189">
                  <c:v>160</c:v>
                </c:pt>
                <c:pt idx="190">
                  <c:v>161</c:v>
                </c:pt>
                <c:pt idx="191">
                  <c:v>161</c:v>
                </c:pt>
                <c:pt idx="192">
                  <c:v>161</c:v>
                </c:pt>
                <c:pt idx="193">
                  <c:v>158</c:v>
                </c:pt>
                <c:pt idx="194">
                  <c:v>154</c:v>
                </c:pt>
                <c:pt idx="195">
                  <c:v>147</c:v>
                </c:pt>
                <c:pt idx="196">
                  <c:v>144</c:v>
                </c:pt>
                <c:pt idx="197">
                  <c:v>144</c:v>
                </c:pt>
                <c:pt idx="198">
                  <c:v>120</c:v>
                </c:pt>
                <c:pt idx="199">
                  <c:v>117</c:v>
                </c:pt>
                <c:pt idx="200">
                  <c:v>115</c:v>
                </c:pt>
                <c:pt idx="201">
                  <c:v>114</c:v>
                </c:pt>
                <c:pt idx="202">
                  <c:v>112</c:v>
                </c:pt>
                <c:pt idx="203">
                  <c:v>109</c:v>
                </c:pt>
                <c:pt idx="204">
                  <c:v>107</c:v>
                </c:pt>
                <c:pt idx="205">
                  <c:v>119</c:v>
                </c:pt>
                <c:pt idx="206">
                  <c:v>126</c:v>
                </c:pt>
                <c:pt idx="207">
                  <c:v>132</c:v>
                </c:pt>
                <c:pt idx="208">
                  <c:v>132</c:v>
                </c:pt>
                <c:pt idx="209">
                  <c:v>144</c:v>
                </c:pt>
                <c:pt idx="210">
                  <c:v>145</c:v>
                </c:pt>
                <c:pt idx="211">
                  <c:v>149</c:v>
                </c:pt>
                <c:pt idx="212">
                  <c:v>151</c:v>
                </c:pt>
                <c:pt idx="213">
                  <c:v>151</c:v>
                </c:pt>
                <c:pt idx="214">
                  <c:v>153</c:v>
                </c:pt>
                <c:pt idx="215">
                  <c:v>154</c:v>
                </c:pt>
                <c:pt idx="216">
                  <c:v>156</c:v>
                </c:pt>
                <c:pt idx="217">
                  <c:v>158</c:v>
                </c:pt>
                <c:pt idx="218">
                  <c:v>160</c:v>
                </c:pt>
                <c:pt idx="219">
                  <c:v>162</c:v>
                </c:pt>
                <c:pt idx="220">
                  <c:v>163</c:v>
                </c:pt>
                <c:pt idx="221">
                  <c:v>163</c:v>
                </c:pt>
                <c:pt idx="222">
                  <c:v>164</c:v>
                </c:pt>
                <c:pt idx="223">
                  <c:v>164</c:v>
                </c:pt>
                <c:pt idx="224">
                  <c:v>164</c:v>
                </c:pt>
                <c:pt idx="225">
                  <c:v>163</c:v>
                </c:pt>
                <c:pt idx="226">
                  <c:v>163</c:v>
                </c:pt>
                <c:pt idx="227">
                  <c:v>164</c:v>
                </c:pt>
                <c:pt idx="228">
                  <c:v>164</c:v>
                </c:pt>
                <c:pt idx="229">
                  <c:v>164</c:v>
                </c:pt>
                <c:pt idx="230">
                  <c:v>164</c:v>
                </c:pt>
                <c:pt idx="231">
                  <c:v>164</c:v>
                </c:pt>
                <c:pt idx="232">
                  <c:v>164</c:v>
                </c:pt>
                <c:pt idx="233">
                  <c:v>163</c:v>
                </c:pt>
                <c:pt idx="234">
                  <c:v>164</c:v>
                </c:pt>
                <c:pt idx="235">
                  <c:v>166</c:v>
                </c:pt>
                <c:pt idx="236">
                  <c:v>166</c:v>
                </c:pt>
                <c:pt idx="237">
                  <c:v>166</c:v>
                </c:pt>
                <c:pt idx="238">
                  <c:v>166</c:v>
                </c:pt>
                <c:pt idx="239">
                  <c:v>166</c:v>
                </c:pt>
                <c:pt idx="240">
                  <c:v>165</c:v>
                </c:pt>
                <c:pt idx="241">
                  <c:v>165</c:v>
                </c:pt>
                <c:pt idx="242">
                  <c:v>163</c:v>
                </c:pt>
                <c:pt idx="243">
                  <c:v>164</c:v>
                </c:pt>
                <c:pt idx="244">
                  <c:v>163</c:v>
                </c:pt>
                <c:pt idx="245">
                  <c:v>164</c:v>
                </c:pt>
                <c:pt idx="246">
                  <c:v>164</c:v>
                </c:pt>
                <c:pt idx="247">
                  <c:v>165</c:v>
                </c:pt>
                <c:pt idx="248">
                  <c:v>166</c:v>
                </c:pt>
                <c:pt idx="249">
                  <c:v>166</c:v>
                </c:pt>
                <c:pt idx="250">
                  <c:v>163</c:v>
                </c:pt>
                <c:pt idx="251">
                  <c:v>164</c:v>
                </c:pt>
                <c:pt idx="252">
                  <c:v>165</c:v>
                </c:pt>
                <c:pt idx="253">
                  <c:v>165</c:v>
                </c:pt>
                <c:pt idx="254">
                  <c:v>165</c:v>
                </c:pt>
                <c:pt idx="255">
                  <c:v>164</c:v>
                </c:pt>
                <c:pt idx="256">
                  <c:v>165</c:v>
                </c:pt>
                <c:pt idx="257">
                  <c:v>165</c:v>
                </c:pt>
                <c:pt idx="258">
                  <c:v>161</c:v>
                </c:pt>
                <c:pt idx="259">
                  <c:v>151</c:v>
                </c:pt>
                <c:pt idx="260">
                  <c:v>151</c:v>
                </c:pt>
                <c:pt idx="261">
                  <c:v>133</c:v>
                </c:pt>
                <c:pt idx="262">
                  <c:v>126</c:v>
                </c:pt>
                <c:pt idx="263">
                  <c:v>123</c:v>
                </c:pt>
                <c:pt idx="264">
                  <c:v>121</c:v>
                </c:pt>
                <c:pt idx="265">
                  <c:v>118</c:v>
                </c:pt>
                <c:pt idx="266">
                  <c:v>117</c:v>
                </c:pt>
                <c:pt idx="267">
                  <c:v>117</c:v>
                </c:pt>
                <c:pt idx="268">
                  <c:v>114</c:v>
                </c:pt>
                <c:pt idx="269">
                  <c:v>123</c:v>
                </c:pt>
                <c:pt idx="270">
                  <c:v>123</c:v>
                </c:pt>
                <c:pt idx="271">
                  <c:v>142</c:v>
                </c:pt>
                <c:pt idx="272">
                  <c:v>147</c:v>
                </c:pt>
                <c:pt idx="273">
                  <c:v>147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164</c:v>
                </c:pt>
                <c:pt idx="282">
                  <c:v>164</c:v>
                </c:pt>
                <c:pt idx="283">
                  <c:v>164</c:v>
                </c:pt>
                <c:pt idx="284">
                  <c:v>165</c:v>
                </c:pt>
                <c:pt idx="285">
                  <c:v>165</c:v>
                </c:pt>
                <c:pt idx="286">
                  <c:v>165</c:v>
                </c:pt>
                <c:pt idx="287">
                  <c:v>165</c:v>
                </c:pt>
                <c:pt idx="288">
                  <c:v>164</c:v>
                </c:pt>
                <c:pt idx="289">
                  <c:v>166</c:v>
                </c:pt>
                <c:pt idx="290">
                  <c:v>166</c:v>
                </c:pt>
                <c:pt idx="291">
                  <c:v>166</c:v>
                </c:pt>
                <c:pt idx="292">
                  <c:v>167</c:v>
                </c:pt>
                <c:pt idx="293">
                  <c:v>166</c:v>
                </c:pt>
                <c:pt idx="294">
                  <c:v>168</c:v>
                </c:pt>
                <c:pt idx="295">
                  <c:v>168</c:v>
                </c:pt>
                <c:pt idx="296">
                  <c:v>169</c:v>
                </c:pt>
                <c:pt idx="297">
                  <c:v>168</c:v>
                </c:pt>
                <c:pt idx="298">
                  <c:v>169</c:v>
                </c:pt>
                <c:pt idx="299">
                  <c:v>168</c:v>
                </c:pt>
                <c:pt idx="300">
                  <c:v>168</c:v>
                </c:pt>
                <c:pt idx="301">
                  <c:v>169</c:v>
                </c:pt>
                <c:pt idx="302">
                  <c:v>169</c:v>
                </c:pt>
                <c:pt idx="303">
                  <c:v>169</c:v>
                </c:pt>
                <c:pt idx="304">
                  <c:v>169</c:v>
                </c:pt>
                <c:pt idx="305">
                  <c:v>169</c:v>
                </c:pt>
                <c:pt idx="306">
                  <c:v>169</c:v>
                </c:pt>
                <c:pt idx="307">
                  <c:v>169</c:v>
                </c:pt>
                <c:pt idx="308">
                  <c:v>169</c:v>
                </c:pt>
                <c:pt idx="309">
                  <c:v>169</c:v>
                </c:pt>
                <c:pt idx="310">
                  <c:v>170</c:v>
                </c:pt>
                <c:pt idx="311">
                  <c:v>170</c:v>
                </c:pt>
                <c:pt idx="312">
                  <c:v>168</c:v>
                </c:pt>
                <c:pt idx="313">
                  <c:v>168</c:v>
                </c:pt>
                <c:pt idx="314">
                  <c:v>168</c:v>
                </c:pt>
                <c:pt idx="315">
                  <c:v>168</c:v>
                </c:pt>
                <c:pt idx="316">
                  <c:v>167</c:v>
                </c:pt>
                <c:pt idx="317">
                  <c:v>167</c:v>
                </c:pt>
                <c:pt idx="318">
                  <c:v>168</c:v>
                </c:pt>
                <c:pt idx="319">
                  <c:v>168</c:v>
                </c:pt>
                <c:pt idx="320">
                  <c:v>165</c:v>
                </c:pt>
                <c:pt idx="321">
                  <c:v>162</c:v>
                </c:pt>
                <c:pt idx="322">
                  <c:v>157</c:v>
                </c:pt>
                <c:pt idx="323">
                  <c:v>151</c:v>
                </c:pt>
                <c:pt idx="324">
                  <c:v>143</c:v>
                </c:pt>
                <c:pt idx="325">
                  <c:v>136</c:v>
                </c:pt>
                <c:pt idx="326">
                  <c:v>129</c:v>
                </c:pt>
                <c:pt idx="327">
                  <c:v>124</c:v>
                </c:pt>
                <c:pt idx="328">
                  <c:v>120</c:v>
                </c:pt>
                <c:pt idx="329">
                  <c:v>122</c:v>
                </c:pt>
                <c:pt idx="330">
                  <c:v>120</c:v>
                </c:pt>
                <c:pt idx="331">
                  <c:v>119</c:v>
                </c:pt>
                <c:pt idx="332">
                  <c:v>130</c:v>
                </c:pt>
                <c:pt idx="333">
                  <c:v>141</c:v>
                </c:pt>
                <c:pt idx="334">
                  <c:v>145</c:v>
                </c:pt>
                <c:pt idx="335">
                  <c:v>150</c:v>
                </c:pt>
                <c:pt idx="336">
                  <c:v>152</c:v>
                </c:pt>
                <c:pt idx="337">
                  <c:v>154</c:v>
                </c:pt>
                <c:pt idx="338">
                  <c:v>157</c:v>
                </c:pt>
                <c:pt idx="339">
                  <c:v>158</c:v>
                </c:pt>
                <c:pt idx="340">
                  <c:v>158</c:v>
                </c:pt>
                <c:pt idx="341">
                  <c:v>159</c:v>
                </c:pt>
                <c:pt idx="342">
                  <c:v>159</c:v>
                </c:pt>
                <c:pt idx="343">
                  <c:v>163</c:v>
                </c:pt>
                <c:pt idx="344">
                  <c:v>165</c:v>
                </c:pt>
                <c:pt idx="345">
                  <c:v>168</c:v>
                </c:pt>
                <c:pt idx="346">
                  <c:v>168</c:v>
                </c:pt>
                <c:pt idx="347">
                  <c:v>169</c:v>
                </c:pt>
                <c:pt idx="348">
                  <c:v>171</c:v>
                </c:pt>
                <c:pt idx="349">
                  <c:v>172</c:v>
                </c:pt>
                <c:pt idx="350">
                  <c:v>173</c:v>
                </c:pt>
                <c:pt idx="351">
                  <c:v>173</c:v>
                </c:pt>
                <c:pt idx="352">
                  <c:v>173</c:v>
                </c:pt>
                <c:pt idx="353">
                  <c:v>173</c:v>
                </c:pt>
                <c:pt idx="354">
                  <c:v>173</c:v>
                </c:pt>
                <c:pt idx="355">
                  <c:v>173</c:v>
                </c:pt>
                <c:pt idx="356">
                  <c:v>173</c:v>
                </c:pt>
                <c:pt idx="357">
                  <c:v>173</c:v>
                </c:pt>
                <c:pt idx="358">
                  <c:v>174</c:v>
                </c:pt>
                <c:pt idx="359">
                  <c:v>174</c:v>
                </c:pt>
                <c:pt idx="360">
                  <c:v>171</c:v>
                </c:pt>
                <c:pt idx="361">
                  <c:v>171</c:v>
                </c:pt>
                <c:pt idx="362">
                  <c:v>171</c:v>
                </c:pt>
                <c:pt idx="363">
                  <c:v>169</c:v>
                </c:pt>
                <c:pt idx="364">
                  <c:v>171</c:v>
                </c:pt>
                <c:pt idx="365">
                  <c:v>172</c:v>
                </c:pt>
                <c:pt idx="366">
                  <c:v>172</c:v>
                </c:pt>
                <c:pt idx="367">
                  <c:v>171</c:v>
                </c:pt>
                <c:pt idx="368">
                  <c:v>171</c:v>
                </c:pt>
                <c:pt idx="369">
                  <c:v>171</c:v>
                </c:pt>
                <c:pt idx="370">
                  <c:v>172</c:v>
                </c:pt>
                <c:pt idx="371">
                  <c:v>172</c:v>
                </c:pt>
                <c:pt idx="372">
                  <c:v>171</c:v>
                </c:pt>
                <c:pt idx="373">
                  <c:v>171</c:v>
                </c:pt>
                <c:pt idx="374">
                  <c:v>170</c:v>
                </c:pt>
                <c:pt idx="375">
                  <c:v>170</c:v>
                </c:pt>
                <c:pt idx="376">
                  <c:v>170</c:v>
                </c:pt>
                <c:pt idx="377">
                  <c:v>173</c:v>
                </c:pt>
                <c:pt idx="378">
                  <c:v>174</c:v>
                </c:pt>
                <c:pt idx="379">
                  <c:v>174</c:v>
                </c:pt>
                <c:pt idx="380">
                  <c:v>174</c:v>
                </c:pt>
                <c:pt idx="381">
                  <c:v>174</c:v>
                </c:pt>
                <c:pt idx="382">
                  <c:v>171</c:v>
                </c:pt>
                <c:pt idx="383">
                  <c:v>170</c:v>
                </c:pt>
                <c:pt idx="384">
                  <c:v>157</c:v>
                </c:pt>
                <c:pt idx="385">
                  <c:v>154</c:v>
                </c:pt>
                <c:pt idx="386">
                  <c:v>149</c:v>
                </c:pt>
                <c:pt idx="387">
                  <c:v>140</c:v>
                </c:pt>
                <c:pt idx="388">
                  <c:v>133</c:v>
                </c:pt>
                <c:pt idx="389">
                  <c:v>127</c:v>
                </c:pt>
                <c:pt idx="390">
                  <c:v>126</c:v>
                </c:pt>
                <c:pt idx="391">
                  <c:v>123</c:v>
                </c:pt>
                <c:pt idx="392">
                  <c:v>121</c:v>
                </c:pt>
                <c:pt idx="393">
                  <c:v>132</c:v>
                </c:pt>
                <c:pt idx="394">
                  <c:v>141</c:v>
                </c:pt>
                <c:pt idx="395">
                  <c:v>149</c:v>
                </c:pt>
                <c:pt idx="396">
                  <c:v>152</c:v>
                </c:pt>
                <c:pt idx="397">
                  <c:v>153</c:v>
                </c:pt>
                <c:pt idx="398">
                  <c:v>156</c:v>
                </c:pt>
                <c:pt idx="399">
                  <c:v>157</c:v>
                </c:pt>
                <c:pt idx="400">
                  <c:v>159</c:v>
                </c:pt>
                <c:pt idx="401">
                  <c:v>160</c:v>
                </c:pt>
                <c:pt idx="402">
                  <c:v>160</c:v>
                </c:pt>
                <c:pt idx="403">
                  <c:v>166</c:v>
                </c:pt>
                <c:pt idx="404">
                  <c:v>167</c:v>
                </c:pt>
                <c:pt idx="405">
                  <c:v>168</c:v>
                </c:pt>
                <c:pt idx="406">
                  <c:v>168</c:v>
                </c:pt>
                <c:pt idx="407">
                  <c:v>168</c:v>
                </c:pt>
                <c:pt idx="408">
                  <c:v>169</c:v>
                </c:pt>
                <c:pt idx="409">
                  <c:v>169</c:v>
                </c:pt>
                <c:pt idx="410">
                  <c:v>169</c:v>
                </c:pt>
                <c:pt idx="411">
                  <c:v>172</c:v>
                </c:pt>
                <c:pt idx="412">
                  <c:v>172</c:v>
                </c:pt>
                <c:pt idx="413">
                  <c:v>173</c:v>
                </c:pt>
                <c:pt idx="414">
                  <c:v>174</c:v>
                </c:pt>
                <c:pt idx="415">
                  <c:v>175</c:v>
                </c:pt>
                <c:pt idx="416">
                  <c:v>176</c:v>
                </c:pt>
                <c:pt idx="417">
                  <c:v>177</c:v>
                </c:pt>
                <c:pt idx="418">
                  <c:v>177</c:v>
                </c:pt>
                <c:pt idx="419">
                  <c:v>178</c:v>
                </c:pt>
                <c:pt idx="420">
                  <c:v>178</c:v>
                </c:pt>
                <c:pt idx="421">
                  <c:v>179</c:v>
                </c:pt>
                <c:pt idx="422">
                  <c:v>179</c:v>
                </c:pt>
                <c:pt idx="423">
                  <c:v>179</c:v>
                </c:pt>
                <c:pt idx="424">
                  <c:v>177</c:v>
                </c:pt>
                <c:pt idx="425">
                  <c:v>179</c:v>
                </c:pt>
                <c:pt idx="426">
                  <c:v>179</c:v>
                </c:pt>
                <c:pt idx="427">
                  <c:v>180</c:v>
                </c:pt>
                <c:pt idx="428">
                  <c:v>179</c:v>
                </c:pt>
                <c:pt idx="429">
                  <c:v>180</c:v>
                </c:pt>
                <c:pt idx="430">
                  <c:v>180</c:v>
                </c:pt>
                <c:pt idx="431">
                  <c:v>179</c:v>
                </c:pt>
                <c:pt idx="432">
                  <c:v>178</c:v>
                </c:pt>
                <c:pt idx="433">
                  <c:v>178</c:v>
                </c:pt>
                <c:pt idx="434">
                  <c:v>178</c:v>
                </c:pt>
                <c:pt idx="435">
                  <c:v>177</c:v>
                </c:pt>
                <c:pt idx="436">
                  <c:v>178</c:v>
                </c:pt>
                <c:pt idx="437">
                  <c:v>178</c:v>
                </c:pt>
                <c:pt idx="438">
                  <c:v>176</c:v>
                </c:pt>
                <c:pt idx="439">
                  <c:v>176</c:v>
                </c:pt>
                <c:pt idx="440">
                  <c:v>178</c:v>
                </c:pt>
                <c:pt idx="441">
                  <c:v>176</c:v>
                </c:pt>
                <c:pt idx="442">
                  <c:v>172</c:v>
                </c:pt>
                <c:pt idx="443">
                  <c:v>167</c:v>
                </c:pt>
                <c:pt idx="444">
                  <c:v>162</c:v>
                </c:pt>
                <c:pt idx="445">
                  <c:v>156</c:v>
                </c:pt>
                <c:pt idx="446">
                  <c:v>152</c:v>
                </c:pt>
                <c:pt idx="447">
                  <c:v>146</c:v>
                </c:pt>
                <c:pt idx="448">
                  <c:v>139</c:v>
                </c:pt>
                <c:pt idx="449">
                  <c:v>134</c:v>
                </c:pt>
                <c:pt idx="450">
                  <c:v>128</c:v>
                </c:pt>
                <c:pt idx="451">
                  <c:v>126</c:v>
                </c:pt>
                <c:pt idx="452">
                  <c:v>127</c:v>
                </c:pt>
                <c:pt idx="453">
                  <c:v>126</c:v>
                </c:pt>
                <c:pt idx="454">
                  <c:v>126</c:v>
                </c:pt>
                <c:pt idx="455">
                  <c:v>116</c:v>
                </c:pt>
                <c:pt idx="456">
                  <c:v>115</c:v>
                </c:pt>
                <c:pt idx="457">
                  <c:v>113</c:v>
                </c:pt>
                <c:pt idx="458">
                  <c:v>112</c:v>
                </c:pt>
                <c:pt idx="459">
                  <c:v>111</c:v>
                </c:pt>
                <c:pt idx="460">
                  <c:v>110</c:v>
                </c:pt>
                <c:pt idx="461">
                  <c:v>111</c:v>
                </c:pt>
                <c:pt idx="462">
                  <c:v>111</c:v>
                </c:pt>
                <c:pt idx="463">
                  <c:v>109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15456"/>
        <c:axId val="104516992"/>
      </c:scatterChart>
      <c:valAx>
        <c:axId val="104515456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4516992"/>
        <c:crosses val="autoZero"/>
        <c:crossBetween val="midCat"/>
        <c:majorUnit val="1E-3"/>
      </c:valAx>
      <c:valAx>
        <c:axId val="104516992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BE"/>
          </a:p>
        </c:txPr>
        <c:crossAx val="1045154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BE"/>
    </a:p>
  </c:txPr>
  <c:printSettings>
    <c:headerFooter alignWithMargins="0"/>
    <c:pageMargins b="1" l="0.75" r="0.75" t="1" header="0.5" footer="0.5"/>
    <c:pageSetup paperSize="9" orientation="landscape" copies="0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5"/>
  <sheetViews>
    <sheetView workbookViewId="0"/>
  </sheetViews>
  <pageMargins left="0" right="0" top="0" bottom="0" header="0.51181102362204722" footer="0.51181102362204722"/>
  <pageSetup paperSize="8" orientation="landscape" horizontalDpi="1440" verticalDpi="144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12"/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264583</xdr:colOff>
      <xdr:row>1226</xdr:row>
      <xdr:rowOff>14816</xdr:rowOff>
    </xdr:from>
    <xdr:to>
      <xdr:col>21</xdr:col>
      <xdr:colOff>306916</xdr:colOff>
      <xdr:row>1256</xdr:row>
      <xdr:rowOff>21166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66675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66675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66675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66675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66675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66675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66675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66675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26633" name="Control 9" hidden="1">
              <a:extLst>
                <a:ext uri="{63B3BB69-23CF-44E3-9099-C40C66FF867C}">
                  <a14:compatExt spid="_x0000_s266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26634" name="Control 10" hidden="1">
              <a:extLst>
                <a:ext uri="{63B3BB69-23CF-44E3-9099-C40C66FF867C}">
                  <a14:compatExt spid="_x0000_s26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26635" name="Control 11" hidden="1">
              <a:extLst>
                <a:ext uri="{63B3BB69-23CF-44E3-9099-C40C66FF867C}">
                  <a14:compatExt spid="_x0000_s26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26636" name="Control 12" hidden="1">
              <a:extLst>
                <a:ext uri="{63B3BB69-23CF-44E3-9099-C40C66FF867C}">
                  <a14:compatExt spid="_x0000_s26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26637" name="Control 13" hidden="1">
              <a:extLst>
                <a:ext uri="{63B3BB69-23CF-44E3-9099-C40C66FF867C}">
                  <a14:compatExt spid="_x0000_s266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26638" name="Control 14" hidden="1">
              <a:extLst>
                <a:ext uri="{63B3BB69-23CF-44E3-9099-C40C66FF867C}">
                  <a14:compatExt spid="_x0000_s266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26639" name="Control 15" hidden="1">
              <a:extLst>
                <a:ext uri="{63B3BB69-23CF-44E3-9099-C40C66FF867C}">
                  <a14:compatExt spid="_x0000_s266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26640" name="Control 16" hidden="1">
              <a:extLst>
                <a:ext uri="{63B3BB69-23CF-44E3-9099-C40C66FF867C}">
                  <a14:compatExt spid="_x0000_s266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26641" name="Control 17" hidden="1">
              <a:extLst>
                <a:ext uri="{63B3BB69-23CF-44E3-9099-C40C66FF867C}">
                  <a14:compatExt spid="_x0000_s266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26642" name="Control 18" hidden="1">
              <a:extLst>
                <a:ext uri="{63B3BB69-23CF-44E3-9099-C40C66FF867C}">
                  <a14:compatExt spid="_x0000_s266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26643" name="Control 19" hidden="1">
              <a:extLst>
                <a:ext uri="{63B3BB69-23CF-44E3-9099-C40C66FF867C}">
                  <a14:compatExt spid="_x0000_s266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76200</xdr:rowOff>
        </xdr:to>
        <xdr:sp macro="" textlink="">
          <xdr:nvSpPr>
            <xdr:cNvPr id="26644" name="Control 20" hidden="1">
              <a:extLst>
                <a:ext uri="{63B3BB69-23CF-44E3-9099-C40C66FF867C}">
                  <a14:compatExt spid="_x0000_s266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26645" name="Control 21" hidden="1">
              <a:extLst>
                <a:ext uri="{63B3BB69-23CF-44E3-9099-C40C66FF867C}">
                  <a14:compatExt spid="_x0000_s266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66675</xdr:rowOff>
        </xdr:to>
        <xdr:sp macro="" textlink="">
          <xdr:nvSpPr>
            <xdr:cNvPr id="26646" name="Control 22" hidden="1">
              <a:extLst>
                <a:ext uri="{63B3BB69-23CF-44E3-9099-C40C66FF867C}">
                  <a14:compatExt spid="_x0000_s266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66675</xdr:rowOff>
        </xdr:to>
        <xdr:sp macro="" textlink="">
          <xdr:nvSpPr>
            <xdr:cNvPr id="26647" name="Control 23" hidden="1">
              <a:extLst>
                <a:ext uri="{63B3BB69-23CF-44E3-9099-C40C66FF867C}">
                  <a14:compatExt spid="_x0000_s266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66675</xdr:rowOff>
        </xdr:to>
        <xdr:sp macro="" textlink="">
          <xdr:nvSpPr>
            <xdr:cNvPr id="26648" name="Control 24" hidden="1">
              <a:extLst>
                <a:ext uri="{63B3BB69-23CF-44E3-9099-C40C66FF867C}">
                  <a14:compatExt spid="_x0000_s266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66675</xdr:rowOff>
        </xdr:to>
        <xdr:sp macro="" textlink="">
          <xdr:nvSpPr>
            <xdr:cNvPr id="26649" name="Control 25" hidden="1">
              <a:extLst>
                <a:ext uri="{63B3BB69-23CF-44E3-9099-C40C66FF867C}">
                  <a14:compatExt spid="_x0000_s266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66675</xdr:rowOff>
        </xdr:to>
        <xdr:sp macro="" textlink="">
          <xdr:nvSpPr>
            <xdr:cNvPr id="26650" name="Control 26" hidden="1">
              <a:extLst>
                <a:ext uri="{63B3BB69-23CF-44E3-9099-C40C66FF867C}">
                  <a14:compatExt spid="_x0000_s266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66675</xdr:rowOff>
        </xdr:to>
        <xdr:sp macro="" textlink="">
          <xdr:nvSpPr>
            <xdr:cNvPr id="26651" name="Control 27" hidden="1">
              <a:extLst>
                <a:ext uri="{63B3BB69-23CF-44E3-9099-C40C66FF867C}">
                  <a14:compatExt spid="_x0000_s266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66675</xdr:rowOff>
        </xdr:to>
        <xdr:sp macro="" textlink="">
          <xdr:nvSpPr>
            <xdr:cNvPr id="26652" name="Control 28" hidden="1">
              <a:extLst>
                <a:ext uri="{63B3BB69-23CF-44E3-9099-C40C66FF867C}">
                  <a14:compatExt spid="_x0000_s266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66675</xdr:rowOff>
        </xdr:to>
        <xdr:sp macro="" textlink="">
          <xdr:nvSpPr>
            <xdr:cNvPr id="26653" name="Control 29" hidden="1">
              <a:extLst>
                <a:ext uri="{63B3BB69-23CF-44E3-9099-C40C66FF867C}">
                  <a14:compatExt spid="_x0000_s266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66675</xdr:rowOff>
        </xdr:to>
        <xdr:sp macro="" textlink="">
          <xdr:nvSpPr>
            <xdr:cNvPr id="26654" name="Control 30" hidden="1">
              <a:extLst>
                <a:ext uri="{63B3BB69-23CF-44E3-9099-C40C66FF867C}">
                  <a14:compatExt spid="_x0000_s266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66675</xdr:rowOff>
        </xdr:to>
        <xdr:sp macro="" textlink="">
          <xdr:nvSpPr>
            <xdr:cNvPr id="26655" name="Control 31" hidden="1">
              <a:extLst>
                <a:ext uri="{63B3BB69-23CF-44E3-9099-C40C66FF867C}">
                  <a14:compatExt spid="_x0000_s266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66675</xdr:rowOff>
        </xdr:to>
        <xdr:sp macro="" textlink="">
          <xdr:nvSpPr>
            <xdr:cNvPr id="26656" name="Control 32" hidden="1">
              <a:extLst>
                <a:ext uri="{63B3BB69-23CF-44E3-9099-C40C66FF867C}">
                  <a14:compatExt spid="_x0000_s266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66675</xdr:rowOff>
        </xdr:to>
        <xdr:sp macro="" textlink="">
          <xdr:nvSpPr>
            <xdr:cNvPr id="26657" name="Control 33" hidden="1">
              <a:extLst>
                <a:ext uri="{63B3BB69-23CF-44E3-9099-C40C66FF867C}">
                  <a14:compatExt spid="_x0000_s266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66675</xdr:rowOff>
        </xdr:to>
        <xdr:sp macro="" textlink="">
          <xdr:nvSpPr>
            <xdr:cNvPr id="26658" name="Control 34" hidden="1">
              <a:extLst>
                <a:ext uri="{63B3BB69-23CF-44E3-9099-C40C66FF867C}">
                  <a14:compatExt spid="_x0000_s266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66675</xdr:rowOff>
        </xdr:to>
        <xdr:sp macro="" textlink="">
          <xdr:nvSpPr>
            <xdr:cNvPr id="26659" name="Control 35" hidden="1">
              <a:extLst>
                <a:ext uri="{63B3BB69-23CF-44E3-9099-C40C66FF867C}">
                  <a14:compatExt spid="_x0000_s266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66675</xdr:rowOff>
        </xdr:to>
        <xdr:sp macro="" textlink="">
          <xdr:nvSpPr>
            <xdr:cNvPr id="26660" name="Control 36" hidden="1">
              <a:extLst>
                <a:ext uri="{63B3BB69-23CF-44E3-9099-C40C66FF867C}">
                  <a14:compatExt spid="_x0000_s266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42</xdr:row>
          <xdr:rowOff>66675</xdr:rowOff>
        </xdr:to>
        <xdr:sp macro="" textlink="">
          <xdr:nvSpPr>
            <xdr:cNvPr id="26661" name="Control 37" hidden="1">
              <a:extLst>
                <a:ext uri="{63B3BB69-23CF-44E3-9099-C40C66FF867C}">
                  <a14:compatExt spid="_x0000_s266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43</xdr:row>
          <xdr:rowOff>66675</xdr:rowOff>
        </xdr:to>
        <xdr:sp macro="" textlink="">
          <xdr:nvSpPr>
            <xdr:cNvPr id="26662" name="Control 38" hidden="1">
              <a:extLst>
                <a:ext uri="{63B3BB69-23CF-44E3-9099-C40C66FF867C}">
                  <a14:compatExt spid="_x0000_s266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26663" name="Control 39" hidden="1">
              <a:extLst>
                <a:ext uri="{63B3BB69-23CF-44E3-9099-C40C66FF867C}">
                  <a14:compatExt spid="_x0000_s266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66675</xdr:rowOff>
        </xdr:to>
        <xdr:sp macro="" textlink="">
          <xdr:nvSpPr>
            <xdr:cNvPr id="26664" name="Control 40" hidden="1">
              <a:extLst>
                <a:ext uri="{63B3BB69-23CF-44E3-9099-C40C66FF867C}">
                  <a14:compatExt spid="_x0000_s266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66675</xdr:rowOff>
        </xdr:to>
        <xdr:sp macro="" textlink="">
          <xdr:nvSpPr>
            <xdr:cNvPr id="26665" name="Control 41" hidden="1">
              <a:extLst>
                <a:ext uri="{63B3BB69-23CF-44E3-9099-C40C66FF867C}">
                  <a14:compatExt spid="_x0000_s266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66675</xdr:rowOff>
        </xdr:to>
        <xdr:sp macro="" textlink="">
          <xdr:nvSpPr>
            <xdr:cNvPr id="26666" name="Control 42" hidden="1">
              <a:extLst>
                <a:ext uri="{63B3BB69-23CF-44E3-9099-C40C66FF867C}">
                  <a14:compatExt spid="_x0000_s266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66675</xdr:rowOff>
        </xdr:to>
        <xdr:sp macro="" textlink="">
          <xdr:nvSpPr>
            <xdr:cNvPr id="26667" name="Control 43" hidden="1">
              <a:extLst>
                <a:ext uri="{63B3BB69-23CF-44E3-9099-C40C66FF867C}">
                  <a14:compatExt spid="_x0000_s266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66675</xdr:rowOff>
        </xdr:to>
        <xdr:sp macro="" textlink="">
          <xdr:nvSpPr>
            <xdr:cNvPr id="26668" name="Control 44" hidden="1">
              <a:extLst>
                <a:ext uri="{63B3BB69-23CF-44E3-9099-C40C66FF867C}">
                  <a14:compatExt spid="_x0000_s266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66675</xdr:rowOff>
        </xdr:to>
        <xdr:sp macro="" textlink="">
          <xdr:nvSpPr>
            <xdr:cNvPr id="26669" name="Control 45" hidden="1">
              <a:extLst>
                <a:ext uri="{63B3BB69-23CF-44E3-9099-C40C66FF867C}">
                  <a14:compatExt spid="_x0000_s266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66675</xdr:rowOff>
        </xdr:to>
        <xdr:sp macro="" textlink="">
          <xdr:nvSpPr>
            <xdr:cNvPr id="26670" name="Control 46" hidden="1">
              <a:extLst>
                <a:ext uri="{63B3BB69-23CF-44E3-9099-C40C66FF867C}">
                  <a14:compatExt spid="_x0000_s266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66675</xdr:rowOff>
        </xdr:to>
        <xdr:sp macro="" textlink="">
          <xdr:nvSpPr>
            <xdr:cNvPr id="26671" name="Control 47" hidden="1">
              <a:extLst>
                <a:ext uri="{63B3BB69-23CF-44E3-9099-C40C66FF867C}">
                  <a14:compatExt spid="_x0000_s266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66675</xdr:rowOff>
        </xdr:to>
        <xdr:sp macro="" textlink="">
          <xdr:nvSpPr>
            <xdr:cNvPr id="26672" name="Control 48" hidden="1">
              <a:extLst>
                <a:ext uri="{63B3BB69-23CF-44E3-9099-C40C66FF867C}">
                  <a14:compatExt spid="_x0000_s266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66675</xdr:rowOff>
        </xdr:to>
        <xdr:sp macro="" textlink="">
          <xdr:nvSpPr>
            <xdr:cNvPr id="26673" name="Control 49" hidden="1">
              <a:extLst>
                <a:ext uri="{63B3BB69-23CF-44E3-9099-C40C66FF867C}">
                  <a14:compatExt spid="_x0000_s266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66675</xdr:rowOff>
        </xdr:to>
        <xdr:sp macro="" textlink="">
          <xdr:nvSpPr>
            <xdr:cNvPr id="26674" name="Control 50" hidden="1">
              <a:extLst>
                <a:ext uri="{63B3BB69-23CF-44E3-9099-C40C66FF867C}">
                  <a14:compatExt spid="_x0000_s266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66675</xdr:rowOff>
        </xdr:to>
        <xdr:sp macro="" textlink="">
          <xdr:nvSpPr>
            <xdr:cNvPr id="26675" name="Control 51" hidden="1">
              <a:extLst>
                <a:ext uri="{63B3BB69-23CF-44E3-9099-C40C66FF867C}">
                  <a14:compatExt spid="_x0000_s266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66675</xdr:rowOff>
        </xdr:to>
        <xdr:sp macro="" textlink="">
          <xdr:nvSpPr>
            <xdr:cNvPr id="26676" name="Control 52" hidden="1">
              <a:extLst>
                <a:ext uri="{63B3BB69-23CF-44E3-9099-C40C66FF867C}">
                  <a14:compatExt spid="_x0000_s266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66675</xdr:rowOff>
        </xdr:to>
        <xdr:sp macro="" textlink="">
          <xdr:nvSpPr>
            <xdr:cNvPr id="26677" name="Control 53" hidden="1">
              <a:extLst>
                <a:ext uri="{63B3BB69-23CF-44E3-9099-C40C66FF867C}">
                  <a14:compatExt spid="_x0000_s266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66675</xdr:rowOff>
        </xdr:to>
        <xdr:sp macro="" textlink="">
          <xdr:nvSpPr>
            <xdr:cNvPr id="26678" name="Control 54" hidden="1">
              <a:extLst>
                <a:ext uri="{63B3BB69-23CF-44E3-9099-C40C66FF867C}">
                  <a14:compatExt spid="_x0000_s266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42</xdr:row>
          <xdr:rowOff>66675</xdr:rowOff>
        </xdr:to>
        <xdr:sp macro="" textlink="">
          <xdr:nvSpPr>
            <xdr:cNvPr id="26679" name="Control 55" hidden="1">
              <a:extLst>
                <a:ext uri="{63B3BB69-23CF-44E3-9099-C40C66FF867C}">
                  <a14:compatExt spid="_x0000_s266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43</xdr:row>
          <xdr:rowOff>66675</xdr:rowOff>
        </xdr:to>
        <xdr:sp macro="" textlink="">
          <xdr:nvSpPr>
            <xdr:cNvPr id="26680" name="Control 56" hidden="1">
              <a:extLst>
                <a:ext uri="{63B3BB69-23CF-44E3-9099-C40C66FF867C}">
                  <a14:compatExt spid="_x0000_s266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44</xdr:row>
          <xdr:rowOff>66675</xdr:rowOff>
        </xdr:to>
        <xdr:sp macro="" textlink="">
          <xdr:nvSpPr>
            <xdr:cNvPr id="26681" name="Control 57" hidden="1">
              <a:extLst>
                <a:ext uri="{63B3BB69-23CF-44E3-9099-C40C66FF867C}">
                  <a14:compatExt spid="_x0000_s266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59" name="Picture 58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60" name="Picture 59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9525</xdr:colOff>
      <xdr:row>1</xdr:row>
      <xdr:rowOff>9525</xdr:rowOff>
    </xdr:to>
    <xdr:pic>
      <xdr:nvPicPr>
        <xdr:cNvPr id="61" name="Picture 60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9525</xdr:colOff>
      <xdr:row>1</xdr:row>
      <xdr:rowOff>9525</xdr:rowOff>
    </xdr:to>
    <xdr:pic>
      <xdr:nvPicPr>
        <xdr:cNvPr id="62" name="Picture 61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63" name="Picture 62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9525</xdr:rowOff>
    </xdr:to>
    <xdr:pic>
      <xdr:nvPicPr>
        <xdr:cNvPr id="64" name="Picture 63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9525</xdr:rowOff>
    </xdr:to>
    <xdr:pic>
      <xdr:nvPicPr>
        <xdr:cNvPr id="65" name="Picture 64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66" name="Picture 65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9525</xdr:colOff>
      <xdr:row>1</xdr:row>
      <xdr:rowOff>9525</xdr:rowOff>
    </xdr:to>
    <xdr:pic>
      <xdr:nvPicPr>
        <xdr:cNvPr id="67" name="Picture 66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9525</xdr:colOff>
      <xdr:row>1</xdr:row>
      <xdr:rowOff>9525</xdr:rowOff>
    </xdr:to>
    <xdr:pic>
      <xdr:nvPicPr>
        <xdr:cNvPr id="68" name="Picture 67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9525</xdr:colOff>
      <xdr:row>1</xdr:row>
      <xdr:rowOff>9525</xdr:rowOff>
    </xdr:to>
    <xdr:pic>
      <xdr:nvPicPr>
        <xdr:cNvPr id="69" name="Picture 68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9525</xdr:colOff>
      <xdr:row>1</xdr:row>
      <xdr:rowOff>9525</xdr:rowOff>
    </xdr:to>
    <xdr:pic>
      <xdr:nvPicPr>
        <xdr:cNvPr id="70" name="Picture 69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19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9525</xdr:colOff>
      <xdr:row>1</xdr:row>
      <xdr:rowOff>9525</xdr:rowOff>
    </xdr:to>
    <xdr:pic>
      <xdr:nvPicPr>
        <xdr:cNvPr id="71" name="Picture 70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15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9525</xdr:colOff>
      <xdr:row>1</xdr:row>
      <xdr:rowOff>9525</xdr:rowOff>
    </xdr:to>
    <xdr:pic>
      <xdr:nvPicPr>
        <xdr:cNvPr id="72" name="Picture 71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9525</xdr:rowOff>
    </xdr:to>
    <xdr:pic>
      <xdr:nvPicPr>
        <xdr:cNvPr id="73" name="Picture 72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9525</xdr:colOff>
      <xdr:row>1</xdr:row>
      <xdr:rowOff>9525</xdr:rowOff>
    </xdr:to>
    <xdr:pic>
      <xdr:nvPicPr>
        <xdr:cNvPr id="74" name="Picture 73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9525</xdr:colOff>
      <xdr:row>1</xdr:row>
      <xdr:rowOff>9525</xdr:rowOff>
    </xdr:to>
    <xdr:pic>
      <xdr:nvPicPr>
        <xdr:cNvPr id="75" name="Picture 74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9525</xdr:colOff>
      <xdr:row>1</xdr:row>
      <xdr:rowOff>9525</xdr:rowOff>
    </xdr:to>
    <xdr:pic>
      <xdr:nvPicPr>
        <xdr:cNvPr id="76" name="Picture 75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9525</xdr:colOff>
      <xdr:row>1</xdr:row>
      <xdr:rowOff>9525</xdr:rowOff>
    </xdr:to>
    <xdr:pic>
      <xdr:nvPicPr>
        <xdr:cNvPr id="77" name="Picture 76" descr="http://connect.garmin.com/a4j/g/3_3_3.Finalorg/richfaces/renderkit/html/images/s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0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66675</xdr:rowOff>
        </xdr:to>
        <xdr:sp macro="" textlink="">
          <xdr:nvSpPr>
            <xdr:cNvPr id="26701" name="Control 77" hidden="1">
              <a:extLst>
                <a:ext uri="{63B3BB69-23CF-44E3-9099-C40C66FF867C}">
                  <a14:compatExt spid="_x0000_s267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66675</xdr:rowOff>
        </xdr:to>
        <xdr:sp macro="" textlink="">
          <xdr:nvSpPr>
            <xdr:cNvPr id="26702" name="Control 78" hidden="1">
              <a:extLst>
                <a:ext uri="{63B3BB69-23CF-44E3-9099-C40C66FF867C}">
                  <a14:compatExt spid="_x0000_s267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66675</xdr:rowOff>
        </xdr:to>
        <xdr:sp macro="" textlink="">
          <xdr:nvSpPr>
            <xdr:cNvPr id="26703" name="Control 79" hidden="1">
              <a:extLst>
                <a:ext uri="{63B3BB69-23CF-44E3-9099-C40C66FF867C}">
                  <a14:compatExt spid="_x0000_s267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66675</xdr:rowOff>
        </xdr:to>
        <xdr:sp macro="" textlink="">
          <xdr:nvSpPr>
            <xdr:cNvPr id="26704" name="Control 80" hidden="1">
              <a:extLst>
                <a:ext uri="{63B3BB69-23CF-44E3-9099-C40C66FF867C}">
                  <a14:compatExt spid="_x0000_s267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66675</xdr:rowOff>
        </xdr:to>
        <xdr:sp macro="" textlink="">
          <xdr:nvSpPr>
            <xdr:cNvPr id="26705" name="Control 81" hidden="1">
              <a:extLst>
                <a:ext uri="{63B3BB69-23CF-44E3-9099-C40C66FF867C}">
                  <a14:compatExt spid="_x0000_s267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66675</xdr:rowOff>
        </xdr:to>
        <xdr:sp macro="" textlink="">
          <xdr:nvSpPr>
            <xdr:cNvPr id="26706" name="Control 82" hidden="1">
              <a:extLst>
                <a:ext uri="{63B3BB69-23CF-44E3-9099-C40C66FF867C}">
                  <a14:compatExt spid="_x0000_s267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66675</xdr:rowOff>
        </xdr:to>
        <xdr:sp macro="" textlink="">
          <xdr:nvSpPr>
            <xdr:cNvPr id="26707" name="Control 83" hidden="1">
              <a:extLst>
                <a:ext uri="{63B3BB69-23CF-44E3-9099-C40C66FF867C}">
                  <a14:compatExt spid="_x0000_s267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66675</xdr:rowOff>
        </xdr:to>
        <xdr:sp macro="" textlink="">
          <xdr:nvSpPr>
            <xdr:cNvPr id="26708" name="Control 84" hidden="1">
              <a:extLst>
                <a:ext uri="{63B3BB69-23CF-44E3-9099-C40C66FF867C}">
                  <a14:compatExt spid="_x0000_s26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26709" name="Control 85" hidden="1">
              <a:extLst>
                <a:ext uri="{63B3BB69-23CF-44E3-9099-C40C66FF867C}">
                  <a14:compatExt spid="_x0000_s267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26710" name="Control 86" hidden="1">
              <a:extLst>
                <a:ext uri="{63B3BB69-23CF-44E3-9099-C40C66FF867C}">
                  <a14:compatExt spid="_x0000_s267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26711" name="Control 87" hidden="1">
              <a:extLst>
                <a:ext uri="{63B3BB69-23CF-44E3-9099-C40C66FF867C}">
                  <a14:compatExt spid="_x0000_s267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26712" name="Control 88" hidden="1">
              <a:extLst>
                <a:ext uri="{63B3BB69-23CF-44E3-9099-C40C66FF867C}">
                  <a14:compatExt spid="_x0000_s26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26713" name="Control 89" hidden="1">
              <a:extLst>
                <a:ext uri="{63B3BB69-23CF-44E3-9099-C40C66FF867C}">
                  <a14:compatExt spid="_x0000_s267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26714" name="Control 90" hidden="1">
              <a:extLst>
                <a:ext uri="{63B3BB69-23CF-44E3-9099-C40C66FF867C}">
                  <a14:compatExt spid="_x0000_s267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26715" name="Control 91" hidden="1">
              <a:extLst>
                <a:ext uri="{63B3BB69-23CF-44E3-9099-C40C66FF867C}">
                  <a14:compatExt spid="_x0000_s267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26716" name="Control 92" hidden="1">
              <a:extLst>
                <a:ext uri="{63B3BB69-23CF-44E3-9099-C40C66FF867C}">
                  <a14:compatExt spid="_x0000_s26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26717" name="Control 93" hidden="1">
              <a:extLst>
                <a:ext uri="{63B3BB69-23CF-44E3-9099-C40C66FF867C}">
                  <a14:compatExt spid="_x0000_s267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26718" name="Control 94" hidden="1">
              <a:extLst>
                <a:ext uri="{63B3BB69-23CF-44E3-9099-C40C66FF867C}">
                  <a14:compatExt spid="_x0000_s267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26719" name="Control 95" hidden="1">
              <a:extLst>
                <a:ext uri="{63B3BB69-23CF-44E3-9099-C40C66FF867C}">
                  <a14:compatExt spid="_x0000_s267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22</xdr:row>
          <xdr:rowOff>66675</xdr:rowOff>
        </xdr:to>
        <xdr:sp macro="" textlink="">
          <xdr:nvSpPr>
            <xdr:cNvPr id="26720" name="Control 96" hidden="1">
              <a:extLst>
                <a:ext uri="{63B3BB69-23CF-44E3-9099-C40C66FF867C}">
                  <a14:compatExt spid="_x0000_s26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933450</xdr:colOff>
      <xdr:row>5155</xdr:row>
      <xdr:rowOff>133350</xdr:rowOff>
    </xdr:from>
    <xdr:to>
      <xdr:col>21</xdr:col>
      <xdr:colOff>57150</xdr:colOff>
      <xdr:row>5203</xdr:row>
      <xdr:rowOff>38100</xdr:rowOff>
    </xdr:to>
    <xdr:graphicFrame macro="">
      <xdr:nvGraphicFramePr>
        <xdr:cNvPr id="12317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200025</xdr:colOff>
      <xdr:row>5605</xdr:row>
      <xdr:rowOff>9525</xdr:rowOff>
    </xdr:from>
    <xdr:to>
      <xdr:col>20</xdr:col>
      <xdr:colOff>390525</xdr:colOff>
      <xdr:row>5658</xdr:row>
      <xdr:rowOff>123825</xdr:rowOff>
    </xdr:to>
    <xdr:graphicFrame macro="">
      <xdr:nvGraphicFramePr>
        <xdr:cNvPr id="1231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1</xdr:col>
      <xdr:colOff>457200</xdr:colOff>
      <xdr:row>44</xdr:row>
      <xdr:rowOff>104775</xdr:rowOff>
    </xdr:to>
    <xdr:sp macro="" textlink="">
      <xdr:nvSpPr>
        <xdr:cNvPr id="93212" name="AutoShape 3" descr="Hartslagzones"/>
        <xdr:cNvSpPr>
          <a:spLocks noChangeAspect="1" noChangeArrowheads="1"/>
        </xdr:cNvSpPr>
      </xdr:nvSpPr>
      <xdr:spPr bwMode="auto">
        <a:xfrm>
          <a:off x="0" y="95154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4658975" cy="102774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0.0475</cdr:x>
      <cdr:y>0.53925</cdr:y>
    </cdr:from>
    <cdr:to>
      <cdr:x>0.93675</cdr:x>
      <cdr:y>0.54025</cdr:y>
    </cdr:to>
    <cdr:sp macro="" textlink="">
      <cdr:nvSpPr>
        <cdr:cNvPr id="1741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95396" y="5542128"/>
          <a:ext cx="13018554" cy="102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FF0000"/>
          </a:solidFill>
          <a:prstDash val="sysDot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BE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30</xdr:row>
      <xdr:rowOff>0</xdr:rowOff>
    </xdr:from>
    <xdr:to>
      <xdr:col>9</xdr:col>
      <xdr:colOff>133350</xdr:colOff>
      <xdr:row>43</xdr:row>
      <xdr:rowOff>133350</xdr:rowOff>
    </xdr:to>
    <xdr:grpSp>
      <xdr:nvGrpSpPr>
        <xdr:cNvPr id="5234" name="Group 13"/>
        <xdr:cNvGrpSpPr>
          <a:grpSpLocks/>
        </xdr:cNvGrpSpPr>
      </xdr:nvGrpSpPr>
      <xdr:grpSpPr bwMode="auto">
        <a:xfrm>
          <a:off x="2619375" y="5600700"/>
          <a:ext cx="4210050" cy="2238375"/>
          <a:chOff x="229" y="510"/>
          <a:chExt cx="442" cy="266"/>
        </a:xfrm>
      </xdr:grpSpPr>
      <xdr:sp macro="" textlink="">
        <xdr:nvSpPr>
          <xdr:cNvPr id="5235" name="Rectangle 1"/>
          <xdr:cNvSpPr>
            <a:spLocks noChangeArrowheads="1"/>
          </xdr:cNvSpPr>
        </xdr:nvSpPr>
        <xdr:spPr bwMode="auto">
          <a:xfrm>
            <a:off x="242" y="549"/>
            <a:ext cx="412" cy="189"/>
          </a:xfrm>
          <a:prstGeom prst="rect">
            <a:avLst/>
          </a:prstGeom>
          <a:solidFill>
            <a:srgbClr val="000000">
              <a:alpha val="30980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36" name="Line 3"/>
          <xdr:cNvSpPr>
            <a:spLocks noChangeShapeType="1"/>
          </xdr:cNvSpPr>
        </xdr:nvSpPr>
        <xdr:spPr bwMode="auto">
          <a:xfrm>
            <a:off x="447" y="549"/>
            <a:ext cx="0" cy="18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37" name="Rectangle 4"/>
          <xdr:cNvSpPr>
            <a:spLocks noChangeArrowheads="1"/>
          </xdr:cNvSpPr>
        </xdr:nvSpPr>
        <xdr:spPr bwMode="auto">
          <a:xfrm>
            <a:off x="241" y="604"/>
            <a:ext cx="42" cy="76"/>
          </a:xfrm>
          <a:prstGeom prst="rect">
            <a:avLst/>
          </a:prstGeom>
          <a:solidFill>
            <a:srgbClr val="0000FF">
              <a:alpha val="50195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38" name="Rectangle 5"/>
          <xdr:cNvSpPr>
            <a:spLocks noChangeArrowheads="1"/>
          </xdr:cNvSpPr>
        </xdr:nvSpPr>
        <xdr:spPr bwMode="auto">
          <a:xfrm>
            <a:off x="610" y="598"/>
            <a:ext cx="42" cy="76"/>
          </a:xfrm>
          <a:prstGeom prst="rect">
            <a:avLst/>
          </a:prstGeom>
          <a:solidFill>
            <a:srgbClr val="0000FF">
              <a:alpha val="50980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126" name="Text Box 6"/>
          <xdr:cNvSpPr txBox="1">
            <a:spLocks noChangeArrowheads="1"/>
          </xdr:cNvSpPr>
        </xdr:nvSpPr>
        <xdr:spPr bwMode="auto">
          <a:xfrm>
            <a:off x="229" y="748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1</a:t>
            </a:r>
          </a:p>
        </xdr:txBody>
      </xdr:sp>
      <xdr:sp macro="" textlink="">
        <xdr:nvSpPr>
          <xdr:cNvPr id="5127" name="Text Box 7"/>
          <xdr:cNvSpPr txBox="1">
            <a:spLocks noChangeArrowheads="1"/>
          </xdr:cNvSpPr>
        </xdr:nvSpPr>
        <xdr:spPr bwMode="auto">
          <a:xfrm>
            <a:off x="431" y="750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2</a:t>
            </a:r>
          </a:p>
        </xdr:txBody>
      </xdr:sp>
      <xdr:sp macro="" textlink="">
        <xdr:nvSpPr>
          <xdr:cNvPr id="5128" name="Text Box 8"/>
          <xdr:cNvSpPr txBox="1">
            <a:spLocks noChangeArrowheads="1"/>
          </xdr:cNvSpPr>
        </xdr:nvSpPr>
        <xdr:spPr bwMode="auto">
          <a:xfrm>
            <a:off x="641" y="748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3</a:t>
            </a:r>
          </a:p>
        </xdr:txBody>
      </xdr:sp>
      <xdr:sp macro="" textlink="">
        <xdr:nvSpPr>
          <xdr:cNvPr id="5129" name="Text Box 9"/>
          <xdr:cNvSpPr txBox="1">
            <a:spLocks noChangeArrowheads="1"/>
          </xdr:cNvSpPr>
        </xdr:nvSpPr>
        <xdr:spPr bwMode="auto">
          <a:xfrm>
            <a:off x="639" y="515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4</a:t>
            </a:r>
          </a:p>
        </xdr:txBody>
      </xdr:sp>
      <xdr:sp macro="" textlink="">
        <xdr:nvSpPr>
          <xdr:cNvPr id="5130" name="Text Box 10"/>
          <xdr:cNvSpPr txBox="1">
            <a:spLocks noChangeArrowheads="1"/>
          </xdr:cNvSpPr>
        </xdr:nvSpPr>
        <xdr:spPr bwMode="auto">
          <a:xfrm>
            <a:off x="432" y="510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5</a:t>
            </a:r>
          </a:p>
        </xdr:txBody>
      </xdr:sp>
      <xdr:sp macro="" textlink="">
        <xdr:nvSpPr>
          <xdr:cNvPr id="5131" name="Text Box 11"/>
          <xdr:cNvSpPr txBox="1">
            <a:spLocks noChangeArrowheads="1"/>
          </xdr:cNvSpPr>
        </xdr:nvSpPr>
        <xdr:spPr bwMode="auto">
          <a:xfrm>
            <a:off x="230" y="515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6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12</xdr:row>
      <xdr:rowOff>123825</xdr:rowOff>
    </xdr:from>
    <xdr:to>
      <xdr:col>20</xdr:col>
      <xdr:colOff>247650</xdr:colOff>
      <xdr:row>53</xdr:row>
      <xdr:rowOff>95250</xdr:rowOff>
    </xdr:to>
    <xdr:graphicFrame macro="">
      <xdr:nvGraphicFramePr>
        <xdr:cNvPr id="6759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65</xdr:row>
      <xdr:rowOff>133350</xdr:rowOff>
    </xdr:from>
    <xdr:to>
      <xdr:col>17</xdr:col>
      <xdr:colOff>85725</xdr:colOff>
      <xdr:row>95</xdr:row>
      <xdr:rowOff>76200</xdr:rowOff>
    </xdr:to>
    <xdr:graphicFrame macro="">
      <xdr:nvGraphicFramePr>
        <xdr:cNvPr id="880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14</xdr:row>
      <xdr:rowOff>133350</xdr:rowOff>
    </xdr:from>
    <xdr:to>
      <xdr:col>23</xdr:col>
      <xdr:colOff>323850</xdr:colOff>
      <xdr:row>61</xdr:row>
      <xdr:rowOff>0</xdr:rowOff>
    </xdr:to>
    <xdr:graphicFrame macro="">
      <xdr:nvGraphicFramePr>
        <xdr:cNvPr id="880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</xdr:row>
      <xdr:rowOff>76200</xdr:rowOff>
    </xdr:from>
    <xdr:to>
      <xdr:col>26</xdr:col>
      <xdr:colOff>238125</xdr:colOff>
      <xdr:row>56</xdr:row>
      <xdr:rowOff>28575</xdr:rowOff>
    </xdr:to>
    <xdr:graphicFrame macro="">
      <xdr:nvGraphicFramePr>
        <xdr:cNvPr id="901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0.1647</cdr:x>
      <cdr:y>0.71052</cdr:y>
    </cdr:from>
    <cdr:to>
      <cdr:x>0.71146</cdr:x>
      <cdr:y>0.84807</cdr:y>
    </cdr:to>
    <cdr:sp macro="" textlink="">
      <cdr:nvSpPr>
        <cdr:cNvPr id="9113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2166495" y="6466352"/>
          <a:ext cx="7181629" cy="125115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BE"/>
        </a:p>
      </cdr:txBody>
    </cdr:sp>
  </cdr:relSizeAnchor>
  <cdr:relSizeAnchor xmlns:cdr="http://schemas.openxmlformats.org/drawingml/2006/chartDrawing">
    <cdr:from>
      <cdr:x>0.67745</cdr:x>
      <cdr:y>0.52103</cdr:y>
    </cdr:from>
    <cdr:to>
      <cdr:x>0.93706</cdr:x>
      <cdr:y>0.73056</cdr:y>
    </cdr:to>
    <cdr:sp macro="" textlink="">
      <cdr:nvSpPr>
        <cdr:cNvPr id="9113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8901513" y="4742636"/>
          <a:ext cx="3409888" cy="190598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BE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2</xdr:row>
      <xdr:rowOff>0</xdr:rowOff>
    </xdr:from>
    <xdr:to>
      <xdr:col>12</xdr:col>
      <xdr:colOff>133350</xdr:colOff>
      <xdr:row>15</xdr:row>
      <xdr:rowOff>133350</xdr:rowOff>
    </xdr:to>
    <xdr:grpSp>
      <xdr:nvGrpSpPr>
        <xdr:cNvPr id="89202" name="Group 1"/>
        <xdr:cNvGrpSpPr>
          <a:grpSpLocks/>
        </xdr:cNvGrpSpPr>
      </xdr:nvGrpSpPr>
      <xdr:grpSpPr bwMode="auto">
        <a:xfrm>
          <a:off x="5305425" y="352425"/>
          <a:ext cx="3238500" cy="2238375"/>
          <a:chOff x="229" y="510"/>
          <a:chExt cx="442" cy="266"/>
        </a:xfrm>
      </xdr:grpSpPr>
      <xdr:sp macro="" textlink="">
        <xdr:nvSpPr>
          <xdr:cNvPr id="89203" name="Rectangle 2"/>
          <xdr:cNvSpPr>
            <a:spLocks noChangeArrowheads="1"/>
          </xdr:cNvSpPr>
        </xdr:nvSpPr>
        <xdr:spPr bwMode="auto">
          <a:xfrm>
            <a:off x="242" y="549"/>
            <a:ext cx="412" cy="189"/>
          </a:xfrm>
          <a:prstGeom prst="rect">
            <a:avLst/>
          </a:prstGeom>
          <a:solidFill>
            <a:srgbClr val="000000">
              <a:alpha val="30980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9204" name="Line 3"/>
          <xdr:cNvSpPr>
            <a:spLocks noChangeShapeType="1"/>
          </xdr:cNvSpPr>
        </xdr:nvSpPr>
        <xdr:spPr bwMode="auto">
          <a:xfrm>
            <a:off x="447" y="549"/>
            <a:ext cx="0" cy="18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205" name="Rectangle 4"/>
          <xdr:cNvSpPr>
            <a:spLocks noChangeArrowheads="1"/>
          </xdr:cNvSpPr>
        </xdr:nvSpPr>
        <xdr:spPr bwMode="auto">
          <a:xfrm>
            <a:off x="241" y="604"/>
            <a:ext cx="42" cy="76"/>
          </a:xfrm>
          <a:prstGeom prst="rect">
            <a:avLst/>
          </a:prstGeom>
          <a:solidFill>
            <a:srgbClr val="0000FF">
              <a:alpha val="50195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9206" name="Rectangle 5"/>
          <xdr:cNvSpPr>
            <a:spLocks noChangeArrowheads="1"/>
          </xdr:cNvSpPr>
        </xdr:nvSpPr>
        <xdr:spPr bwMode="auto">
          <a:xfrm>
            <a:off x="610" y="598"/>
            <a:ext cx="42" cy="76"/>
          </a:xfrm>
          <a:prstGeom prst="rect">
            <a:avLst/>
          </a:prstGeom>
          <a:solidFill>
            <a:srgbClr val="0000FF">
              <a:alpha val="50980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9094" name="Text Box 6"/>
          <xdr:cNvSpPr txBox="1">
            <a:spLocks noChangeArrowheads="1"/>
          </xdr:cNvSpPr>
        </xdr:nvSpPr>
        <xdr:spPr bwMode="auto">
          <a:xfrm>
            <a:off x="229" y="748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6</a:t>
            </a:r>
          </a:p>
        </xdr:txBody>
      </xdr:sp>
      <xdr:sp macro="" textlink="">
        <xdr:nvSpPr>
          <xdr:cNvPr id="89095" name="Text Box 7"/>
          <xdr:cNvSpPr txBox="1">
            <a:spLocks noChangeArrowheads="1"/>
          </xdr:cNvSpPr>
        </xdr:nvSpPr>
        <xdr:spPr bwMode="auto">
          <a:xfrm>
            <a:off x="431" y="750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1</a:t>
            </a:r>
          </a:p>
        </xdr:txBody>
      </xdr:sp>
      <xdr:sp macro="" textlink="">
        <xdr:nvSpPr>
          <xdr:cNvPr id="89096" name="Text Box 8"/>
          <xdr:cNvSpPr txBox="1">
            <a:spLocks noChangeArrowheads="1"/>
          </xdr:cNvSpPr>
        </xdr:nvSpPr>
        <xdr:spPr bwMode="auto">
          <a:xfrm>
            <a:off x="641" y="748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2</a:t>
            </a:r>
          </a:p>
        </xdr:txBody>
      </xdr:sp>
      <xdr:sp macro="" textlink="">
        <xdr:nvSpPr>
          <xdr:cNvPr id="89097" name="Text Box 9"/>
          <xdr:cNvSpPr txBox="1">
            <a:spLocks noChangeArrowheads="1"/>
          </xdr:cNvSpPr>
        </xdr:nvSpPr>
        <xdr:spPr bwMode="auto">
          <a:xfrm>
            <a:off x="639" y="515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3</a:t>
            </a:r>
          </a:p>
        </xdr:txBody>
      </xdr:sp>
      <xdr:sp macro="" textlink="">
        <xdr:nvSpPr>
          <xdr:cNvPr id="89098" name="Text Box 10"/>
          <xdr:cNvSpPr txBox="1">
            <a:spLocks noChangeArrowheads="1"/>
          </xdr:cNvSpPr>
        </xdr:nvSpPr>
        <xdr:spPr bwMode="auto">
          <a:xfrm>
            <a:off x="432" y="510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4</a:t>
            </a:r>
          </a:p>
        </xdr:txBody>
      </xdr:sp>
      <xdr:sp macro="" textlink="">
        <xdr:nvSpPr>
          <xdr:cNvPr id="89099" name="Text Box 11"/>
          <xdr:cNvSpPr txBox="1">
            <a:spLocks noChangeArrowheads="1"/>
          </xdr:cNvSpPr>
        </xdr:nvSpPr>
        <xdr:spPr bwMode="auto">
          <a:xfrm>
            <a:off x="230" y="515"/>
            <a:ext cx="30" cy="2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41148" rIns="36576" bIns="0" anchor="t" upright="1"/>
          <a:lstStyle/>
          <a:p>
            <a:pPr algn="ctr" rtl="0">
              <a:defRPr sz="1000"/>
            </a:pPr>
            <a:r>
              <a:rPr lang="nl-BE" sz="1200" b="1" i="0" u="none" strike="noStrike" baseline="0">
                <a:solidFill>
                  <a:srgbClr val="000000"/>
                </a:solidFill>
                <a:latin typeface="Arial Black"/>
              </a:rPr>
              <a:t>5</a:t>
            </a:r>
          </a:p>
        </xdr:txBody>
      </xdr: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ngles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Angles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微软雅黑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/>
        <a:ea typeface=""/>
        <a:cs typeface=""/>
        <a:font script="Jpan" typeface="ＭＳ Ｐゴシック"/>
        <a:font script="Hang" typeface="맑은 고딕"/>
        <a:font script="Hans" typeface="隶书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ngle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20400000"/>
            </a:lightRig>
          </a:scene3d>
          <a:sp3d contourW="6350">
            <a:bevelT w="41275" h="19050" prst="angle"/>
            <a:contourClr>
              <a:schemeClr val="phClr">
                <a:shade val="25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0000"/>
                <a:shade val="85000"/>
              </a:schemeClr>
              <a:schemeClr val="phClr">
                <a:tint val="95000"/>
                <a:shade val="99000"/>
              </a:schemeClr>
            </a:duotone>
          </a:blip>
          <a:tile tx="0" ty="0" sx="100000" sy="100000" flip="none" algn="tl"/>
        </a:blipFill>
        <a:blipFill rotWithShape="1">
          <a:blip xmlns:r="http://schemas.openxmlformats.org/officeDocument/2006/relationships" r:embed="rId2">
            <a:duotone>
              <a:schemeClr val="phClr">
                <a:tint val="93000"/>
                <a:shade val="85000"/>
              </a:schemeClr>
              <a:schemeClr val="phClr">
                <a:tint val="96000"/>
                <a:shade val="99000"/>
              </a:schemeClr>
            </a:duotone>
          </a:blip>
          <a:tile tx="0" ty="0" sx="90000" sy="9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connect.garmin.com/activity/151485380" TargetMode="External"/><Relationship Id="rId117" Type="http://schemas.openxmlformats.org/officeDocument/2006/relationships/control" Target="../activeX/activeX74.xml"/><Relationship Id="rId21" Type="http://schemas.openxmlformats.org/officeDocument/2006/relationships/hyperlink" Target="http://connect.garmin.com/activity/152764366" TargetMode="External"/><Relationship Id="rId42" Type="http://schemas.openxmlformats.org/officeDocument/2006/relationships/control" Target="../activeX/activeX1.xml"/><Relationship Id="rId47" Type="http://schemas.openxmlformats.org/officeDocument/2006/relationships/control" Target="../activeX/activeX5.xml"/><Relationship Id="rId63" Type="http://schemas.openxmlformats.org/officeDocument/2006/relationships/control" Target="../activeX/activeX21.xml"/><Relationship Id="rId68" Type="http://schemas.openxmlformats.org/officeDocument/2006/relationships/control" Target="../activeX/activeX26.xml"/><Relationship Id="rId84" Type="http://schemas.openxmlformats.org/officeDocument/2006/relationships/control" Target="../activeX/activeX42.xml"/><Relationship Id="rId89" Type="http://schemas.openxmlformats.org/officeDocument/2006/relationships/control" Target="../activeX/activeX47.xml"/><Relationship Id="rId112" Type="http://schemas.openxmlformats.org/officeDocument/2006/relationships/control" Target="../activeX/activeX69.xml"/><Relationship Id="rId16" Type="http://schemas.openxmlformats.org/officeDocument/2006/relationships/hyperlink" Target="http://connect.garmin.com/activities" TargetMode="External"/><Relationship Id="rId107" Type="http://schemas.openxmlformats.org/officeDocument/2006/relationships/control" Target="../activeX/activeX64.xml"/><Relationship Id="rId11" Type="http://schemas.openxmlformats.org/officeDocument/2006/relationships/hyperlink" Target="http://connect.garmin.com/activities" TargetMode="External"/><Relationship Id="rId24" Type="http://schemas.openxmlformats.org/officeDocument/2006/relationships/hyperlink" Target="http://connect.garmin.com/activity/151485415" TargetMode="External"/><Relationship Id="rId32" Type="http://schemas.openxmlformats.org/officeDocument/2006/relationships/hyperlink" Target="http://connect.garmin.com/activity/149937834" TargetMode="External"/><Relationship Id="rId37" Type="http://schemas.openxmlformats.org/officeDocument/2006/relationships/hyperlink" Target="http://connect.garmin.com/activity/149616135" TargetMode="External"/><Relationship Id="rId40" Type="http://schemas.openxmlformats.org/officeDocument/2006/relationships/drawing" Target="../drawings/drawing2.xml"/><Relationship Id="rId45" Type="http://schemas.openxmlformats.org/officeDocument/2006/relationships/control" Target="../activeX/activeX3.xml"/><Relationship Id="rId53" Type="http://schemas.openxmlformats.org/officeDocument/2006/relationships/control" Target="../activeX/activeX11.xml"/><Relationship Id="rId58" Type="http://schemas.openxmlformats.org/officeDocument/2006/relationships/control" Target="../activeX/activeX16.xml"/><Relationship Id="rId66" Type="http://schemas.openxmlformats.org/officeDocument/2006/relationships/control" Target="../activeX/activeX24.xml"/><Relationship Id="rId74" Type="http://schemas.openxmlformats.org/officeDocument/2006/relationships/control" Target="../activeX/activeX32.xml"/><Relationship Id="rId79" Type="http://schemas.openxmlformats.org/officeDocument/2006/relationships/control" Target="../activeX/activeX37.xml"/><Relationship Id="rId87" Type="http://schemas.openxmlformats.org/officeDocument/2006/relationships/control" Target="../activeX/activeX45.xml"/><Relationship Id="rId102" Type="http://schemas.openxmlformats.org/officeDocument/2006/relationships/control" Target="../activeX/activeX59.xml"/><Relationship Id="rId110" Type="http://schemas.openxmlformats.org/officeDocument/2006/relationships/control" Target="../activeX/activeX67.xml"/><Relationship Id="rId115" Type="http://schemas.openxmlformats.org/officeDocument/2006/relationships/control" Target="../activeX/activeX72.xml"/><Relationship Id="rId5" Type="http://schemas.openxmlformats.org/officeDocument/2006/relationships/hyperlink" Target="http://connect.garmin.com/activities" TargetMode="External"/><Relationship Id="rId61" Type="http://schemas.openxmlformats.org/officeDocument/2006/relationships/control" Target="../activeX/activeX19.xml"/><Relationship Id="rId82" Type="http://schemas.openxmlformats.org/officeDocument/2006/relationships/control" Target="../activeX/activeX40.xml"/><Relationship Id="rId90" Type="http://schemas.openxmlformats.org/officeDocument/2006/relationships/control" Target="../activeX/activeX48.xml"/><Relationship Id="rId95" Type="http://schemas.openxmlformats.org/officeDocument/2006/relationships/control" Target="../activeX/activeX53.xml"/><Relationship Id="rId19" Type="http://schemas.openxmlformats.org/officeDocument/2006/relationships/hyperlink" Target="http://connect.garmin.com/activities" TargetMode="External"/><Relationship Id="rId14" Type="http://schemas.openxmlformats.org/officeDocument/2006/relationships/hyperlink" Target="http://connect.garmin.com/activities" TargetMode="External"/><Relationship Id="rId22" Type="http://schemas.openxmlformats.org/officeDocument/2006/relationships/hyperlink" Target="http://connect.garmin.com/activity/152764365" TargetMode="External"/><Relationship Id="rId27" Type="http://schemas.openxmlformats.org/officeDocument/2006/relationships/hyperlink" Target="http://connect.garmin.com/activity/151485346" TargetMode="External"/><Relationship Id="rId30" Type="http://schemas.openxmlformats.org/officeDocument/2006/relationships/hyperlink" Target="http://connect.garmin.com/activity/149937840" TargetMode="External"/><Relationship Id="rId35" Type="http://schemas.openxmlformats.org/officeDocument/2006/relationships/hyperlink" Target="http://connect.garmin.com/activity/149937815" TargetMode="External"/><Relationship Id="rId43" Type="http://schemas.openxmlformats.org/officeDocument/2006/relationships/image" Target="../media/image3.emf"/><Relationship Id="rId48" Type="http://schemas.openxmlformats.org/officeDocument/2006/relationships/control" Target="../activeX/activeX6.xml"/><Relationship Id="rId56" Type="http://schemas.openxmlformats.org/officeDocument/2006/relationships/control" Target="../activeX/activeX14.xml"/><Relationship Id="rId64" Type="http://schemas.openxmlformats.org/officeDocument/2006/relationships/control" Target="../activeX/activeX22.xml"/><Relationship Id="rId69" Type="http://schemas.openxmlformats.org/officeDocument/2006/relationships/control" Target="../activeX/activeX27.xml"/><Relationship Id="rId77" Type="http://schemas.openxmlformats.org/officeDocument/2006/relationships/control" Target="../activeX/activeX35.xml"/><Relationship Id="rId100" Type="http://schemas.openxmlformats.org/officeDocument/2006/relationships/control" Target="../activeX/activeX58.xml"/><Relationship Id="rId105" Type="http://schemas.openxmlformats.org/officeDocument/2006/relationships/control" Target="../activeX/activeX62.xml"/><Relationship Id="rId113" Type="http://schemas.openxmlformats.org/officeDocument/2006/relationships/control" Target="../activeX/activeX70.xml"/><Relationship Id="rId118" Type="http://schemas.openxmlformats.org/officeDocument/2006/relationships/control" Target="../activeX/activeX75.xml"/><Relationship Id="rId8" Type="http://schemas.openxmlformats.org/officeDocument/2006/relationships/hyperlink" Target="http://connect.garmin.com/activities" TargetMode="External"/><Relationship Id="rId51" Type="http://schemas.openxmlformats.org/officeDocument/2006/relationships/control" Target="../activeX/activeX9.xml"/><Relationship Id="rId72" Type="http://schemas.openxmlformats.org/officeDocument/2006/relationships/control" Target="../activeX/activeX30.xml"/><Relationship Id="rId80" Type="http://schemas.openxmlformats.org/officeDocument/2006/relationships/control" Target="../activeX/activeX38.xml"/><Relationship Id="rId85" Type="http://schemas.openxmlformats.org/officeDocument/2006/relationships/control" Target="../activeX/activeX43.xml"/><Relationship Id="rId93" Type="http://schemas.openxmlformats.org/officeDocument/2006/relationships/control" Target="../activeX/activeX51.xml"/><Relationship Id="rId98" Type="http://schemas.openxmlformats.org/officeDocument/2006/relationships/control" Target="../activeX/activeX56.xml"/><Relationship Id="rId3" Type="http://schemas.openxmlformats.org/officeDocument/2006/relationships/hyperlink" Target="http://connect.garmin.com/activities" TargetMode="External"/><Relationship Id="rId12" Type="http://schemas.openxmlformats.org/officeDocument/2006/relationships/hyperlink" Target="http://connect.garmin.com/activities" TargetMode="External"/><Relationship Id="rId17" Type="http://schemas.openxmlformats.org/officeDocument/2006/relationships/hyperlink" Target="http://connect.garmin.com/activities" TargetMode="External"/><Relationship Id="rId25" Type="http://schemas.openxmlformats.org/officeDocument/2006/relationships/hyperlink" Target="http://connect.garmin.com/activity/151485393" TargetMode="External"/><Relationship Id="rId33" Type="http://schemas.openxmlformats.org/officeDocument/2006/relationships/hyperlink" Target="http://connect.garmin.com/activity/149937832" TargetMode="External"/><Relationship Id="rId38" Type="http://schemas.openxmlformats.org/officeDocument/2006/relationships/hyperlink" Target="http://connect.garmin.com/activity/149612642" TargetMode="External"/><Relationship Id="rId46" Type="http://schemas.openxmlformats.org/officeDocument/2006/relationships/control" Target="../activeX/activeX4.xml"/><Relationship Id="rId59" Type="http://schemas.openxmlformats.org/officeDocument/2006/relationships/control" Target="../activeX/activeX17.xml"/><Relationship Id="rId67" Type="http://schemas.openxmlformats.org/officeDocument/2006/relationships/control" Target="../activeX/activeX25.xml"/><Relationship Id="rId103" Type="http://schemas.openxmlformats.org/officeDocument/2006/relationships/control" Target="../activeX/activeX60.xml"/><Relationship Id="rId108" Type="http://schemas.openxmlformats.org/officeDocument/2006/relationships/control" Target="../activeX/activeX65.xml"/><Relationship Id="rId116" Type="http://schemas.openxmlformats.org/officeDocument/2006/relationships/control" Target="../activeX/activeX73.xml"/><Relationship Id="rId20" Type="http://schemas.openxmlformats.org/officeDocument/2006/relationships/hyperlink" Target="http://connect.garmin.com/activity/152764377" TargetMode="External"/><Relationship Id="rId41" Type="http://schemas.openxmlformats.org/officeDocument/2006/relationships/vmlDrawing" Target="../drawings/vmlDrawing2.vml"/><Relationship Id="rId54" Type="http://schemas.openxmlformats.org/officeDocument/2006/relationships/control" Target="../activeX/activeX12.xml"/><Relationship Id="rId62" Type="http://schemas.openxmlformats.org/officeDocument/2006/relationships/control" Target="../activeX/activeX20.xml"/><Relationship Id="rId70" Type="http://schemas.openxmlformats.org/officeDocument/2006/relationships/control" Target="../activeX/activeX28.xml"/><Relationship Id="rId75" Type="http://schemas.openxmlformats.org/officeDocument/2006/relationships/control" Target="../activeX/activeX33.xml"/><Relationship Id="rId83" Type="http://schemas.openxmlformats.org/officeDocument/2006/relationships/control" Target="../activeX/activeX41.xml"/><Relationship Id="rId88" Type="http://schemas.openxmlformats.org/officeDocument/2006/relationships/control" Target="../activeX/activeX46.xml"/><Relationship Id="rId91" Type="http://schemas.openxmlformats.org/officeDocument/2006/relationships/control" Target="../activeX/activeX49.xml"/><Relationship Id="rId96" Type="http://schemas.openxmlformats.org/officeDocument/2006/relationships/control" Target="../activeX/activeX54.xml"/><Relationship Id="rId111" Type="http://schemas.openxmlformats.org/officeDocument/2006/relationships/control" Target="../activeX/activeX68.xml"/><Relationship Id="rId1" Type="http://schemas.openxmlformats.org/officeDocument/2006/relationships/hyperlink" Target="http://connect.garmin.com/activities" TargetMode="External"/><Relationship Id="rId6" Type="http://schemas.openxmlformats.org/officeDocument/2006/relationships/hyperlink" Target="http://connect.garmin.com/activities" TargetMode="External"/><Relationship Id="rId15" Type="http://schemas.openxmlformats.org/officeDocument/2006/relationships/hyperlink" Target="http://connect.garmin.com/activities" TargetMode="External"/><Relationship Id="rId23" Type="http://schemas.openxmlformats.org/officeDocument/2006/relationships/hyperlink" Target="http://connect.garmin.com/activity/152714387" TargetMode="External"/><Relationship Id="rId28" Type="http://schemas.openxmlformats.org/officeDocument/2006/relationships/hyperlink" Target="http://connect.garmin.com/activity/149937846" TargetMode="External"/><Relationship Id="rId36" Type="http://schemas.openxmlformats.org/officeDocument/2006/relationships/hyperlink" Target="http://connect.garmin.com/activity/149937812" TargetMode="External"/><Relationship Id="rId49" Type="http://schemas.openxmlformats.org/officeDocument/2006/relationships/control" Target="../activeX/activeX7.xml"/><Relationship Id="rId57" Type="http://schemas.openxmlformats.org/officeDocument/2006/relationships/control" Target="../activeX/activeX15.xml"/><Relationship Id="rId106" Type="http://schemas.openxmlformats.org/officeDocument/2006/relationships/control" Target="../activeX/activeX63.xml"/><Relationship Id="rId114" Type="http://schemas.openxmlformats.org/officeDocument/2006/relationships/control" Target="../activeX/activeX71.xml"/><Relationship Id="rId119" Type="http://schemas.openxmlformats.org/officeDocument/2006/relationships/control" Target="../activeX/activeX76.xml"/><Relationship Id="rId10" Type="http://schemas.openxmlformats.org/officeDocument/2006/relationships/hyperlink" Target="http://connect.garmin.com/activities" TargetMode="External"/><Relationship Id="rId31" Type="http://schemas.openxmlformats.org/officeDocument/2006/relationships/hyperlink" Target="http://connect.garmin.com/activity/149937837" TargetMode="External"/><Relationship Id="rId44" Type="http://schemas.openxmlformats.org/officeDocument/2006/relationships/control" Target="../activeX/activeX2.xml"/><Relationship Id="rId52" Type="http://schemas.openxmlformats.org/officeDocument/2006/relationships/control" Target="../activeX/activeX10.xml"/><Relationship Id="rId60" Type="http://schemas.openxmlformats.org/officeDocument/2006/relationships/control" Target="../activeX/activeX18.xml"/><Relationship Id="rId65" Type="http://schemas.openxmlformats.org/officeDocument/2006/relationships/control" Target="../activeX/activeX23.xml"/><Relationship Id="rId73" Type="http://schemas.openxmlformats.org/officeDocument/2006/relationships/control" Target="../activeX/activeX31.xml"/><Relationship Id="rId78" Type="http://schemas.openxmlformats.org/officeDocument/2006/relationships/control" Target="../activeX/activeX36.xml"/><Relationship Id="rId81" Type="http://schemas.openxmlformats.org/officeDocument/2006/relationships/control" Target="../activeX/activeX39.xml"/><Relationship Id="rId86" Type="http://schemas.openxmlformats.org/officeDocument/2006/relationships/control" Target="../activeX/activeX44.xml"/><Relationship Id="rId94" Type="http://schemas.openxmlformats.org/officeDocument/2006/relationships/control" Target="../activeX/activeX52.xml"/><Relationship Id="rId99" Type="http://schemas.openxmlformats.org/officeDocument/2006/relationships/control" Target="../activeX/activeX57.xml"/><Relationship Id="rId101" Type="http://schemas.openxmlformats.org/officeDocument/2006/relationships/image" Target="../media/image4.emf"/><Relationship Id="rId4" Type="http://schemas.openxmlformats.org/officeDocument/2006/relationships/hyperlink" Target="http://connect.garmin.com/activities" TargetMode="External"/><Relationship Id="rId9" Type="http://schemas.openxmlformats.org/officeDocument/2006/relationships/hyperlink" Target="http://connect.garmin.com/activities" TargetMode="External"/><Relationship Id="rId13" Type="http://schemas.openxmlformats.org/officeDocument/2006/relationships/hyperlink" Target="http://connect.garmin.com/activities" TargetMode="External"/><Relationship Id="rId18" Type="http://schemas.openxmlformats.org/officeDocument/2006/relationships/hyperlink" Target="http://connect.garmin.com/activities" TargetMode="External"/><Relationship Id="rId39" Type="http://schemas.openxmlformats.org/officeDocument/2006/relationships/hyperlink" Target="http://connect.garmin.com/activity/149605158" TargetMode="External"/><Relationship Id="rId109" Type="http://schemas.openxmlformats.org/officeDocument/2006/relationships/control" Target="../activeX/activeX66.xml"/><Relationship Id="rId34" Type="http://schemas.openxmlformats.org/officeDocument/2006/relationships/hyperlink" Target="http://connect.garmin.com/activity/149937818" TargetMode="External"/><Relationship Id="rId50" Type="http://schemas.openxmlformats.org/officeDocument/2006/relationships/control" Target="../activeX/activeX8.xml"/><Relationship Id="rId55" Type="http://schemas.openxmlformats.org/officeDocument/2006/relationships/control" Target="../activeX/activeX13.xml"/><Relationship Id="rId76" Type="http://schemas.openxmlformats.org/officeDocument/2006/relationships/control" Target="../activeX/activeX34.xml"/><Relationship Id="rId97" Type="http://schemas.openxmlformats.org/officeDocument/2006/relationships/control" Target="../activeX/activeX55.xml"/><Relationship Id="rId104" Type="http://schemas.openxmlformats.org/officeDocument/2006/relationships/control" Target="../activeX/activeX61.xml"/><Relationship Id="rId120" Type="http://schemas.openxmlformats.org/officeDocument/2006/relationships/control" Target="../activeX/activeX77.xml"/><Relationship Id="rId7" Type="http://schemas.openxmlformats.org/officeDocument/2006/relationships/hyperlink" Target="http://connect.garmin.com/activities" TargetMode="External"/><Relationship Id="rId71" Type="http://schemas.openxmlformats.org/officeDocument/2006/relationships/control" Target="../activeX/activeX29.xml"/><Relationship Id="rId92" Type="http://schemas.openxmlformats.org/officeDocument/2006/relationships/control" Target="../activeX/activeX50.xml"/><Relationship Id="rId2" Type="http://schemas.openxmlformats.org/officeDocument/2006/relationships/hyperlink" Target="http://connect.garmin.com/activities" TargetMode="External"/><Relationship Id="rId29" Type="http://schemas.openxmlformats.org/officeDocument/2006/relationships/hyperlink" Target="http://connect.garmin.com/activity/14993784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284"/>
  <sheetViews>
    <sheetView tabSelected="1" zoomScale="90" zoomScaleNormal="90" workbookViewId="0">
      <pane ySplit="1" topLeftCell="A1262" activePane="bottomLeft" state="frozen"/>
      <selection pane="bottomLeft" activeCell="A1271" sqref="A1271"/>
    </sheetView>
  </sheetViews>
  <sheetFormatPr defaultRowHeight="13.5" customHeight="1"/>
  <cols>
    <col min="1" max="1" width="17.5703125" style="395" customWidth="1"/>
    <col min="2" max="2" width="8.28515625" style="177" customWidth="1"/>
    <col min="3" max="3" width="8.85546875" style="361" customWidth="1"/>
    <col min="4" max="4" width="12" style="184" customWidth="1"/>
    <col min="5" max="5" width="6.140625" style="66" customWidth="1"/>
    <col min="6" max="7" width="10.28515625" style="66" customWidth="1"/>
    <col min="8" max="8" width="28.85546875" style="28" customWidth="1"/>
    <col min="9" max="9" width="8.5703125" style="49" bestFit="1" customWidth="1"/>
    <col min="10" max="11" width="8.5703125" style="149" bestFit="1" customWidth="1"/>
    <col min="12" max="12" width="10" style="149" customWidth="1"/>
    <col min="13" max="13" width="9.140625" style="27"/>
    <col min="14" max="15" width="10.5703125" style="28" bestFit="1" customWidth="1"/>
    <col min="16" max="16384" width="9.140625" style="27"/>
  </cols>
  <sheetData>
    <row r="1" spans="1:15" ht="13.5" customHeight="1">
      <c r="A1" s="394" t="s">
        <v>68</v>
      </c>
      <c r="B1" s="328" t="s">
        <v>74</v>
      </c>
      <c r="C1" s="375" t="s">
        <v>75</v>
      </c>
      <c r="D1" s="180" t="s">
        <v>76</v>
      </c>
      <c r="E1" s="62" t="s">
        <v>73</v>
      </c>
      <c r="F1" s="62" t="s">
        <v>18</v>
      </c>
      <c r="G1" s="62" t="s">
        <v>597</v>
      </c>
      <c r="H1" s="26"/>
      <c r="I1" s="47" t="s">
        <v>77</v>
      </c>
      <c r="J1" s="149" t="s">
        <v>256</v>
      </c>
      <c r="K1" s="149" t="s">
        <v>257</v>
      </c>
      <c r="L1" s="149" t="s">
        <v>287</v>
      </c>
      <c r="M1" s="27" t="s">
        <v>516</v>
      </c>
      <c r="N1" s="28" t="s">
        <v>598</v>
      </c>
      <c r="O1" s="28" t="s">
        <v>599</v>
      </c>
    </row>
    <row r="2" spans="1:15" ht="13.5" customHeight="1">
      <c r="A2" s="395">
        <v>36926.76871527778</v>
      </c>
      <c r="B2" s="284">
        <v>6.35</v>
      </c>
      <c r="C2" s="358">
        <v>1.9016203703703705E-2</v>
      </c>
      <c r="D2" s="181">
        <f>IF(B2&gt;0,C2/B2,"")</f>
        <v>2.9946777486147568E-3</v>
      </c>
      <c r="E2" s="63">
        <v>182</v>
      </c>
      <c r="F2" s="63">
        <v>198</v>
      </c>
      <c r="G2" s="63"/>
      <c r="H2" s="39"/>
      <c r="I2" s="48">
        <f>1/(D2*24)</f>
        <v>13.913572732805841</v>
      </c>
      <c r="J2" s="149">
        <f>1/((178/(ConditieGetal!$B$2*(E2/(I2*ConditieGetal!$B$2))))*24)*10</f>
        <v>3.0619738777971115E-2</v>
      </c>
    </row>
    <row r="3" spans="1:15" ht="13.5" customHeight="1">
      <c r="A3" s="395">
        <v>36929.879861111112</v>
      </c>
      <c r="B3" s="284">
        <v>6.35</v>
      </c>
      <c r="C3" s="358">
        <v>1.849537037037037E-2</v>
      </c>
      <c r="D3" s="181">
        <f t="shared" ref="D3:D57" si="0">IF(B3&gt;0,C3/B3,"")</f>
        <v>2.9126567512394287E-3</v>
      </c>
      <c r="E3" s="63">
        <v>180</v>
      </c>
      <c r="F3" s="63">
        <v>195</v>
      </c>
      <c r="G3" s="63"/>
      <c r="H3" s="39"/>
      <c r="I3" s="48">
        <f t="shared" ref="I3:I57" si="1">1/(D3*24)</f>
        <v>14.305381727158945</v>
      </c>
      <c r="J3" s="149">
        <f>1/((178/(ConditieGetal!$B$2*(E3/(I3*ConditieGetal!$B$2))))*24)*10</f>
        <v>2.945383231590434E-2</v>
      </c>
    </row>
    <row r="4" spans="1:15" ht="13.5" customHeight="1">
      <c r="A4" s="395">
        <v>36937.474432870367</v>
      </c>
      <c r="B4" s="284">
        <v>6.35</v>
      </c>
      <c r="C4" s="358">
        <v>1.8738425925925926E-2</v>
      </c>
      <c r="D4" s="181">
        <f t="shared" si="0"/>
        <v>2.9509332166812482E-3</v>
      </c>
      <c r="E4" s="63">
        <v>178</v>
      </c>
      <c r="F4" s="63">
        <v>195</v>
      </c>
      <c r="G4" s="63"/>
      <c r="H4" s="39"/>
      <c r="I4" s="48">
        <f t="shared" si="1"/>
        <v>14.119827053736875</v>
      </c>
      <c r="J4" s="149">
        <f>1/((178/(ConditieGetal!$B$2*(E4/(I4*ConditieGetal!$B$2))))*24)*10</f>
        <v>2.9509332166812483E-2</v>
      </c>
    </row>
    <row r="5" spans="1:15" ht="13.5" customHeight="1">
      <c r="A5" s="395">
        <v>36939.443425925929</v>
      </c>
      <c r="B5" s="284">
        <v>10.26</v>
      </c>
      <c r="C5" s="358">
        <v>3.5243055555555555E-2</v>
      </c>
      <c r="D5" s="181">
        <f t="shared" si="0"/>
        <v>3.4349956681828026E-3</v>
      </c>
      <c r="E5" s="63">
        <v>175</v>
      </c>
      <c r="F5" s="63">
        <v>188</v>
      </c>
      <c r="G5" s="63"/>
      <c r="H5" s="39"/>
      <c r="I5" s="48">
        <f t="shared" si="1"/>
        <v>12.130049261083743</v>
      </c>
      <c r="J5" s="149">
        <f>1/((178/(ConditieGetal!$B$2*(E5/(I5*ConditieGetal!$B$2))))*24)*10</f>
        <v>3.3771024827639919E-2</v>
      </c>
    </row>
    <row r="6" spans="1:15" ht="13.5" customHeight="1">
      <c r="A6" s="395">
        <v>36940.710219907407</v>
      </c>
      <c r="B6" s="284">
        <v>10.26</v>
      </c>
      <c r="C6" s="358">
        <v>3.2650462962962964E-2</v>
      </c>
      <c r="D6" s="181">
        <f t="shared" si="0"/>
        <v>3.1823063316728036E-3</v>
      </c>
      <c r="E6" s="63">
        <v>172</v>
      </c>
      <c r="F6" s="63">
        <v>177</v>
      </c>
      <c r="G6" s="63"/>
      <c r="H6" s="39"/>
      <c r="I6" s="48">
        <f t="shared" si="1"/>
        <v>13.093229351293866</v>
      </c>
      <c r="J6" s="149">
        <f>1/((178/(ConditieGetal!$B$2*(E6/(I6*ConditieGetal!$B$2))))*24)*10</f>
        <v>3.0750375789197881E-2</v>
      </c>
    </row>
    <row r="7" spans="1:15" ht="13.5" customHeight="1">
      <c r="A7" s="395">
        <v>36944.873703703706</v>
      </c>
      <c r="B7" s="284">
        <v>6.35</v>
      </c>
      <c r="C7" s="358">
        <v>1.7824074074074076E-2</v>
      </c>
      <c r="D7" s="181">
        <f t="shared" si="0"/>
        <v>2.8069407990667836E-3</v>
      </c>
      <c r="E7" s="63">
        <v>176</v>
      </c>
      <c r="F7" s="63">
        <v>194</v>
      </c>
      <c r="G7" s="63"/>
      <c r="H7" s="39"/>
      <c r="I7" s="48">
        <f t="shared" si="1"/>
        <v>14.844155844155843</v>
      </c>
      <c r="J7" s="149">
        <f>1/((178/(ConditieGetal!$B$2*(E7/(I7*ConditieGetal!$B$2))))*24)*10</f>
        <v>2.7754021384031116E-2</v>
      </c>
    </row>
    <row r="8" spans="1:15" ht="13.5" customHeight="1">
      <c r="A8" s="395">
        <v>36950.876481481479</v>
      </c>
      <c r="B8" s="285">
        <v>10.26</v>
      </c>
      <c r="C8" s="359">
        <v>3.1728009259259261E-2</v>
      </c>
      <c r="D8" s="181">
        <f t="shared" si="0"/>
        <v>3.0923985632806297E-3</v>
      </c>
      <c r="E8" s="64">
        <v>168</v>
      </c>
      <c r="F8" s="64">
        <v>181</v>
      </c>
      <c r="G8" s="64"/>
      <c r="H8" s="39"/>
      <c r="I8" s="48">
        <f t="shared" si="1"/>
        <v>13.473899244883814</v>
      </c>
      <c r="J8" s="149">
        <f>1/((178/(ConditieGetal!$B$2*(E8/(I8*ConditieGetal!$B$2))))*24)*10</f>
        <v>2.9186683069165498E-2</v>
      </c>
    </row>
    <row r="9" spans="1:15" ht="13.5" customHeight="1">
      <c r="A9" s="395">
        <v>36953.707407407404</v>
      </c>
      <c r="B9" s="286">
        <v>12.7</v>
      </c>
      <c r="C9" s="360">
        <v>4.2534722222222224E-2</v>
      </c>
      <c r="D9" s="181">
        <f t="shared" si="0"/>
        <v>3.3491907261592306E-3</v>
      </c>
      <c r="E9" s="65">
        <v>162</v>
      </c>
      <c r="F9" s="65">
        <v>186</v>
      </c>
      <c r="G9" s="65"/>
      <c r="H9" s="39"/>
      <c r="I9" s="48">
        <f t="shared" si="1"/>
        <v>12.44081632653061</v>
      </c>
      <c r="J9" s="149">
        <f>1/((178/(ConditieGetal!$B$2*(E9/(I9*ConditieGetal!$B$2))))*24)*10</f>
        <v>3.0481398743696361E-2</v>
      </c>
    </row>
    <row r="10" spans="1:15" ht="13.5" customHeight="1">
      <c r="A10" s="395">
        <v>36955.869062500002</v>
      </c>
      <c r="B10" s="177">
        <v>10.26</v>
      </c>
      <c r="C10" s="361">
        <v>2.929976851851852E-2</v>
      </c>
      <c r="D10" s="181">
        <f t="shared" si="0"/>
        <v>2.8557279257815323E-3</v>
      </c>
      <c r="E10" s="66">
        <v>172</v>
      </c>
      <c r="F10" s="66">
        <v>188</v>
      </c>
      <c r="H10" s="39"/>
      <c r="I10" s="48">
        <f t="shared" si="1"/>
        <v>14.590558957140033</v>
      </c>
      <c r="J10" s="149">
        <f>1/((178/(ConditieGetal!$B$2*(E10/(I10*ConditieGetal!$B$2))))*24)*10</f>
        <v>2.7594674339012561E-2</v>
      </c>
    </row>
    <row r="11" spans="1:15" ht="13.5" customHeight="1">
      <c r="A11" s="395">
        <v>36961.439583333333</v>
      </c>
      <c r="B11" s="177">
        <v>12.7</v>
      </c>
      <c r="C11" s="361">
        <v>4.2106481481481488E-2</v>
      </c>
      <c r="D11" s="181">
        <f t="shared" si="0"/>
        <v>3.3154709827938182E-3</v>
      </c>
      <c r="E11" s="66">
        <v>163</v>
      </c>
      <c r="F11" s="66">
        <v>173</v>
      </c>
      <c r="H11" s="39"/>
      <c r="I11" s="48">
        <f t="shared" si="1"/>
        <v>12.567344694887298</v>
      </c>
      <c r="J11" s="149">
        <f>1/((178/(ConditieGetal!$B$2*(E11/(I11*ConditieGetal!$B$2))))*24)*10</f>
        <v>3.0360773606482715E-2</v>
      </c>
    </row>
    <row r="12" spans="1:15" ht="13.5" customHeight="1">
      <c r="A12" s="395">
        <v>36963.87222222222</v>
      </c>
      <c r="B12" s="285">
        <v>12.7</v>
      </c>
      <c r="C12" s="359">
        <v>3.6969907407407403E-2</v>
      </c>
      <c r="D12" s="181">
        <f t="shared" si="0"/>
        <v>2.9110163312919216E-3</v>
      </c>
      <c r="E12" s="64">
        <v>170</v>
      </c>
      <c r="F12" s="64">
        <v>184</v>
      </c>
      <c r="G12" s="64"/>
      <c r="H12" s="39"/>
      <c r="I12" s="48">
        <f t="shared" si="1"/>
        <v>14.313443115647111</v>
      </c>
      <c r="J12" s="149">
        <f>1/((178/(ConditieGetal!$B$2*(E12/(I12*ConditieGetal!$B$2))))*24)*10</f>
        <v>2.7801841366271167E-2</v>
      </c>
    </row>
    <row r="13" spans="1:15" ht="13.5" customHeight="1">
      <c r="A13" s="395">
        <v>36965.723611111112</v>
      </c>
      <c r="B13" s="177">
        <v>10.26</v>
      </c>
      <c r="C13" s="361">
        <v>2.8225694444444446E-2</v>
      </c>
      <c r="D13" s="181">
        <f t="shared" si="0"/>
        <v>2.7510423435131038E-3</v>
      </c>
      <c r="E13" s="66">
        <v>175</v>
      </c>
      <c r="F13" s="66">
        <v>185</v>
      </c>
      <c r="H13" s="39"/>
      <c r="I13" s="48">
        <f t="shared" si="1"/>
        <v>15.145774387993603</v>
      </c>
      <c r="J13" s="149">
        <f>1/((178/(ConditieGetal!$B$2*(E13/(I13*ConditieGetal!$B$2))))*24)*10</f>
        <v>2.7046764613190624E-2</v>
      </c>
    </row>
    <row r="14" spans="1:15" ht="13.5" customHeight="1">
      <c r="A14" s="395">
        <v>36967</v>
      </c>
      <c r="B14" s="177">
        <v>6.35</v>
      </c>
      <c r="C14" s="361">
        <v>1.9479166666666669E-2</v>
      </c>
      <c r="D14" s="181">
        <f t="shared" si="0"/>
        <v>3.0675853018372707E-3</v>
      </c>
      <c r="E14" s="66">
        <v>160</v>
      </c>
      <c r="F14" s="66">
        <v>166</v>
      </c>
      <c r="H14" s="39"/>
      <c r="I14" s="48">
        <f t="shared" si="1"/>
        <v>13.582887700534759</v>
      </c>
      <c r="J14" s="149">
        <f>1/((178/(ConditieGetal!$B$2*(E14/(I14*ConditieGetal!$B$2))))*24)*10</f>
        <v>2.757380046595299E-2</v>
      </c>
    </row>
    <row r="15" spans="1:15" ht="13.5" customHeight="1">
      <c r="A15" s="395">
        <v>36969</v>
      </c>
      <c r="B15" s="177">
        <v>11.7</v>
      </c>
      <c r="C15" s="361">
        <v>3.6111111111111115E-2</v>
      </c>
      <c r="D15" s="181">
        <f t="shared" si="0"/>
        <v>3.0864197530864204E-3</v>
      </c>
      <c r="E15" s="66">
        <v>163</v>
      </c>
      <c r="F15" s="66">
        <v>167</v>
      </c>
      <c r="H15" s="39"/>
      <c r="I15" s="48">
        <f t="shared" si="1"/>
        <v>13.499999999999996</v>
      </c>
      <c r="J15" s="149">
        <f>1/((178/(ConditieGetal!$B$2*(E15/(I15*ConditieGetal!$B$2))))*24)*10</f>
        <v>2.8263282008600368E-2</v>
      </c>
    </row>
    <row r="16" spans="1:15" ht="13.5" customHeight="1">
      <c r="A16" s="395">
        <v>36976</v>
      </c>
      <c r="B16" s="285">
        <v>10.26</v>
      </c>
      <c r="C16" s="359">
        <v>2.9166666666666664E-2</v>
      </c>
      <c r="D16" s="181">
        <f t="shared" si="0"/>
        <v>2.8427550357374917E-3</v>
      </c>
      <c r="E16" s="64">
        <v>173</v>
      </c>
      <c r="F16" s="64">
        <v>178</v>
      </c>
      <c r="G16" s="64"/>
      <c r="H16" s="39"/>
      <c r="I16" s="48">
        <f t="shared" si="1"/>
        <v>14.657142857142858</v>
      </c>
      <c r="J16" s="149">
        <f>1/((178/(ConditieGetal!$B$2*(E16/(I16*ConditieGetal!$B$2))))*24)*10</f>
        <v>2.7629023661943034E-2</v>
      </c>
    </row>
    <row r="17" spans="1:10" ht="13.5" customHeight="1">
      <c r="A17" s="395">
        <v>36977.732638888891</v>
      </c>
      <c r="B17" s="177">
        <v>6.35</v>
      </c>
      <c r="C17" s="361">
        <v>1.6712962962962961E-2</v>
      </c>
      <c r="D17" s="181">
        <f t="shared" si="0"/>
        <v>2.6319626713327497E-3</v>
      </c>
      <c r="E17" s="66">
        <v>177</v>
      </c>
      <c r="F17" s="66">
        <v>190</v>
      </c>
      <c r="H17" s="39"/>
      <c r="I17" s="48">
        <f t="shared" si="1"/>
        <v>15.831024930747924</v>
      </c>
      <c r="J17" s="149">
        <f>1/((178/(ConditieGetal!$B$2*(E17/(I17*ConditieGetal!$B$2))))*24)*10</f>
        <v>2.6171763641904305E-2</v>
      </c>
    </row>
    <row r="18" spans="1:10" ht="13.5" customHeight="1">
      <c r="A18" s="395">
        <v>36979.879861111112</v>
      </c>
      <c r="B18" s="285">
        <v>12.7</v>
      </c>
      <c r="C18" s="359">
        <v>4.0306712962962961E-2</v>
      </c>
      <c r="D18" s="181">
        <f t="shared" si="0"/>
        <v>3.173756926217556E-3</v>
      </c>
      <c r="E18" s="64">
        <v>159</v>
      </c>
      <c r="F18" s="64">
        <v>164</v>
      </c>
      <c r="G18" s="64"/>
      <c r="H18" s="39"/>
      <c r="I18" s="48">
        <f t="shared" si="1"/>
        <v>13.128499641062454</v>
      </c>
      <c r="J18" s="149">
        <f>1/((178/(ConditieGetal!$B$2*(E18/(I18*ConditieGetal!$B$2))))*24)*10</f>
        <v>2.8349851194864689E-2</v>
      </c>
    </row>
    <row r="19" spans="1:10" ht="13.5" customHeight="1">
      <c r="A19" s="395">
        <v>36988.626388888886</v>
      </c>
      <c r="B19" s="285">
        <v>10.26</v>
      </c>
      <c r="C19" s="359">
        <v>2.7909722222222221E-2</v>
      </c>
      <c r="D19" s="181">
        <f t="shared" si="0"/>
        <v>2.7202458306259474E-3</v>
      </c>
      <c r="E19" s="64">
        <v>174</v>
      </c>
      <c r="F19" s="64">
        <v>184</v>
      </c>
      <c r="G19" s="64"/>
      <c r="H19" s="39"/>
      <c r="I19" s="48">
        <f t="shared" si="1"/>
        <v>15.317243095297339</v>
      </c>
      <c r="J19" s="149">
        <f>1/((178/(ConditieGetal!$B$2*(E19/(I19*ConditieGetal!$B$2))))*24)*10</f>
        <v>2.6591167108366003E-2</v>
      </c>
    </row>
    <row r="20" spans="1:10" ht="13.5" customHeight="1">
      <c r="A20" s="395">
        <v>37030.434027777781</v>
      </c>
      <c r="B20" s="177">
        <v>12.7</v>
      </c>
      <c r="C20" s="361">
        <v>4.1863425925925929E-2</v>
      </c>
      <c r="D20" s="181">
        <f t="shared" si="0"/>
        <v>3.2963327500729078E-3</v>
      </c>
      <c r="E20" s="66">
        <v>162</v>
      </c>
      <c r="F20" s="66">
        <v>176</v>
      </c>
      <c r="H20" s="39"/>
      <c r="I20" s="48">
        <f t="shared" si="1"/>
        <v>12.640309648880287</v>
      </c>
      <c r="J20" s="149">
        <f>1/((178/(ConditieGetal!$B$2*(E20/(I20*ConditieGetal!$B$2))))*24)*10</f>
        <v>3.000033177032646E-2</v>
      </c>
    </row>
    <row r="21" spans="1:10" ht="13.5" customHeight="1">
      <c r="A21" s="395">
        <v>37031.474999999999</v>
      </c>
      <c r="B21" s="177">
        <v>10.26</v>
      </c>
      <c r="C21" s="361">
        <v>3.0410879629629628E-2</v>
      </c>
      <c r="D21" s="181">
        <f t="shared" si="0"/>
        <v>2.9640233557143886E-3</v>
      </c>
      <c r="E21" s="66">
        <v>167</v>
      </c>
      <c r="H21" s="39"/>
      <c r="I21" s="48">
        <f t="shared" si="1"/>
        <v>14.057469077069458</v>
      </c>
      <c r="J21" s="149">
        <f>1/((178/(ConditieGetal!$B$2*(E21/(I21*ConditieGetal!$B$2))))*24)*10</f>
        <v>2.7808533730578823E-2</v>
      </c>
    </row>
    <row r="22" spans="1:10" ht="13.5" customHeight="1">
      <c r="A22" s="395">
        <v>37032.872916666667</v>
      </c>
      <c r="B22" s="285">
        <v>12.7</v>
      </c>
      <c r="C22" s="359">
        <v>3.6679398148148148E-2</v>
      </c>
      <c r="D22" s="181">
        <f t="shared" si="0"/>
        <v>2.8881415864683581E-3</v>
      </c>
      <c r="E22" s="64">
        <v>164</v>
      </c>
      <c r="F22" s="64"/>
      <c r="G22" s="64"/>
      <c r="H22" s="39"/>
      <c r="I22" s="48">
        <f t="shared" si="1"/>
        <v>14.426808873181661</v>
      </c>
      <c r="J22" s="149">
        <f>1/((178/(ConditieGetal!$B$2*(E22/(I22*ConditieGetal!$B$2))))*24)*10</f>
        <v>2.6609843830382621E-2</v>
      </c>
    </row>
    <row r="23" spans="1:10" ht="13.5" customHeight="1">
      <c r="A23" s="395">
        <v>37034.771527777775</v>
      </c>
      <c r="B23" s="177">
        <v>5</v>
      </c>
      <c r="C23" s="361">
        <v>1.3234953703703705E-2</v>
      </c>
      <c r="D23" s="181">
        <f t="shared" si="0"/>
        <v>2.646990740740741E-3</v>
      </c>
      <c r="E23" s="66">
        <v>172</v>
      </c>
      <c r="F23" s="66">
        <v>182</v>
      </c>
      <c r="H23" s="39"/>
      <c r="I23" s="48">
        <f t="shared" si="1"/>
        <v>15.74114560559685</v>
      </c>
      <c r="J23" s="149">
        <f>1/((178/(ConditieGetal!$B$2*(E23/(I23*ConditieGetal!$B$2))))*24)*10</f>
        <v>2.5577663337494796E-2</v>
      </c>
    </row>
    <row r="24" spans="1:10" ht="13.5" customHeight="1">
      <c r="A24" s="395">
        <v>37037.73541666667</v>
      </c>
      <c r="B24" s="177">
        <v>10.26</v>
      </c>
      <c r="C24" s="361">
        <v>2.8432870370370372E-2</v>
      </c>
      <c r="D24" s="181">
        <f t="shared" si="0"/>
        <v>2.7712349288860011E-3</v>
      </c>
      <c r="E24" s="66">
        <v>168</v>
      </c>
      <c r="F24" s="66">
        <v>180</v>
      </c>
      <c r="H24" s="39"/>
      <c r="I24" s="48">
        <f t="shared" si="1"/>
        <v>15.035414800944393</v>
      </c>
      <c r="J24" s="149">
        <f>1/((178/(ConditieGetal!$B$2*(E24/(I24*ConditieGetal!$B$2))))*24)*10</f>
        <v>2.615547573330608E-2</v>
      </c>
    </row>
    <row r="25" spans="1:10" ht="13.5" customHeight="1">
      <c r="A25" s="395">
        <v>37038.865277777775</v>
      </c>
      <c r="B25" s="285">
        <v>6.35</v>
      </c>
      <c r="C25" s="359">
        <v>1.7574074074074072E-2</v>
      </c>
      <c r="D25" s="181">
        <f t="shared" si="0"/>
        <v>2.7675707203266256E-3</v>
      </c>
      <c r="E25" s="64">
        <v>162</v>
      </c>
      <c r="F25" s="64">
        <v>169</v>
      </c>
      <c r="G25" s="64"/>
      <c r="H25" s="30"/>
      <c r="I25" s="48">
        <f t="shared" si="1"/>
        <v>15.055321390937829</v>
      </c>
      <c r="J25" s="149">
        <f>1/((178/(ConditieGetal!$B$2*(E25/(I25*ConditieGetal!$B$2))))*24)*10</f>
        <v>2.5188003184995131E-2</v>
      </c>
    </row>
    <row r="26" spans="1:10" ht="13.5" customHeight="1">
      <c r="A26" s="395">
        <v>37040.879861111112</v>
      </c>
      <c r="B26" s="177">
        <v>12.7</v>
      </c>
      <c r="C26" s="361">
        <v>3.4924768518518515E-2</v>
      </c>
      <c r="D26" s="181">
        <f t="shared" si="0"/>
        <v>2.7499817731116943E-3</v>
      </c>
      <c r="E26" s="66">
        <v>167</v>
      </c>
      <c r="F26" s="66">
        <v>180</v>
      </c>
      <c r="H26" s="30"/>
      <c r="I26" s="48">
        <f t="shared" si="1"/>
        <v>15.151615575807789</v>
      </c>
      <c r="J26" s="149">
        <f>1/((178/(ConditieGetal!$B$2*(E26/(I26*ConditieGetal!$B$2))))*24)*10</f>
        <v>2.5800390792677128E-2</v>
      </c>
    </row>
    <row r="27" spans="1:10" ht="13.5" customHeight="1">
      <c r="A27" s="395">
        <v>37042.795138888891</v>
      </c>
      <c r="B27" s="177">
        <v>1</v>
      </c>
      <c r="C27" s="361">
        <v>2.0567129629629629E-3</v>
      </c>
      <c r="D27" s="181">
        <f t="shared" si="0"/>
        <v>2.0567129629629629E-3</v>
      </c>
      <c r="E27" s="66">
        <v>168</v>
      </c>
      <c r="F27" s="66">
        <v>185</v>
      </c>
      <c r="H27" s="30"/>
      <c r="I27" s="48">
        <f t="shared" si="1"/>
        <v>20.258863252673045</v>
      </c>
      <c r="J27" s="149">
        <f>1/((178/(ConditieGetal!$B$2*(E27/(I27*ConditieGetal!$B$2))))*24)*10</f>
        <v>1.9411672908863923E-2</v>
      </c>
    </row>
    <row r="28" spans="1:10" ht="13.5" customHeight="1">
      <c r="A28" s="395">
        <v>37043.81527777778</v>
      </c>
      <c r="B28" s="177">
        <f>2*6.47</f>
        <v>12.94</v>
      </c>
      <c r="C28" s="361">
        <v>3.4060185185185186E-2</v>
      </c>
      <c r="D28" s="181">
        <f t="shared" si="0"/>
        <v>2.6321626881905093E-3</v>
      </c>
      <c r="E28" s="66">
        <v>177</v>
      </c>
      <c r="F28" s="66">
        <v>189</v>
      </c>
      <c r="H28" s="30" t="s">
        <v>80</v>
      </c>
      <c r="I28" s="48">
        <f t="shared" si="1"/>
        <v>15.82982193829006</v>
      </c>
      <c r="J28" s="149">
        <f>1/((178/(ConditieGetal!$B$2*(E28/(I28*ConditieGetal!$B$2))))*24)*10</f>
        <v>2.6173752573579782E-2</v>
      </c>
    </row>
    <row r="29" spans="1:10" ht="13.5" customHeight="1">
      <c r="A29" s="395">
        <v>37049.772222222222</v>
      </c>
      <c r="B29" s="285">
        <v>6.35</v>
      </c>
      <c r="C29" s="359">
        <v>1.9623842592592592E-2</v>
      </c>
      <c r="D29" s="181">
        <f t="shared" si="0"/>
        <v>3.0903689122193062E-3</v>
      </c>
      <c r="E29" s="64">
        <v>150</v>
      </c>
      <c r="F29" s="64">
        <v>156</v>
      </c>
      <c r="G29" s="64"/>
      <c r="H29" s="30"/>
      <c r="I29" s="48">
        <f t="shared" si="1"/>
        <v>13.482748451784135</v>
      </c>
      <c r="J29" s="149">
        <f>1/((178/(ConditieGetal!$B$2*(E29/(I29*ConditieGetal!$B$2))))*24)*10</f>
        <v>2.6042434653533481E-2</v>
      </c>
    </row>
    <row r="30" spans="1:10" ht="13.5" customHeight="1">
      <c r="A30" s="395">
        <v>37050.713194444441</v>
      </c>
      <c r="B30" s="177">
        <v>10.26</v>
      </c>
      <c r="C30" s="361">
        <v>3.2667824074074071E-2</v>
      </c>
      <c r="D30" s="181">
        <f t="shared" si="0"/>
        <v>3.1839984477655043E-3</v>
      </c>
      <c r="E30" s="66">
        <v>151</v>
      </c>
      <c r="F30" s="66">
        <v>156</v>
      </c>
      <c r="I30" s="48">
        <f t="shared" si="1"/>
        <v>13.086271036315322</v>
      </c>
      <c r="J30" s="149">
        <f>1/((178/(ConditieGetal!$B$2*(E30/(I30*ConditieGetal!$B$2))))*24)*10</f>
        <v>2.7010323910819731E-2</v>
      </c>
    </row>
    <row r="31" spans="1:10" ht="13.5" customHeight="1">
      <c r="A31" s="395">
        <v>37054.750694444447</v>
      </c>
      <c r="B31" s="177">
        <v>6.35</v>
      </c>
      <c r="C31" s="361">
        <v>2.0969907407407406E-2</v>
      </c>
      <c r="D31" s="181">
        <f t="shared" si="0"/>
        <v>3.3023476232137651E-3</v>
      </c>
      <c r="E31" s="66">
        <v>150</v>
      </c>
      <c r="F31" s="66">
        <v>156</v>
      </c>
      <c r="H31" s="30"/>
      <c r="I31" s="48">
        <f t="shared" si="1"/>
        <v>12.617286676233581</v>
      </c>
      <c r="J31" s="149">
        <f>1/((178/(ConditieGetal!$B$2*(E31/(I31*ConditieGetal!$B$2))))*24)*10</f>
        <v>2.7828772105733972E-2</v>
      </c>
    </row>
    <row r="32" spans="1:10" ht="13.5" customHeight="1">
      <c r="A32" s="395">
        <v>37058.769444444442</v>
      </c>
      <c r="B32" s="177">
        <v>9</v>
      </c>
      <c r="C32" s="361">
        <v>2.3905092592592592E-2</v>
      </c>
      <c r="D32" s="181">
        <f t="shared" si="0"/>
        <v>2.6561213991769545E-3</v>
      </c>
      <c r="E32" s="66">
        <v>180</v>
      </c>
      <c r="F32" s="66">
        <v>194</v>
      </c>
      <c r="H32" s="28" t="s">
        <v>84</v>
      </c>
      <c r="I32" s="48">
        <f t="shared" si="1"/>
        <v>15.687033988573644</v>
      </c>
      <c r="J32" s="149">
        <f>1/((178/(ConditieGetal!$B$2*(E32/(I32*ConditieGetal!$B$2))))*24)*10</f>
        <v>2.6859654598418638E-2</v>
      </c>
    </row>
    <row r="33" spans="1:10" ht="13.5" customHeight="1">
      <c r="A33" s="395">
        <v>37145.472222222219</v>
      </c>
      <c r="B33" s="177">
        <v>6.35</v>
      </c>
      <c r="C33" s="361">
        <v>2.3119212962962959E-2</v>
      </c>
      <c r="D33" s="181">
        <f t="shared" si="0"/>
        <v>3.6408209390492853E-3</v>
      </c>
      <c r="E33" s="66">
        <v>166</v>
      </c>
      <c r="F33" s="66">
        <v>189</v>
      </c>
      <c r="H33" s="30"/>
      <c r="I33" s="48">
        <f t="shared" si="1"/>
        <v>11.44430538172716</v>
      </c>
      <c r="J33" s="149">
        <f>1/((178/(ConditieGetal!$B$2*(E33/(I33*ConditieGetal!$B$2))))*24)*10</f>
        <v>3.3953723364167486E-2</v>
      </c>
    </row>
    <row r="34" spans="1:10" ht="13.5" customHeight="1">
      <c r="A34" s="395">
        <v>37158.785416666666</v>
      </c>
      <c r="B34" s="177">
        <v>6.35</v>
      </c>
      <c r="C34" s="361">
        <v>2.207175925925926E-2</v>
      </c>
      <c r="D34" s="181">
        <f t="shared" si="0"/>
        <v>3.4758675998833484E-3</v>
      </c>
      <c r="E34" s="66">
        <v>158</v>
      </c>
      <c r="F34" s="66">
        <v>181</v>
      </c>
      <c r="H34" s="30"/>
      <c r="I34" s="48">
        <f t="shared" si="1"/>
        <v>11.987414787624539</v>
      </c>
      <c r="J34" s="149">
        <f>1/((178/(ConditieGetal!$B$2*(E34/(I34*ConditieGetal!$B$2))))*24)*10</f>
        <v>3.085320678548141E-2</v>
      </c>
    </row>
    <row r="35" spans="1:10" ht="13.5" customHeight="1">
      <c r="A35" s="395">
        <v>37166.879166666666</v>
      </c>
      <c r="B35" s="177">
        <v>6.35</v>
      </c>
      <c r="C35" s="361">
        <v>2.2250000000000002E-2</v>
      </c>
      <c r="D35" s="181">
        <f t="shared" si="0"/>
        <v>3.5039370078740165E-3</v>
      </c>
      <c r="E35" s="66">
        <v>161</v>
      </c>
      <c r="F35" s="66">
        <v>197</v>
      </c>
      <c r="H35" s="30"/>
      <c r="I35" s="48">
        <f t="shared" si="1"/>
        <v>11.891385767790259</v>
      </c>
      <c r="J35" s="149">
        <f>1/((178/(ConditieGetal!$B$2*(E35/(I35*ConditieGetal!$B$2))))*24)*10</f>
        <v>3.1692913385826776E-2</v>
      </c>
    </row>
    <row r="36" spans="1:10" ht="13.5" customHeight="1">
      <c r="A36" s="395">
        <v>37170.683333333334</v>
      </c>
      <c r="B36" s="177">
        <v>6.35</v>
      </c>
      <c r="C36" s="361">
        <v>2.2798611111111113E-2</v>
      </c>
      <c r="D36" s="181">
        <f t="shared" si="0"/>
        <v>3.5903324584426952E-3</v>
      </c>
      <c r="E36" s="66">
        <v>161</v>
      </c>
      <c r="F36" s="66">
        <v>202</v>
      </c>
      <c r="I36" s="48">
        <f t="shared" si="1"/>
        <v>11.605239110569599</v>
      </c>
      <c r="J36" s="149">
        <f>1/((178/(ConditieGetal!$B$2*(E36/(I36*ConditieGetal!$B$2))))*24)*10</f>
        <v>3.2474355382543479E-2</v>
      </c>
    </row>
    <row r="37" spans="1:10" ht="13.5" customHeight="1">
      <c r="A37" s="395">
        <v>37171.449999999997</v>
      </c>
      <c r="B37" s="285">
        <v>10.26</v>
      </c>
      <c r="C37" s="359">
        <v>4.1979166666666672E-2</v>
      </c>
      <c r="D37" s="181">
        <f t="shared" si="0"/>
        <v>4.0915367121507479E-3</v>
      </c>
      <c r="E37" s="64">
        <v>157</v>
      </c>
      <c r="F37" s="64">
        <v>205</v>
      </c>
      <c r="G37" s="64"/>
      <c r="H37" s="30"/>
      <c r="I37" s="48">
        <f t="shared" si="1"/>
        <v>10.183622828784118</v>
      </c>
      <c r="J37" s="149">
        <f>1/((178/(ConditieGetal!$B$2*(E37/(I37*ConditieGetal!$B$2))))*24)*10</f>
        <v>3.6088273247621767E-2</v>
      </c>
    </row>
    <row r="38" spans="1:10" ht="13.5" customHeight="1">
      <c r="A38" s="395">
        <v>37174.878472222219</v>
      </c>
      <c r="B38" s="177">
        <v>6.35</v>
      </c>
      <c r="C38" s="361">
        <v>2.2693287037037036E-2</v>
      </c>
      <c r="D38" s="181">
        <f t="shared" si="0"/>
        <v>3.5737459900845726E-3</v>
      </c>
      <c r="E38" s="66">
        <v>161</v>
      </c>
      <c r="F38" s="66">
        <v>196</v>
      </c>
      <c r="I38" s="48">
        <f t="shared" si="1"/>
        <v>11.65910134135768</v>
      </c>
      <c r="J38" s="149">
        <f>1/((178/(ConditieGetal!$B$2*(E38/(I38*ConditieGetal!$B$2))))*24)*10</f>
        <v>3.2324331708068324E-2</v>
      </c>
    </row>
    <row r="39" spans="1:10" ht="13.5" customHeight="1">
      <c r="A39" s="395">
        <v>37176.884027777778</v>
      </c>
      <c r="B39" s="177">
        <v>6.35</v>
      </c>
      <c r="C39" s="361">
        <v>2.2416666666666668E-2</v>
      </c>
      <c r="D39" s="181">
        <f t="shared" si="0"/>
        <v>3.5301837270341209E-3</v>
      </c>
      <c r="E39" s="66">
        <v>162</v>
      </c>
      <c r="F39" s="66">
        <v>205</v>
      </c>
      <c r="I39" s="48">
        <f t="shared" si="1"/>
        <v>11.802973977695167</v>
      </c>
      <c r="J39" s="149">
        <f>1/((178/(ConditieGetal!$B$2*(E39/(I39*ConditieGetal!$B$2))))*24)*10</f>
        <v>3.2128638414580198E-2</v>
      </c>
    </row>
    <row r="40" spans="1:10" ht="13.5" customHeight="1">
      <c r="A40" s="395">
        <v>37177.748611111114</v>
      </c>
      <c r="B40" s="177">
        <v>6.35</v>
      </c>
      <c r="C40" s="361">
        <v>1.9192129629629632E-2</v>
      </c>
      <c r="D40" s="181">
        <f t="shared" si="0"/>
        <v>3.0223826188393124E-3</v>
      </c>
      <c r="E40" s="66">
        <v>173</v>
      </c>
      <c r="F40" s="66">
        <v>192</v>
      </c>
      <c r="I40" s="48">
        <f t="shared" si="1"/>
        <v>13.786033047883244</v>
      </c>
      <c r="J40" s="149">
        <f>1/((178/(ConditieGetal!$B$2*(E40/(I40*ConditieGetal!$B$2))))*24)*10</f>
        <v>2.9374842306696694E-2</v>
      </c>
    </row>
    <row r="41" spans="1:10" ht="13.5" customHeight="1">
      <c r="A41" s="395">
        <v>37186.729166666664</v>
      </c>
      <c r="B41" s="285">
        <v>6.35</v>
      </c>
      <c r="C41" s="359">
        <v>2.0978009259259259E-2</v>
      </c>
      <c r="D41" s="181">
        <f t="shared" si="0"/>
        <v>3.3036235053951592E-3</v>
      </c>
      <c r="E41" s="64">
        <v>174</v>
      </c>
      <c r="F41" s="64">
        <v>198</v>
      </c>
      <c r="G41" s="64"/>
      <c r="H41" s="30"/>
      <c r="I41" s="48">
        <f t="shared" si="1"/>
        <v>12.612413793103446</v>
      </c>
      <c r="J41" s="149">
        <f>1/((178/(ConditieGetal!$B$2*(E41/(I41*ConditieGetal!$B$2))))*24)*10</f>
        <v>3.2293847749368415E-2</v>
      </c>
    </row>
    <row r="42" spans="1:10" ht="13.5" customHeight="1">
      <c r="A42" s="395">
        <v>37193.880555555559</v>
      </c>
      <c r="B42" s="177">
        <v>10.26</v>
      </c>
      <c r="C42" s="361">
        <v>3.5783564814814817E-2</v>
      </c>
      <c r="D42" s="181">
        <f t="shared" si="0"/>
        <v>3.4876768825355571E-3</v>
      </c>
      <c r="E42" s="66">
        <v>159</v>
      </c>
      <c r="F42" s="66">
        <v>198</v>
      </c>
      <c r="H42" s="30"/>
      <c r="I42" s="48">
        <f t="shared" si="1"/>
        <v>11.946825371155027</v>
      </c>
      <c r="J42" s="149">
        <f>1/((178/(ConditieGetal!$B$2*(E42/(I42*ConditieGetal!$B$2))))*24)*10</f>
        <v>3.1153967658604134E-2</v>
      </c>
    </row>
    <row r="43" spans="1:10" ht="13.5" customHeight="1">
      <c r="A43" s="395">
        <v>37195.745138888888</v>
      </c>
      <c r="B43" s="177">
        <v>12.7</v>
      </c>
      <c r="C43" s="361">
        <v>4.6828703703703706E-2</v>
      </c>
      <c r="D43" s="181">
        <f t="shared" si="0"/>
        <v>3.6872995042286387E-3</v>
      </c>
      <c r="E43" s="66">
        <v>158</v>
      </c>
      <c r="F43" s="66">
        <v>185</v>
      </c>
      <c r="I43" s="48">
        <f t="shared" si="1"/>
        <v>11.300049431537319</v>
      </c>
      <c r="J43" s="149">
        <f>1/((178/(ConditieGetal!$B$2*(E43/(I43*ConditieGetal!$B$2))))*24)*10</f>
        <v>3.2729961891467693E-2</v>
      </c>
    </row>
    <row r="44" spans="1:10" ht="13.5" customHeight="1">
      <c r="A44" s="395">
        <v>37196.816666666666</v>
      </c>
      <c r="B44" s="285">
        <v>10.26</v>
      </c>
      <c r="C44" s="359">
        <v>3.9328703703703706E-2</v>
      </c>
      <c r="D44" s="181">
        <f t="shared" si="0"/>
        <v>3.8332069886650787E-3</v>
      </c>
      <c r="E44" s="64">
        <v>150</v>
      </c>
      <c r="F44" s="64">
        <v>197</v>
      </c>
      <c r="G44" s="64"/>
      <c r="H44" s="30"/>
      <c r="I44" s="48">
        <f t="shared" si="1"/>
        <v>10.869923484402589</v>
      </c>
      <c r="J44" s="149">
        <f>1/((178/(ConditieGetal!$B$2*(E44/(I44*ConditieGetal!$B$2))))*24)*10</f>
        <v>3.2302306084256285E-2</v>
      </c>
    </row>
    <row r="45" spans="1:10" ht="13.5" customHeight="1">
      <c r="A45" s="395">
        <v>37281.713194444441</v>
      </c>
      <c r="B45" s="177">
        <v>10.26</v>
      </c>
      <c r="C45" s="361">
        <v>3.3105324074074079E-2</v>
      </c>
      <c r="D45" s="181">
        <f t="shared" si="0"/>
        <v>3.2266397733015672E-3</v>
      </c>
      <c r="E45" s="66">
        <v>162</v>
      </c>
      <c r="F45" s="66">
        <v>187</v>
      </c>
      <c r="I45" s="48">
        <f t="shared" si="1"/>
        <v>12.9133307694997</v>
      </c>
      <c r="J45" s="149">
        <f>1/((178/(ConditieGetal!$B$2*(E45/(I45*ConditieGetal!$B$2))))*24)*10</f>
        <v>2.936604737499179E-2</v>
      </c>
    </row>
    <row r="46" spans="1:10" ht="13.5" customHeight="1">
      <c r="A46" s="395">
        <v>37282.563888888886</v>
      </c>
      <c r="B46" s="285">
        <f>10.26+6.35</f>
        <v>16.61</v>
      </c>
      <c r="C46" s="359">
        <v>6.3333333333333339E-2</v>
      </c>
      <c r="D46" s="181">
        <f t="shared" si="0"/>
        <v>3.8129640778647405E-3</v>
      </c>
      <c r="E46" s="64">
        <v>153</v>
      </c>
      <c r="F46" s="64">
        <v>171</v>
      </c>
      <c r="G46" s="64"/>
      <c r="H46" s="30"/>
      <c r="I46" s="48">
        <f t="shared" si="1"/>
        <v>10.927631578947368</v>
      </c>
      <c r="J46" s="149">
        <f>1/((178/(ConditieGetal!$B$2*(E46/(I46*ConditieGetal!$B$2))))*24)*10</f>
        <v>3.2774354152432877E-2</v>
      </c>
    </row>
    <row r="47" spans="1:10" ht="13.5" customHeight="1">
      <c r="A47" s="395">
        <v>37283.493750000001</v>
      </c>
      <c r="B47" s="285">
        <v>6.35</v>
      </c>
      <c r="C47" s="359">
        <v>1.815162037037037E-2</v>
      </c>
      <c r="D47" s="181">
        <f t="shared" si="0"/>
        <v>2.8585228929717118E-3</v>
      </c>
      <c r="E47" s="64">
        <v>175</v>
      </c>
      <c r="F47" s="64">
        <v>185</v>
      </c>
      <c r="G47" s="64"/>
      <c r="H47" s="30"/>
      <c r="I47" s="48">
        <f t="shared" si="1"/>
        <v>14.576292801122236</v>
      </c>
      <c r="J47" s="149">
        <f>1/((178/(ConditieGetal!$B$2*(E47/(I47*ConditieGetal!$B$2))))*24)*10</f>
        <v>2.8103455408429755E-2</v>
      </c>
    </row>
    <row r="48" spans="1:10" ht="13.5" customHeight="1">
      <c r="A48" s="395">
        <v>37296.599305555559</v>
      </c>
      <c r="B48" s="177">
        <v>10.26</v>
      </c>
      <c r="C48" s="361">
        <v>3.5350694444444448E-2</v>
      </c>
      <c r="D48" s="181">
        <f t="shared" si="0"/>
        <v>3.4454867879575488E-3</v>
      </c>
      <c r="E48" s="66">
        <v>171</v>
      </c>
      <c r="F48" s="66">
        <v>193</v>
      </c>
      <c r="H48" s="30"/>
      <c r="I48" s="48">
        <f t="shared" si="1"/>
        <v>12.093114625282388</v>
      </c>
      <c r="J48" s="149">
        <f>1/((178/(ConditieGetal!$B$2*(E48/(I48*ConditieGetal!$B$2))))*24)*10</f>
        <v>3.3099901165210152E-2</v>
      </c>
    </row>
    <row r="49" spans="1:10" ht="13.5" customHeight="1">
      <c r="A49" s="395">
        <v>37301.646527777775</v>
      </c>
      <c r="B49" s="285">
        <v>10.26</v>
      </c>
      <c r="C49" s="359">
        <v>3.0538194444444444E-2</v>
      </c>
      <c r="D49" s="181">
        <f t="shared" si="0"/>
        <v>2.9764322070608622E-3</v>
      </c>
      <c r="E49" s="64">
        <v>174</v>
      </c>
      <c r="F49" s="64">
        <v>189</v>
      </c>
      <c r="G49" s="64"/>
      <c r="H49" s="30"/>
      <c r="I49" s="48">
        <f t="shared" si="1"/>
        <v>13.998862990335418</v>
      </c>
      <c r="J49" s="149">
        <f>1/((178/(ConditieGetal!$B$2*(E49/(I49*ConditieGetal!$B$2))))*24)*10</f>
        <v>2.9095460900482581E-2</v>
      </c>
    </row>
    <row r="50" spans="1:10" ht="13.5" customHeight="1">
      <c r="A50" s="395">
        <v>37306.777777777781</v>
      </c>
      <c r="B50" s="177">
        <v>6.35</v>
      </c>
      <c r="C50" s="361">
        <v>1.8124999999999999E-2</v>
      </c>
      <c r="D50" s="181">
        <f t="shared" si="0"/>
        <v>2.8543307086614173E-3</v>
      </c>
      <c r="E50" s="66">
        <v>174</v>
      </c>
      <c r="F50" s="66">
        <v>188</v>
      </c>
      <c r="H50" s="30"/>
      <c r="I50" s="48">
        <f t="shared" si="1"/>
        <v>14.597701149425285</v>
      </c>
      <c r="J50" s="149">
        <f>1/((178/(ConditieGetal!$B$2*(E50/(I50*ConditieGetal!$B$2))))*24)*10</f>
        <v>2.7901884455454308E-2</v>
      </c>
    </row>
    <row r="51" spans="1:10" ht="13.5" customHeight="1">
      <c r="A51" s="395">
        <v>37310.71597222222</v>
      </c>
      <c r="B51" s="177">
        <v>10.26</v>
      </c>
      <c r="C51" s="361">
        <v>3.4979166666666665E-2</v>
      </c>
      <c r="D51" s="181">
        <f t="shared" si="0"/>
        <v>3.4092755035737493E-3</v>
      </c>
      <c r="E51" s="66">
        <v>156</v>
      </c>
      <c r="F51" s="66">
        <v>177</v>
      </c>
      <c r="I51" s="48">
        <f t="shared" si="1"/>
        <v>12.221560452650385</v>
      </c>
      <c r="J51" s="149">
        <f>1/((178/(ConditieGetal!$B$2*(E51/(I51*ConditieGetal!$B$2))))*24)*10</f>
        <v>2.9879043739185662E-2</v>
      </c>
    </row>
    <row r="52" spans="1:10" ht="13.5" customHeight="1">
      <c r="A52" s="395">
        <v>37313.727777777778</v>
      </c>
      <c r="B52" s="177">
        <v>6</v>
      </c>
      <c r="C52" s="361">
        <v>2.1393518518518517E-2</v>
      </c>
      <c r="D52" s="181">
        <f t="shared" si="0"/>
        <v>3.565586419753086E-3</v>
      </c>
      <c r="E52" s="66">
        <v>156</v>
      </c>
      <c r="F52" s="66">
        <v>188</v>
      </c>
      <c r="I52" s="48">
        <f t="shared" si="1"/>
        <v>11.685782298203852</v>
      </c>
      <c r="J52" s="149">
        <f>1/((178/(ConditieGetal!$B$2*(E52/(I52*ConditieGetal!$B$2))))*24)*10</f>
        <v>3.1248959633791096E-2</v>
      </c>
    </row>
    <row r="53" spans="1:10" ht="13.5" customHeight="1">
      <c r="A53" s="395">
        <v>37318.451388888891</v>
      </c>
      <c r="B53" s="177">
        <v>9</v>
      </c>
      <c r="C53" s="361">
        <v>3.4678240740740739E-2</v>
      </c>
      <c r="D53" s="181">
        <f t="shared" si="0"/>
        <v>3.8531378600823044E-3</v>
      </c>
      <c r="E53" s="66">
        <v>149</v>
      </c>
      <c r="F53" s="66">
        <v>156</v>
      </c>
      <c r="H53" s="28" t="s">
        <v>85</v>
      </c>
      <c r="I53" s="48">
        <f t="shared" si="1"/>
        <v>10.813697349976637</v>
      </c>
      <c r="J53" s="149">
        <f>1/((178/(ConditieGetal!$B$2*(E53/(I53*ConditieGetal!$B$2))))*24)*10</f>
        <v>3.2253794446756363E-2</v>
      </c>
    </row>
    <row r="54" spans="1:10" ht="13.5" customHeight="1">
      <c r="A54" s="395">
        <v>37319.746527777781</v>
      </c>
      <c r="B54" s="177">
        <v>6.35</v>
      </c>
      <c r="C54" s="361">
        <v>2.2879629629629628E-2</v>
      </c>
      <c r="D54" s="181">
        <f t="shared" si="0"/>
        <v>3.6030912802566344E-3</v>
      </c>
      <c r="E54" s="66">
        <v>150</v>
      </c>
      <c r="F54" s="66">
        <v>163</v>
      </c>
      <c r="I54" s="48">
        <f t="shared" si="1"/>
        <v>11.564144071226226</v>
      </c>
      <c r="J54" s="149">
        <f>1/((178/(ConditieGetal!$B$2*(E54/(I54*ConditieGetal!$B$2))))*24)*10</f>
        <v>3.0363128766207597E-2</v>
      </c>
    </row>
    <row r="55" spans="1:10" ht="13.5" customHeight="1">
      <c r="A55" s="395">
        <v>37322.872916666667</v>
      </c>
      <c r="B55" s="177">
        <v>6</v>
      </c>
      <c r="C55" s="361">
        <v>1.8755787037037036E-2</v>
      </c>
      <c r="D55" s="181">
        <f t="shared" si="0"/>
        <v>3.1259645061728395E-3</v>
      </c>
      <c r="E55" s="66">
        <v>164</v>
      </c>
      <c r="F55" s="66">
        <v>185</v>
      </c>
      <c r="I55" s="48">
        <f t="shared" si="1"/>
        <v>13.329219376735576</v>
      </c>
      <c r="J55" s="149">
        <f>1/((178/(ConditieGetal!$B$2*(E55/(I55*ConditieGetal!$B$2))))*24)*10</f>
        <v>2.8801021292828407E-2</v>
      </c>
    </row>
    <row r="56" spans="1:10" ht="13.5" customHeight="1">
      <c r="A56" s="395">
        <v>37324.592361111114</v>
      </c>
      <c r="B56" s="177">
        <v>10.26</v>
      </c>
      <c r="C56" s="361">
        <v>3.3262731481481483E-2</v>
      </c>
      <c r="D56" s="181">
        <f t="shared" si="0"/>
        <v>3.2419816258753885E-3</v>
      </c>
      <c r="E56" s="66">
        <v>168</v>
      </c>
      <c r="F56" s="67" t="s">
        <v>86</v>
      </c>
      <c r="G56" s="67"/>
      <c r="I56" s="48">
        <f t="shared" si="1"/>
        <v>12.852221719614459</v>
      </c>
      <c r="J56" s="149">
        <f>1/((178/(ConditieGetal!$B$2*(E56/(I56*ConditieGetal!$B$2))))*24)*10</f>
        <v>3.0598478266689062E-2</v>
      </c>
    </row>
    <row r="57" spans="1:10" ht="13.5" customHeight="1">
      <c r="A57" s="395">
        <v>37327.710416666669</v>
      </c>
      <c r="B57" s="177">
        <v>6.35</v>
      </c>
      <c r="C57" s="361">
        <v>1.7584490740740741E-2</v>
      </c>
      <c r="D57" s="181">
        <f t="shared" si="0"/>
        <v>2.7692111402741327E-3</v>
      </c>
      <c r="E57" s="66">
        <v>174</v>
      </c>
      <c r="F57" s="66">
        <v>189</v>
      </c>
      <c r="H57" s="28" t="s">
        <v>87</v>
      </c>
      <c r="I57" s="48">
        <f t="shared" si="1"/>
        <v>15.046402948726387</v>
      </c>
      <c r="J57" s="149">
        <f>1/((178/(ConditieGetal!$B$2*(E57/(I57*ConditieGetal!$B$2))))*24)*10</f>
        <v>2.7069816764477474E-2</v>
      </c>
    </row>
    <row r="58" spans="1:10" ht="13.5" customHeight="1">
      <c r="A58" s="395">
        <v>37328.725694444445</v>
      </c>
      <c r="B58" s="177">
        <v>10.26</v>
      </c>
      <c r="C58" s="361">
        <v>3.5086805555555552E-2</v>
      </c>
      <c r="D58" s="181">
        <f t="shared" ref="D58:D78" si="2">IF(B58&gt;0,C58/B58,"")</f>
        <v>3.4197666233484942E-3</v>
      </c>
      <c r="E58" s="66">
        <v>158</v>
      </c>
      <c r="F58" s="66">
        <v>185</v>
      </c>
      <c r="I58" s="48">
        <f t="shared" ref="I58:I63" si="3">1/(D58*24)</f>
        <v>12.184067293419101</v>
      </c>
      <c r="J58" s="149">
        <f>1/((178/(ConditieGetal!$B$2*(E58/(I58*ConditieGetal!$B$2))))*24)*10</f>
        <v>3.0355231825228209E-2</v>
      </c>
    </row>
    <row r="59" spans="1:10" ht="13.5" customHeight="1">
      <c r="A59" s="395">
        <v>37330.744444444441</v>
      </c>
      <c r="B59" s="177">
        <v>10.26</v>
      </c>
      <c r="C59" s="361">
        <v>3.2050925925925927E-2</v>
      </c>
      <c r="D59" s="181">
        <f t="shared" si="2"/>
        <v>3.1238719226048661E-3</v>
      </c>
      <c r="E59" s="66">
        <v>162</v>
      </c>
      <c r="F59" s="66">
        <v>177</v>
      </c>
      <c r="I59" s="48">
        <f t="shared" si="3"/>
        <v>13.338148201646685</v>
      </c>
      <c r="J59" s="149">
        <f>1/((178/(ConditieGetal!$B$2*(E59/(I59*ConditieGetal!$B$2))))*24)*10</f>
        <v>2.8430744464156645E-2</v>
      </c>
    </row>
    <row r="60" spans="1:10" ht="13.5" customHeight="1">
      <c r="A60" s="395">
        <v>37331.599305555559</v>
      </c>
      <c r="B60" s="177">
        <v>10.26</v>
      </c>
      <c r="C60" s="361">
        <v>3.0233796296296297E-2</v>
      </c>
      <c r="D60" s="181">
        <f t="shared" si="2"/>
        <v>2.9467637715688399E-3</v>
      </c>
      <c r="E60" s="66">
        <v>166</v>
      </c>
      <c r="F60" s="66">
        <v>188</v>
      </c>
      <c r="I60" s="48">
        <f t="shared" si="3"/>
        <v>14.139805527907511</v>
      </c>
      <c r="J60" s="149">
        <f>1/((178/(ConditieGetal!$B$2*(E60/(I60*ConditieGetal!$B$2))))*24)*10</f>
        <v>2.7481055397776819E-2</v>
      </c>
    </row>
    <row r="61" spans="1:10" ht="13.5" customHeight="1">
      <c r="A61" s="395">
        <v>37332.458333333336</v>
      </c>
      <c r="B61" s="177">
        <v>16.61</v>
      </c>
      <c r="C61" s="361">
        <v>5.9507175925925922E-2</v>
      </c>
      <c r="D61" s="181">
        <f t="shared" si="2"/>
        <v>3.5826114344326265E-3</v>
      </c>
      <c r="E61" s="66" t="s">
        <v>88</v>
      </c>
      <c r="F61" s="66" t="s">
        <v>88</v>
      </c>
      <c r="I61" s="48">
        <f t="shared" si="3"/>
        <v>11.630250008752446</v>
      </c>
    </row>
    <row r="62" spans="1:10" ht="13.5" customHeight="1">
      <c r="A62" s="395">
        <v>37335.713888888888</v>
      </c>
      <c r="B62" s="177">
        <v>8</v>
      </c>
      <c r="C62" s="361">
        <v>2.2930555555555555E-2</v>
      </c>
      <c r="D62" s="181">
        <f t="shared" si="2"/>
        <v>2.8663194444444443E-3</v>
      </c>
      <c r="E62" s="66">
        <v>170</v>
      </c>
      <c r="F62" s="66">
        <v>179</v>
      </c>
      <c r="I62" s="48">
        <f t="shared" si="3"/>
        <v>14.5366444579043</v>
      </c>
      <c r="J62" s="149">
        <f>1/((178/(ConditieGetal!$B$2*(E62/(I62*ConditieGetal!$B$2))))*24)*10</f>
        <v>2.7374960986267162E-2</v>
      </c>
    </row>
    <row r="63" spans="1:10" ht="13.5" customHeight="1">
      <c r="A63" s="395">
        <v>37337.709027777775</v>
      </c>
      <c r="B63" s="177">
        <v>6.35</v>
      </c>
      <c r="C63" s="361">
        <v>1.7357638888888891E-2</v>
      </c>
      <c r="D63" s="181">
        <f t="shared" si="2"/>
        <v>2.7334864391951011E-3</v>
      </c>
      <c r="E63" s="66">
        <v>172</v>
      </c>
      <c r="F63" s="66">
        <v>184</v>
      </c>
      <c r="H63" s="28" t="s">
        <v>87</v>
      </c>
      <c r="I63" s="48">
        <f t="shared" si="3"/>
        <v>15.24304860972194</v>
      </c>
      <c r="J63" s="149">
        <f>1/((178/(ConditieGetal!$B$2*(E63/(I63*ConditieGetal!$B$2))))*24)*10</f>
        <v>2.6413464468626819E-2</v>
      </c>
    </row>
    <row r="64" spans="1:10" ht="13.5" customHeight="1">
      <c r="A64" s="395">
        <v>37338.59097222222</v>
      </c>
      <c r="B64" s="177">
        <v>12.7</v>
      </c>
      <c r="C64" s="361">
        <v>4.3321759259259261E-2</v>
      </c>
      <c r="D64" s="181">
        <f t="shared" si="2"/>
        <v>3.4111621463983671E-3</v>
      </c>
      <c r="E64" s="66">
        <v>153</v>
      </c>
      <c r="F64" s="66">
        <v>179</v>
      </c>
      <c r="I64" s="48">
        <f t="shared" ref="I64:I78" si="4">1/(D64*24)</f>
        <v>12.214800961795351</v>
      </c>
      <c r="J64" s="149">
        <f>1/((178/(ConditieGetal!$B$2*(E64/(I64*ConditieGetal!$B$2))))*24)*10</f>
        <v>2.9320663393199442E-2</v>
      </c>
    </row>
    <row r="65" spans="1:10" ht="13.5" customHeight="1">
      <c r="A65" s="395">
        <v>37347.625694444447</v>
      </c>
      <c r="B65" s="177">
        <v>12</v>
      </c>
      <c r="C65" s="361">
        <v>3.2648148148148148E-2</v>
      </c>
      <c r="D65" s="181">
        <f t="shared" si="2"/>
        <v>2.7206790123456789E-3</v>
      </c>
      <c r="E65" s="66">
        <v>177</v>
      </c>
      <c r="F65" s="66">
        <v>189</v>
      </c>
      <c r="H65" s="28" t="s">
        <v>89</v>
      </c>
      <c r="I65" s="48">
        <f t="shared" si="4"/>
        <v>15.314804310833805</v>
      </c>
      <c r="J65" s="149">
        <f>1/((178/(ConditieGetal!$B$2*(E65/(I65*ConditieGetal!$B$2))))*24)*10</f>
        <v>2.7053942987931755E-2</v>
      </c>
    </row>
    <row r="66" spans="1:10" ht="13.5" customHeight="1">
      <c r="A66" s="395">
        <v>37348.786805555559</v>
      </c>
      <c r="B66" s="177">
        <v>10.26</v>
      </c>
      <c r="C66" s="361">
        <v>3.2994212962962961E-2</v>
      </c>
      <c r="D66" s="181">
        <f t="shared" si="2"/>
        <v>3.2158102303082811E-3</v>
      </c>
      <c r="E66" s="66">
        <v>159</v>
      </c>
      <c r="F66" s="66">
        <v>174</v>
      </c>
      <c r="I66" s="48">
        <f t="shared" si="4"/>
        <v>12.956817623741536</v>
      </c>
      <c r="J66" s="149">
        <f>1/((178/(ConditieGetal!$B$2*(E66/(I66*ConditieGetal!$B$2))))*24)*10</f>
        <v>2.8725495877472852E-2</v>
      </c>
    </row>
    <row r="67" spans="1:10" ht="13.5" customHeight="1">
      <c r="A67" s="395">
        <v>37351.713888888888</v>
      </c>
      <c r="B67" s="177">
        <v>10.26</v>
      </c>
      <c r="C67" s="361">
        <v>3.5131944444444445E-2</v>
      </c>
      <c r="D67" s="181">
        <f t="shared" si="2"/>
        <v>3.4241661251895169E-3</v>
      </c>
      <c r="E67" s="66">
        <v>154</v>
      </c>
      <c r="F67" s="66">
        <v>177</v>
      </c>
      <c r="I67" s="48">
        <f t="shared" si="4"/>
        <v>12.168412729788496</v>
      </c>
      <c r="J67" s="149">
        <f>1/((178/(ConditieGetal!$B$2*(E67/(I67*ConditieGetal!$B$2))))*24)*10</f>
        <v>2.9624808049392451E-2</v>
      </c>
    </row>
    <row r="68" spans="1:10" ht="13.5" customHeight="1">
      <c r="A68" s="395">
        <v>37352.888194444444</v>
      </c>
      <c r="B68" s="177">
        <v>6.35</v>
      </c>
      <c r="C68" s="361">
        <v>1.9135416666666665E-2</v>
      </c>
      <c r="D68" s="181">
        <f t="shared" si="2"/>
        <v>3.0134514435695538E-3</v>
      </c>
      <c r="E68" s="66">
        <v>165</v>
      </c>
      <c r="F68" s="66">
        <v>175</v>
      </c>
      <c r="I68" s="48">
        <f t="shared" si="4"/>
        <v>13.826891671203047</v>
      </c>
      <c r="J68" s="149">
        <f>1/((178/(ConditieGetal!$B$2*(E68/(I68*ConditieGetal!$B$2))))*24)*10</f>
        <v>2.7933679111740248E-2</v>
      </c>
    </row>
    <row r="69" spans="1:10" ht="13.5" customHeight="1">
      <c r="A69" s="395">
        <v>37354.859027777777</v>
      </c>
      <c r="B69" s="177">
        <v>6.35</v>
      </c>
      <c r="C69" s="361">
        <v>2.2540277777777774E-2</v>
      </c>
      <c r="D69" s="181">
        <f t="shared" si="2"/>
        <v>3.5496500437445315E-3</v>
      </c>
      <c r="E69" s="66">
        <v>152</v>
      </c>
      <c r="F69" s="66">
        <v>166</v>
      </c>
      <c r="I69" s="48">
        <f t="shared" si="4"/>
        <v>11.738246349128106</v>
      </c>
      <c r="J69" s="149">
        <f>1/((178/(ConditieGetal!$B$2*(E69/(I69*ConditieGetal!$B$2))))*24)*10</f>
        <v>3.0311618351076895E-2</v>
      </c>
    </row>
    <row r="70" spans="1:10" ht="13.5" customHeight="1">
      <c r="A70" s="395">
        <v>37356.850694444445</v>
      </c>
      <c r="B70" s="177">
        <v>10.26</v>
      </c>
      <c r="C70" s="361">
        <v>3.0607638888888889E-2</v>
      </c>
      <c r="D70" s="181">
        <f t="shared" si="2"/>
        <v>2.9832006714316656E-3</v>
      </c>
      <c r="E70" s="66">
        <v>172</v>
      </c>
      <c r="F70" s="66">
        <v>186</v>
      </c>
      <c r="I70" s="48">
        <f t="shared" si="4"/>
        <v>13.967101531480431</v>
      </c>
      <c r="J70" s="149">
        <f>1/((178/(ConditieGetal!$B$2*(E70/(I70*ConditieGetal!$B$2))))*24)*10</f>
        <v>2.8826433454283516E-2</v>
      </c>
    </row>
    <row r="71" spans="1:10" ht="13.5" customHeight="1">
      <c r="A71" s="395">
        <v>37359.607638888891</v>
      </c>
      <c r="B71" s="177">
        <v>10.26</v>
      </c>
      <c r="C71" s="361">
        <v>2.9789351851851855E-2</v>
      </c>
      <c r="D71" s="181">
        <f t="shared" si="2"/>
        <v>2.9034455995956975E-3</v>
      </c>
      <c r="E71" s="66">
        <v>176</v>
      </c>
      <c r="F71" s="66">
        <v>192</v>
      </c>
      <c r="I71" s="48">
        <f t="shared" si="4"/>
        <v>14.350765405237389</v>
      </c>
      <c r="J71" s="149">
        <f>1/((178/(ConditieGetal!$B$2*(E71/(I71*ConditieGetal!$B$2))))*24)*10</f>
        <v>2.8708226153305774E-2</v>
      </c>
    </row>
    <row r="72" spans="1:10" ht="13.5" customHeight="1">
      <c r="A72" s="395">
        <v>37360.477083333331</v>
      </c>
      <c r="B72" s="177">
        <v>6.35</v>
      </c>
      <c r="C72" s="361">
        <v>2.0939814814814814E-2</v>
      </c>
      <c r="D72" s="181">
        <f t="shared" si="2"/>
        <v>3.2976086322543015E-3</v>
      </c>
      <c r="E72" s="66">
        <v>160</v>
      </c>
      <c r="F72" s="66">
        <v>167</v>
      </c>
      <c r="I72" s="48">
        <f t="shared" si="4"/>
        <v>12.63541896971037</v>
      </c>
      <c r="J72" s="149">
        <f>1/((178/(ConditieGetal!$B$2*(E72/(I72*ConditieGetal!$B$2))))*24)*10</f>
        <v>2.9641425907903834E-2</v>
      </c>
    </row>
    <row r="73" spans="1:10" ht="13.5" customHeight="1">
      <c r="A73" s="395">
        <v>37361.761805555558</v>
      </c>
      <c r="B73" s="177">
        <v>10.26</v>
      </c>
      <c r="C73" s="361">
        <v>3.2121527777777777E-2</v>
      </c>
      <c r="D73" s="181">
        <f t="shared" si="2"/>
        <v>3.1307531947151828E-3</v>
      </c>
      <c r="E73" s="66">
        <v>162</v>
      </c>
      <c r="F73" s="66">
        <v>176</v>
      </c>
      <c r="I73" s="48">
        <f t="shared" si="4"/>
        <v>13.30883147767809</v>
      </c>
      <c r="J73" s="149">
        <f>1/((178/(ConditieGetal!$B$2*(E73/(I73*ConditieGetal!$B$2))))*24)*10</f>
        <v>2.8493371772126946E-2</v>
      </c>
    </row>
    <row r="74" spans="1:10" ht="13.5" customHeight="1">
      <c r="A74" s="395">
        <v>37363.746527777781</v>
      </c>
      <c r="B74" s="177">
        <v>6.35</v>
      </c>
      <c r="C74" s="361">
        <v>1.6927083333333332E-2</v>
      </c>
      <c r="D74" s="181">
        <f t="shared" si="2"/>
        <v>2.6656824146981629E-3</v>
      </c>
      <c r="E74" s="66">
        <v>171</v>
      </c>
      <c r="F74" s="66">
        <v>187</v>
      </c>
      <c r="I74" s="48">
        <f t="shared" si="4"/>
        <v>15.630769230769232</v>
      </c>
      <c r="J74" s="149">
        <f>1/((178/(ConditieGetal!$B$2*(E74/(I74*ConditieGetal!$B$2))))*24)*10</f>
        <v>2.5608522073785715E-2</v>
      </c>
    </row>
    <row r="75" spans="1:10" ht="13.5" customHeight="1">
      <c r="A75" s="395">
        <v>37366.579861111109</v>
      </c>
      <c r="B75" s="177">
        <v>16.61</v>
      </c>
      <c r="C75" s="359">
        <v>5.2152777777777777E-2</v>
      </c>
      <c r="D75" s="182">
        <f t="shared" si="2"/>
        <v>3.1398421299083552E-3</v>
      </c>
      <c r="E75" s="66">
        <v>155</v>
      </c>
      <c r="F75" s="66">
        <v>173</v>
      </c>
      <c r="H75" s="31"/>
      <c r="I75" s="48">
        <f t="shared" si="4"/>
        <v>13.270306258322236</v>
      </c>
      <c r="J75" s="149">
        <f>1/((178/(ConditieGetal!$B$2*(E75/(I75*ConditieGetal!$B$2))))*24)*10</f>
        <v>2.7341321917741298E-2</v>
      </c>
    </row>
    <row r="76" spans="1:10" ht="13.5" customHeight="1">
      <c r="A76" s="395">
        <v>37367.48541666667</v>
      </c>
      <c r="B76" s="177">
        <v>10.26</v>
      </c>
      <c r="C76" s="361">
        <v>2.8232638888888887E-2</v>
      </c>
      <c r="D76" s="184">
        <f t="shared" si="2"/>
        <v>2.7517191899501842E-3</v>
      </c>
      <c r="E76" s="66">
        <v>170</v>
      </c>
      <c r="F76" s="66">
        <v>188</v>
      </c>
      <c r="H76" s="29"/>
      <c r="I76" s="48">
        <f t="shared" si="4"/>
        <v>15.142048948468823</v>
      </c>
      <c r="J76" s="149">
        <f>1/((178/(ConditieGetal!$B$2*(E76/(I76*ConditieGetal!$B$2))))*24)*10</f>
        <v>2.6280464173681538E-2</v>
      </c>
    </row>
    <row r="77" spans="1:10" ht="13.5" customHeight="1">
      <c r="A77" s="395">
        <v>37369.847916666666</v>
      </c>
      <c r="B77" s="177">
        <v>12.7</v>
      </c>
      <c r="C77" s="361">
        <v>4.1932870370370377E-2</v>
      </c>
      <c r="D77" s="184">
        <f t="shared" si="2"/>
        <v>3.3018008165645969E-3</v>
      </c>
      <c r="E77" s="66">
        <v>150</v>
      </c>
      <c r="F77" s="66">
        <v>158</v>
      </c>
      <c r="H77" s="29"/>
      <c r="I77" s="48">
        <f t="shared" si="4"/>
        <v>12.619376207562791</v>
      </c>
      <c r="J77" s="149">
        <f>1/((178/(ConditieGetal!$B$2*(E77/(I77*ConditieGetal!$B$2))))*24)*10</f>
        <v>2.7824164184533127E-2</v>
      </c>
    </row>
    <row r="78" spans="1:10" ht="13.5" customHeight="1">
      <c r="A78" s="395">
        <v>37371.724305555559</v>
      </c>
      <c r="B78" s="177">
        <v>10.26</v>
      </c>
      <c r="C78" s="361">
        <v>3.3390046296296293E-2</v>
      </c>
      <c r="D78" s="184">
        <f t="shared" si="2"/>
        <v>3.2543904772218608E-3</v>
      </c>
      <c r="E78" s="66">
        <v>151</v>
      </c>
      <c r="F78" s="66">
        <v>160</v>
      </c>
      <c r="H78" s="29"/>
      <c r="I78" s="48">
        <f t="shared" si="4"/>
        <v>12.80321674928074</v>
      </c>
      <c r="J78" s="149">
        <f>1/((178/(ConditieGetal!$B$2*(E78/(I78*ConditieGetal!$B$2))))*24)*10</f>
        <v>2.7607469778679831E-2</v>
      </c>
    </row>
    <row r="79" spans="1:10" ht="13.5" customHeight="1">
      <c r="A79" s="395">
        <v>37372.695833333331</v>
      </c>
      <c r="B79" s="177">
        <v>5</v>
      </c>
      <c r="C79" s="361">
        <v>1.3460648148148147E-2</v>
      </c>
      <c r="D79" s="184">
        <f t="shared" ref="D79:D90" si="5">IF(B79&gt;0,C79/B79,"")</f>
        <v>2.6921296296296294E-3</v>
      </c>
      <c r="E79" s="66">
        <v>169</v>
      </c>
      <c r="F79" s="66">
        <v>180</v>
      </c>
      <c r="H79" s="29"/>
      <c r="I79" s="48">
        <f t="shared" ref="I79:I90" si="6">1/(D79*24)</f>
        <v>15.477214101461739</v>
      </c>
      <c r="J79" s="149">
        <f>1/((178/(ConditieGetal!$B$2*(E79/(I79*ConditieGetal!$B$2))))*24)*10</f>
        <v>2.556010715771951E-2</v>
      </c>
    </row>
    <row r="80" spans="1:10" ht="13.5" customHeight="1">
      <c r="A80" s="395">
        <v>37376.625694444447</v>
      </c>
      <c r="B80" s="177">
        <v>16.61</v>
      </c>
      <c r="C80" s="361">
        <v>5.6215277777777774E-2</v>
      </c>
      <c r="D80" s="184">
        <f t="shared" si="5"/>
        <v>3.3844237072713891E-3</v>
      </c>
      <c r="E80" s="66">
        <v>154</v>
      </c>
      <c r="F80" s="66">
        <v>175</v>
      </c>
      <c r="H80" s="29"/>
      <c r="I80" s="48">
        <f t="shared" si="6"/>
        <v>12.311303273625695</v>
      </c>
      <c r="J80" s="149">
        <f>1/((178/(ConditieGetal!$B$2*(E80/(I80*ConditieGetal!$B$2))))*24)*10</f>
        <v>2.9280969152797411E-2</v>
      </c>
    </row>
    <row r="81" spans="1:10" ht="13.5" customHeight="1">
      <c r="A81" s="395">
        <v>37377.622916666667</v>
      </c>
      <c r="B81" s="177">
        <v>11</v>
      </c>
      <c r="C81" s="361">
        <v>2.9984953703703705E-2</v>
      </c>
      <c r="D81" s="184">
        <f t="shared" si="5"/>
        <v>2.725904882154882E-3</v>
      </c>
      <c r="E81" s="66">
        <v>174</v>
      </c>
      <c r="F81" s="66">
        <v>188</v>
      </c>
      <c r="H81" s="29"/>
      <c r="I81" s="48">
        <f t="shared" si="6"/>
        <v>15.285444088470298</v>
      </c>
      <c r="J81" s="149">
        <f>1/((178/(ConditieGetal!$B$2*(E81/(I81*ConditieGetal!$B$2))))*24)*10</f>
        <v>2.6646485926682555E-2</v>
      </c>
    </row>
    <row r="82" spans="1:10" ht="13.5" customHeight="1">
      <c r="A82" s="395">
        <v>37379.707638888889</v>
      </c>
      <c r="B82" s="177">
        <v>10.26</v>
      </c>
      <c r="C82" s="359">
        <v>3.0671296296296294E-2</v>
      </c>
      <c r="D82" s="184">
        <f t="shared" si="5"/>
        <v>2.9894050971049019E-3</v>
      </c>
      <c r="E82" s="66">
        <v>155</v>
      </c>
      <c r="F82" s="66">
        <v>172</v>
      </c>
      <c r="H82" s="31"/>
      <c r="I82" s="48">
        <f t="shared" si="6"/>
        <v>13.93811320754717</v>
      </c>
      <c r="J82" s="149">
        <f>1/((178/(ConditieGetal!$B$2*(E82/(I82*ConditieGetal!$B$2))))*24)*10</f>
        <v>2.6031336519733699E-2</v>
      </c>
    </row>
    <row r="83" spans="1:10" ht="13.5" customHeight="1">
      <c r="A83" s="395">
        <v>37380.688194444447</v>
      </c>
      <c r="B83" s="177">
        <v>10.26</v>
      </c>
      <c r="C83" s="361">
        <v>3.1884259259259258E-2</v>
      </c>
      <c r="D83" s="184">
        <f t="shared" si="5"/>
        <v>3.1076276081149377E-3</v>
      </c>
      <c r="E83" s="66">
        <v>158</v>
      </c>
      <c r="F83" s="66">
        <v>178</v>
      </c>
      <c r="H83" s="29" t="s">
        <v>91</v>
      </c>
      <c r="I83" s="48">
        <f t="shared" si="6"/>
        <v>13.407869899811239</v>
      </c>
      <c r="J83" s="149">
        <f>1/((178/(ConditieGetal!$B$2*(E83/(I83*ConditieGetal!$B$2))))*24)*10</f>
        <v>2.7584559667537083E-2</v>
      </c>
    </row>
    <row r="84" spans="1:10" ht="13.5" customHeight="1">
      <c r="A84" s="395">
        <v>37381.740277777775</v>
      </c>
      <c r="B84" s="177">
        <v>16.61</v>
      </c>
      <c r="C84" s="361">
        <v>5.2627314814814814E-2</v>
      </c>
      <c r="D84" s="184">
        <f t="shared" si="5"/>
        <v>3.168411487947912E-3</v>
      </c>
      <c r="E84" s="66">
        <v>155</v>
      </c>
      <c r="F84" s="66">
        <v>182</v>
      </c>
      <c r="H84" s="29"/>
      <c r="I84" s="48">
        <f t="shared" si="6"/>
        <v>13.150648779414999</v>
      </c>
      <c r="J84" s="149">
        <f>1/((178/(ConditieGetal!$B$2*(E84/(I84*ConditieGetal!$B$2))))*24)*10</f>
        <v>2.7590100035501483E-2</v>
      </c>
    </row>
    <row r="85" spans="1:10" ht="13.5" customHeight="1">
      <c r="A85" s="395">
        <v>37383.787499999999</v>
      </c>
      <c r="B85" s="177">
        <v>12.7</v>
      </c>
      <c r="C85" s="361">
        <v>3.8002314814814815E-2</v>
      </c>
      <c r="D85" s="184">
        <f t="shared" si="5"/>
        <v>2.992308253135025E-3</v>
      </c>
      <c r="E85" s="66">
        <v>162</v>
      </c>
      <c r="F85" s="66">
        <v>181</v>
      </c>
      <c r="H85" s="29"/>
      <c r="I85" s="48">
        <f t="shared" si="6"/>
        <v>13.92459036364744</v>
      </c>
      <c r="J85" s="149">
        <f>1/((178/(ConditieGetal!$B$2*(E85/(I85*ConditieGetal!$B$2))))*24)*10</f>
        <v>2.7233367247633374E-2</v>
      </c>
    </row>
    <row r="86" spans="1:10" ht="13.5" customHeight="1">
      <c r="A86" s="395">
        <v>37384.888888888891</v>
      </c>
      <c r="B86" s="177">
        <v>10.26</v>
      </c>
      <c r="C86" s="359">
        <v>2.7314814814814816E-2</v>
      </c>
      <c r="D86" s="184">
        <f t="shared" si="5"/>
        <v>2.6622626525160641E-3</v>
      </c>
      <c r="E86" s="66">
        <v>172</v>
      </c>
      <c r="F86" s="66">
        <v>182</v>
      </c>
      <c r="H86" s="31"/>
      <c r="I86" s="48">
        <f t="shared" si="6"/>
        <v>15.650847457627117</v>
      </c>
      <c r="J86" s="149">
        <f>1/((178/(ConditieGetal!$B$2*(E86/(I86*ConditieGetal!$B$2))))*24)*10</f>
        <v>2.5725234619818148E-2</v>
      </c>
    </row>
    <row r="87" spans="1:10" ht="13.5" customHeight="1">
      <c r="A87" s="395">
        <v>37388.441666666666</v>
      </c>
      <c r="B87" s="177">
        <v>10.26</v>
      </c>
      <c r="C87" s="361">
        <v>3.1296296296296301E-2</v>
      </c>
      <c r="D87" s="184">
        <f t="shared" si="5"/>
        <v>3.0503212764421347E-3</v>
      </c>
      <c r="E87" s="66">
        <v>161</v>
      </c>
      <c r="F87" s="66">
        <v>175</v>
      </c>
      <c r="H87" s="29"/>
      <c r="I87" s="48">
        <f t="shared" si="6"/>
        <v>13.659763313609465</v>
      </c>
      <c r="J87" s="149">
        <f>1/((178/(ConditieGetal!$B$2*(E87/(I87*ConditieGetal!$B$2))))*24)*10</f>
        <v>2.7589984579055267E-2</v>
      </c>
    </row>
    <row r="88" spans="1:10" ht="13.5" customHeight="1">
      <c r="A88" s="395">
        <v>37389.872916666667</v>
      </c>
      <c r="B88" s="177">
        <v>12.7</v>
      </c>
      <c r="C88" s="361">
        <v>3.771412037037037E-2</v>
      </c>
      <c r="D88" s="184">
        <f t="shared" si="5"/>
        <v>2.9696157771945176E-3</v>
      </c>
      <c r="E88" s="66">
        <v>157</v>
      </c>
      <c r="F88" s="66">
        <v>163</v>
      </c>
      <c r="H88" s="29"/>
      <c r="I88" s="48">
        <f t="shared" si="6"/>
        <v>14.03099585698941</v>
      </c>
      <c r="J88" s="149">
        <f>1/((178/(ConditieGetal!$B$2*(E88/(I88*ConditieGetal!$B$2))))*24)*10</f>
        <v>2.6192678484243781E-2</v>
      </c>
    </row>
    <row r="89" spans="1:10" ht="13.5" customHeight="1">
      <c r="A89" s="395">
        <v>37392.781944444447</v>
      </c>
      <c r="B89" s="177">
        <v>16.61</v>
      </c>
      <c r="C89" s="361">
        <v>5.3136574074074072E-2</v>
      </c>
      <c r="D89" s="184">
        <f t="shared" si="5"/>
        <v>3.1990712868196314E-3</v>
      </c>
      <c r="E89" s="66">
        <v>157</v>
      </c>
      <c r="F89" s="66">
        <v>170</v>
      </c>
      <c r="H89" s="29"/>
      <c r="I89" s="48">
        <f t="shared" si="6"/>
        <v>13.024613373992594</v>
      </c>
      <c r="J89" s="149">
        <f>1/((178/(ConditieGetal!$B$2*(E89/(I89*ConditieGetal!$B$2))))*24)*10</f>
        <v>2.8216527642173157E-2</v>
      </c>
    </row>
    <row r="90" spans="1:10" ht="13.5" customHeight="1">
      <c r="A90" s="395">
        <v>37393.702777777777</v>
      </c>
      <c r="B90" s="177">
        <v>12.7</v>
      </c>
      <c r="C90" s="361">
        <v>3.9288194444444445E-2</v>
      </c>
      <c r="D90" s="184">
        <f t="shared" si="5"/>
        <v>3.0935586176727911E-3</v>
      </c>
      <c r="E90" s="66">
        <v>165</v>
      </c>
      <c r="F90" s="66">
        <v>188</v>
      </c>
      <c r="H90" s="29"/>
      <c r="I90" s="48">
        <f t="shared" si="6"/>
        <v>13.468846663720724</v>
      </c>
      <c r="J90" s="149">
        <f>1/((178/(ConditieGetal!$B$2*(E90/(I90*ConditieGetal!$B$2))))*24)*10</f>
        <v>2.8676245613259016E-2</v>
      </c>
    </row>
    <row r="91" spans="1:10" ht="13.5" customHeight="1">
      <c r="A91" s="395">
        <v>37394.734027777777</v>
      </c>
      <c r="B91" s="177">
        <v>6.35</v>
      </c>
      <c r="C91" s="361">
        <v>2.0385416666666666E-2</v>
      </c>
      <c r="D91" s="184">
        <f t="shared" ref="D91:D98" si="7">IF(B91&gt;0,C91/B91,"")</f>
        <v>3.2103018372703412E-3</v>
      </c>
      <c r="E91" s="66">
        <v>146</v>
      </c>
      <c r="F91" s="66">
        <v>151</v>
      </c>
      <c r="H91" s="29"/>
      <c r="I91" s="48">
        <f t="shared" ref="I91:I98" si="8">1/(D91*24)</f>
        <v>12.979049565661729</v>
      </c>
      <c r="J91" s="149">
        <f>1/((178/(ConditieGetal!$B$2*(E91/(I91*ConditieGetal!$B$2))))*24)*10</f>
        <v>2.6331689227048861E-2</v>
      </c>
    </row>
    <row r="92" spans="1:10" ht="13.5" customHeight="1">
      <c r="A92" s="395">
        <v>37396.875</v>
      </c>
      <c r="B92" s="177">
        <v>10.26</v>
      </c>
      <c r="C92" s="361">
        <v>3.0016203703703708E-2</v>
      </c>
      <c r="D92" s="184">
        <f t="shared" si="7"/>
        <v>2.9255559165403226E-3</v>
      </c>
      <c r="E92" s="66">
        <v>158</v>
      </c>
      <c r="F92" s="66">
        <v>165</v>
      </c>
      <c r="H92" s="29"/>
      <c r="I92" s="48">
        <f t="shared" si="8"/>
        <v>14.242307395696766</v>
      </c>
      <c r="J92" s="149">
        <f>1/((178/(ConditieGetal!$B$2*(E92/(I92*ConditieGetal!$B$2))))*24)*10</f>
        <v>2.5968417686144427E-2</v>
      </c>
    </row>
    <row r="93" spans="1:10" ht="13.5" customHeight="1">
      <c r="A93" s="395">
        <v>37398.902083333334</v>
      </c>
      <c r="B93" s="177">
        <v>6.35</v>
      </c>
      <c r="C93" s="361">
        <v>1.669212962962963E-2</v>
      </c>
      <c r="D93" s="184">
        <f t="shared" si="7"/>
        <v>2.6286818314377371E-3</v>
      </c>
      <c r="E93" s="66">
        <v>163</v>
      </c>
      <c r="F93" s="66">
        <v>180</v>
      </c>
      <c r="H93" s="29"/>
      <c r="I93" s="48">
        <f t="shared" si="8"/>
        <v>15.850783525169879</v>
      </c>
      <c r="J93" s="149">
        <f>1/((178/(ConditieGetal!$B$2*(E93/(I93*ConditieGetal!$B$2))))*24)*10</f>
        <v>2.4071636995750059E-2</v>
      </c>
    </row>
    <row r="94" spans="1:10" ht="13.5" customHeight="1">
      <c r="A94" s="395">
        <v>37400.790972222225</v>
      </c>
      <c r="B94" s="177">
        <v>12</v>
      </c>
      <c r="C94" s="361">
        <v>3.2248842592592593E-2</v>
      </c>
      <c r="D94" s="184">
        <f t="shared" si="7"/>
        <v>2.6874035493827161E-3</v>
      </c>
      <c r="E94" s="66">
        <v>174</v>
      </c>
      <c r="F94" s="66">
        <v>183</v>
      </c>
      <c r="H94" s="29" t="s">
        <v>92</v>
      </c>
      <c r="I94" s="48">
        <f t="shared" si="8"/>
        <v>15.504432401392528</v>
      </c>
      <c r="J94" s="149">
        <f>1/((178/(ConditieGetal!$B$2*(E94/(I94*ConditieGetal!$B$2))))*24)*10</f>
        <v>2.6270124583853516E-2</v>
      </c>
    </row>
    <row r="95" spans="1:10" ht="13.5" customHeight="1">
      <c r="A95" s="395">
        <v>37401.695138888892</v>
      </c>
      <c r="B95" s="177">
        <v>12.7</v>
      </c>
      <c r="C95" s="361">
        <v>3.8136574074074073E-2</v>
      </c>
      <c r="D95" s="184">
        <f t="shared" si="7"/>
        <v>3.0028798483522894E-3</v>
      </c>
      <c r="E95" s="66">
        <v>153</v>
      </c>
      <c r="F95" s="66">
        <v>165</v>
      </c>
      <c r="H95" s="29"/>
      <c r="I95" s="48">
        <f t="shared" si="8"/>
        <v>13.875569044006069</v>
      </c>
      <c r="J95" s="149">
        <f>1/((178/(ConditieGetal!$B$2*(E95/(I95*ConditieGetal!$B$2))))*24)*10</f>
        <v>2.5811270606623613E-2</v>
      </c>
    </row>
    <row r="96" spans="1:10" ht="13.5" customHeight="1">
      <c r="A96" s="395">
        <v>37403.57916666667</v>
      </c>
      <c r="B96" s="177">
        <v>10.26</v>
      </c>
      <c r="C96" s="361">
        <v>3.2600694444444446E-2</v>
      </c>
      <c r="D96" s="184">
        <f t="shared" si="7"/>
        <v>3.1774555988737276E-3</v>
      </c>
      <c r="E96" s="66">
        <v>150</v>
      </c>
      <c r="F96" s="66">
        <v>156</v>
      </c>
      <c r="H96" s="29"/>
      <c r="I96" s="48">
        <f t="shared" si="8"/>
        <v>13.113217595058046</v>
      </c>
      <c r="J96" s="149">
        <f>1/((178/(ConditieGetal!$B$2*(E96/(I96*ConditieGetal!$B$2))))*24)*10</f>
        <v>2.6776311226463997E-2</v>
      </c>
    </row>
    <row r="97" spans="1:10" ht="13.5" customHeight="1">
      <c r="A97" s="395">
        <v>37407.8125</v>
      </c>
      <c r="B97" s="177">
        <v>12.94</v>
      </c>
      <c r="C97" s="361">
        <v>3.4021990740740742E-2</v>
      </c>
      <c r="D97" s="184">
        <f t="shared" si="7"/>
        <v>2.6292110309691454E-3</v>
      </c>
      <c r="E97" s="66">
        <v>176</v>
      </c>
      <c r="F97" s="66">
        <v>185</v>
      </c>
      <c r="H97" s="29" t="s">
        <v>93</v>
      </c>
      <c r="I97" s="48">
        <f t="shared" si="8"/>
        <v>15.847593128083005</v>
      </c>
      <c r="J97" s="149">
        <f>1/((178/(ConditieGetal!$B$2*(E97/(I97*ConditieGetal!$B$2))))*24)*10</f>
        <v>2.5996693339919642E-2</v>
      </c>
    </row>
    <row r="98" spans="1:10" ht="13.5" customHeight="1">
      <c r="A98" s="395">
        <v>37409.413888888892</v>
      </c>
      <c r="B98" s="177">
        <v>10.26</v>
      </c>
      <c r="C98" s="361">
        <v>3.363425925925926E-2</v>
      </c>
      <c r="D98" s="184">
        <f t="shared" si="7"/>
        <v>3.2781929102591871E-3</v>
      </c>
      <c r="E98" s="66">
        <v>147</v>
      </c>
      <c r="F98" s="66">
        <v>152</v>
      </c>
      <c r="H98" s="29"/>
      <c r="I98" s="48">
        <f t="shared" si="8"/>
        <v>12.710254645560907</v>
      </c>
      <c r="J98" s="149">
        <f>1/((178/(ConditieGetal!$B$2*(E98/(I98*ConditieGetal!$B$2))))*24)*10</f>
        <v>2.7072716730792163E-2</v>
      </c>
    </row>
    <row r="99" spans="1:10" ht="13.5" customHeight="1">
      <c r="A99" s="395">
        <v>37411.890277777777</v>
      </c>
      <c r="B99" s="177">
        <v>10.26</v>
      </c>
      <c r="C99" s="361">
        <v>3.2511574074074075E-2</v>
      </c>
      <c r="D99" s="184">
        <f>IF(B99&gt;0,C99/B99,"")</f>
        <v>3.1687694029311963E-3</v>
      </c>
      <c r="E99" s="66">
        <v>153</v>
      </c>
      <c r="F99" s="66">
        <v>186</v>
      </c>
      <c r="H99" s="29"/>
      <c r="I99" s="48">
        <f t="shared" ref="I99:I106" si="9">1/(D99*24)</f>
        <v>13.149163403346387</v>
      </c>
      <c r="J99" s="149">
        <f>1/((178/(ConditieGetal!$B$2*(E99/(I99*ConditieGetal!$B$2))))*24)*10</f>
        <v>2.723717520497039E-2</v>
      </c>
    </row>
    <row r="100" spans="1:10" ht="13.5" customHeight="1">
      <c r="A100" s="395">
        <v>37413.806944444441</v>
      </c>
      <c r="B100" s="177">
        <v>16.61</v>
      </c>
      <c r="C100" s="361">
        <v>5.4282407407407411E-2</v>
      </c>
      <c r="D100" s="184">
        <f>IF(B100&gt;0,C100/B100,"")</f>
        <v>3.2680558342810004E-3</v>
      </c>
      <c r="E100" s="66">
        <v>149</v>
      </c>
      <c r="F100" s="66">
        <v>166</v>
      </c>
      <c r="H100" s="29"/>
      <c r="I100" s="48">
        <f t="shared" si="9"/>
        <v>12.749680170575692</v>
      </c>
      <c r="J100" s="149">
        <f>1/((178/(ConditieGetal!$B$2*(E100/(I100*ConditieGetal!$B$2))))*24)*10</f>
        <v>2.7356197713925227E-2</v>
      </c>
    </row>
    <row r="101" spans="1:10" ht="13.5" customHeight="1">
      <c r="A101" s="395">
        <v>37414.726388888892</v>
      </c>
      <c r="B101" s="177">
        <v>6.35</v>
      </c>
      <c r="C101" s="361">
        <v>1.5755787037037037E-2</v>
      </c>
      <c r="D101" s="181">
        <f t="shared" ref="D101:D117" si="10">IF(B101&gt;0,C101/B101,"")</f>
        <v>2.4812263050452026E-3</v>
      </c>
      <c r="E101" s="66">
        <v>171</v>
      </c>
      <c r="F101" s="66">
        <v>189</v>
      </c>
      <c r="H101" s="28" t="s">
        <v>87</v>
      </c>
      <c r="I101" s="48">
        <f t="shared" si="9"/>
        <v>16.792771615367663</v>
      </c>
      <c r="J101" s="149">
        <f>1/((178/(ConditieGetal!$B$2*(E101/(I101*ConditieGetal!$B$2))))*24)*10</f>
        <v>2.3836499896782569E-2</v>
      </c>
    </row>
    <row r="102" spans="1:10" ht="13.5" customHeight="1">
      <c r="A102" s="395">
        <v>37415.579861111109</v>
      </c>
      <c r="B102" s="177">
        <v>10.26</v>
      </c>
      <c r="C102" s="361">
        <v>3.3184027777777778E-2</v>
      </c>
      <c r="D102" s="181">
        <f t="shared" si="10"/>
        <v>3.2343106995884772E-3</v>
      </c>
      <c r="E102" s="66">
        <v>150</v>
      </c>
      <c r="F102" s="66">
        <v>167</v>
      </c>
      <c r="I102" s="48">
        <f t="shared" si="9"/>
        <v>12.882703777335985</v>
      </c>
      <c r="J102" s="149">
        <f>1/((178/(ConditieGetal!$B$2*(E102/(I102*ConditieGetal!$B$2))))*24)*10</f>
        <v>2.7255427243723117E-2</v>
      </c>
    </row>
    <row r="103" spans="1:10" ht="13.5" customHeight="1">
      <c r="A103" s="395">
        <v>37417.880555555559</v>
      </c>
      <c r="B103" s="177">
        <v>10.26</v>
      </c>
      <c r="C103" s="361">
        <v>3.318287037037037E-2</v>
      </c>
      <c r="D103" s="181">
        <f t="shared" si="10"/>
        <v>3.2341978918489639E-3</v>
      </c>
      <c r="E103" s="66">
        <v>149</v>
      </c>
      <c r="F103" s="66">
        <v>178</v>
      </c>
      <c r="I103" s="48">
        <f t="shared" si="9"/>
        <v>12.883153121730032</v>
      </c>
      <c r="J103" s="149">
        <f>1/((178/(ConditieGetal!$B$2*(E103/(I103*ConditieGetal!$B$2))))*24)*10</f>
        <v>2.7072780105926716E-2</v>
      </c>
    </row>
    <row r="104" spans="1:10" ht="13.5" customHeight="1">
      <c r="A104" s="395">
        <v>37418.711805555555</v>
      </c>
      <c r="B104" s="177">
        <v>10.26</v>
      </c>
      <c r="C104" s="361">
        <v>3.0890046296296297E-2</v>
      </c>
      <c r="D104" s="181">
        <f t="shared" si="10"/>
        <v>3.0107257598729334E-3</v>
      </c>
      <c r="E104" s="66">
        <v>154</v>
      </c>
      <c r="F104" s="66">
        <v>165</v>
      </c>
      <c r="I104" s="48">
        <f t="shared" si="9"/>
        <v>13.839409494548317</v>
      </c>
      <c r="J104" s="149">
        <f>1/((178/(ConditieGetal!$B$2*(E104/(I104*ConditieGetal!$B$2))))*24)*10</f>
        <v>2.6047852079799531E-2</v>
      </c>
    </row>
    <row r="105" spans="1:10" ht="13.5" customHeight="1">
      <c r="A105" s="395">
        <v>37420</v>
      </c>
      <c r="B105" s="177">
        <v>10.26</v>
      </c>
      <c r="C105" s="361">
        <v>3.3263888888888891E-2</v>
      </c>
      <c r="D105" s="181">
        <f t="shared" si="10"/>
        <v>3.2420944336149018E-3</v>
      </c>
      <c r="E105" s="67" t="s">
        <v>86</v>
      </c>
      <c r="F105" s="67" t="s">
        <v>86</v>
      </c>
      <c r="G105" s="67"/>
      <c r="I105" s="48">
        <f t="shared" si="9"/>
        <v>12.851774530271397</v>
      </c>
    </row>
    <row r="106" spans="1:10" ht="13.5" customHeight="1">
      <c r="A106" s="395">
        <v>37421.708333333336</v>
      </c>
      <c r="B106" s="177">
        <v>6.35</v>
      </c>
      <c r="C106" s="361">
        <v>1.9669157461555124E-2</v>
      </c>
      <c r="D106" s="181">
        <f t="shared" si="10"/>
        <v>3.0975051120559253E-3</v>
      </c>
      <c r="E106" s="67" t="s">
        <v>86</v>
      </c>
      <c r="F106" s="67" t="s">
        <v>86</v>
      </c>
      <c r="G106" s="67"/>
      <c r="I106" s="48">
        <f t="shared" si="9"/>
        <v>13.45168616655196</v>
      </c>
    </row>
    <row r="107" spans="1:10" ht="13.5" customHeight="1">
      <c r="A107" s="395">
        <v>37422.770138888889</v>
      </c>
      <c r="B107" s="177">
        <v>12</v>
      </c>
      <c r="C107" s="361">
        <v>3.1216435185185184E-2</v>
      </c>
      <c r="D107" s="181">
        <f t="shared" si="10"/>
        <v>2.6013695987654318E-3</v>
      </c>
      <c r="E107" s="66">
        <v>178</v>
      </c>
      <c r="F107" s="66">
        <v>189</v>
      </c>
      <c r="H107" s="28" t="s">
        <v>216</v>
      </c>
      <c r="I107" s="48">
        <f t="shared" ref="I107:I114" si="11">1/(D107*24)</f>
        <v>16.017203663193804</v>
      </c>
      <c r="J107" s="149">
        <f>1/((178/(ConditieGetal!$B$2*(E107/(I107*ConditieGetal!$B$2))))*24)*10</f>
        <v>2.6013695987654309E-2</v>
      </c>
    </row>
    <row r="108" spans="1:10" ht="13.5" customHeight="1">
      <c r="A108" s="395">
        <v>37423.531944444447</v>
      </c>
      <c r="B108" s="177">
        <v>12.7</v>
      </c>
      <c r="C108" s="361">
        <v>3.8855324074074077E-2</v>
      </c>
      <c r="D108" s="181">
        <f t="shared" si="10"/>
        <v>3.0594743365412662E-3</v>
      </c>
      <c r="E108" s="66">
        <v>159</v>
      </c>
      <c r="F108" s="66">
        <v>167</v>
      </c>
      <c r="H108" s="28" t="s">
        <v>95</v>
      </c>
      <c r="I108" s="48">
        <f t="shared" si="11"/>
        <v>13.618897262518244</v>
      </c>
      <c r="J108" s="149">
        <f>1/((178/(ConditieGetal!$B$2*(E108/(I108*ConditieGetal!$B$2))))*24)*10</f>
        <v>2.7329012332025917E-2</v>
      </c>
    </row>
    <row r="109" spans="1:10" ht="13.5" customHeight="1">
      <c r="A109" s="395">
        <v>37424.722222222219</v>
      </c>
      <c r="B109" s="177">
        <v>6.35</v>
      </c>
      <c r="C109" s="361">
        <v>2.1489583333333336E-2</v>
      </c>
      <c r="D109" s="181">
        <f t="shared" si="10"/>
        <v>3.3841863517060375E-3</v>
      </c>
      <c r="E109" s="66">
        <v>149</v>
      </c>
      <c r="F109" s="66">
        <v>160</v>
      </c>
      <c r="H109" s="28" t="s">
        <v>94</v>
      </c>
      <c r="I109" s="48">
        <f t="shared" si="11"/>
        <v>12.312166747455159</v>
      </c>
      <c r="J109" s="149">
        <f>1/((178/(ConditieGetal!$B$2*(E109/(I109*ConditieGetal!$B$2))))*24)*10</f>
        <v>2.8328301483382001E-2</v>
      </c>
    </row>
    <row r="110" spans="1:10" ht="13.5" customHeight="1">
      <c r="A110" s="395">
        <v>37425.711805555555</v>
      </c>
      <c r="B110" s="177">
        <v>12.7</v>
      </c>
      <c r="C110" s="361">
        <v>3.8122685185185183E-2</v>
      </c>
      <c r="D110" s="181">
        <f t="shared" si="10"/>
        <v>3.0017862350539518E-3</v>
      </c>
      <c r="E110" s="66">
        <v>158</v>
      </c>
      <c r="F110" s="66">
        <v>182</v>
      </c>
      <c r="H110" s="28" t="s">
        <v>96</v>
      </c>
      <c r="I110" s="48">
        <f t="shared" si="11"/>
        <v>13.88062420304815</v>
      </c>
      <c r="J110" s="149">
        <f>1/((178/(ConditieGetal!$B$2*(E110/(I110*ConditieGetal!$B$2))))*24)*10</f>
        <v>2.664506882800699E-2</v>
      </c>
    </row>
    <row r="111" spans="1:10" ht="13.5" customHeight="1">
      <c r="A111" s="395">
        <v>37426</v>
      </c>
      <c r="B111" s="177">
        <v>10.26</v>
      </c>
      <c r="C111" s="361">
        <v>3.2347222222222222E-2</v>
      </c>
      <c r="D111" s="181">
        <f t="shared" si="10"/>
        <v>3.1527507039202946E-3</v>
      </c>
      <c r="E111" s="66">
        <v>150</v>
      </c>
      <c r="F111" s="66">
        <v>158</v>
      </c>
      <c r="I111" s="48">
        <f t="shared" si="11"/>
        <v>13.215972520395018</v>
      </c>
      <c r="J111" s="149">
        <f>1/((178/(ConditieGetal!$B$2*(E111/(I111*ConditieGetal!$B$2))))*24)*10</f>
        <v>2.6568123909440685E-2</v>
      </c>
    </row>
    <row r="112" spans="1:10" ht="13.5" customHeight="1">
      <c r="A112" s="395">
        <v>37428</v>
      </c>
      <c r="B112" s="177">
        <v>10.5</v>
      </c>
      <c r="C112" s="361">
        <v>2.6913194444444444E-2</v>
      </c>
      <c r="D112" s="181">
        <f t="shared" si="10"/>
        <v>2.5631613756613757E-3</v>
      </c>
      <c r="E112" s="66">
        <v>173</v>
      </c>
      <c r="F112" s="66">
        <v>176</v>
      </c>
      <c r="H112" s="28" t="s">
        <v>97</v>
      </c>
      <c r="I112" s="49">
        <f t="shared" si="11"/>
        <v>16.255966972003613</v>
      </c>
      <c r="J112" s="149">
        <f>1/((178/(ConditieGetal!$B$2*(E112/(I112*ConditieGetal!$B$2))))*24)*10</f>
        <v>2.4911624606147074E-2</v>
      </c>
    </row>
    <row r="113" spans="1:10" ht="13.5" customHeight="1">
      <c r="A113" s="395">
        <v>37430.455555555556</v>
      </c>
      <c r="B113" s="177">
        <v>16.61</v>
      </c>
      <c r="C113" s="361">
        <v>5.6075231481481483E-2</v>
      </c>
      <c r="D113" s="181">
        <f t="shared" si="10"/>
        <v>3.3759922625816669E-3</v>
      </c>
      <c r="E113" s="66">
        <v>146</v>
      </c>
      <c r="F113" s="66">
        <v>154</v>
      </c>
      <c r="I113" s="49">
        <f t="shared" si="11"/>
        <v>12.342050403517097</v>
      </c>
      <c r="J113" s="149">
        <f>1/((178/(ConditieGetal!$B$2*(E113/(I113*ConditieGetal!$B$2))))*24)*10</f>
        <v>2.7690723052636146E-2</v>
      </c>
    </row>
    <row r="114" spans="1:10" ht="13.5" customHeight="1">
      <c r="A114" s="395">
        <v>37431</v>
      </c>
      <c r="B114" s="177">
        <v>12.7</v>
      </c>
      <c r="C114" s="361">
        <v>3.8906250000000003E-2</v>
      </c>
      <c r="D114" s="181">
        <f t="shared" si="10"/>
        <v>3.0634842519685042E-3</v>
      </c>
      <c r="E114" s="66">
        <v>150</v>
      </c>
      <c r="F114" s="66">
        <v>154</v>
      </c>
      <c r="I114" s="49">
        <f t="shared" si="11"/>
        <v>13.601070950468538</v>
      </c>
      <c r="J114" s="149">
        <f>1/((178/(ConditieGetal!$B$2*(E114/(I114*ConditieGetal!$B$2))))*24)*10</f>
        <v>2.5815878527824479E-2</v>
      </c>
    </row>
    <row r="115" spans="1:10" ht="13.5" customHeight="1">
      <c r="A115" s="395">
        <v>37433</v>
      </c>
      <c r="B115" s="177">
        <v>10.26</v>
      </c>
      <c r="C115" s="361">
        <v>3.4206018518518518E-2</v>
      </c>
      <c r="D115" s="181">
        <f t="shared" si="10"/>
        <v>3.3339199335788031E-3</v>
      </c>
      <c r="E115" s="66">
        <v>147</v>
      </c>
      <c r="F115" s="66">
        <v>159</v>
      </c>
      <c r="I115" s="49">
        <f t="shared" ref="I115:I123" si="12">1/(D115*24)</f>
        <v>12.497800636123705</v>
      </c>
      <c r="J115" s="149">
        <f>1/((178/(ConditieGetal!$B$2*(E115/(I115*ConditieGetal!$B$2))))*24)*10</f>
        <v>2.753293428292607E-2</v>
      </c>
    </row>
    <row r="116" spans="1:10" ht="13.5" customHeight="1">
      <c r="A116" s="395">
        <v>37434</v>
      </c>
      <c r="B116" s="177">
        <v>10.26</v>
      </c>
      <c r="C116" s="361">
        <v>3.3905092592592591E-2</v>
      </c>
      <c r="D116" s="181">
        <f t="shared" si="10"/>
        <v>3.3045899213053208E-3</v>
      </c>
      <c r="E116" s="66">
        <v>147</v>
      </c>
      <c r="F116" s="66">
        <v>159</v>
      </c>
      <c r="I116" s="49">
        <f t="shared" si="12"/>
        <v>12.60872533624633</v>
      </c>
      <c r="J116" s="149">
        <f>1/((178/(ConditieGetal!$B$2*(E116/(I116*ConditieGetal!$B$2))))*24)*10</f>
        <v>2.7290714518645065E-2</v>
      </c>
    </row>
    <row r="117" spans="1:10" ht="13.5" customHeight="1">
      <c r="A117" s="395">
        <v>37436</v>
      </c>
      <c r="B117" s="177">
        <v>11</v>
      </c>
      <c r="C117" s="361">
        <v>2.8315972222222222E-2</v>
      </c>
      <c r="D117" s="181">
        <f t="shared" si="10"/>
        <v>2.574179292929293E-3</v>
      </c>
      <c r="E117" s="66">
        <v>178</v>
      </c>
      <c r="F117" s="66">
        <v>188</v>
      </c>
      <c r="H117" s="28" t="s">
        <v>98</v>
      </c>
      <c r="I117" s="49">
        <f t="shared" si="12"/>
        <v>16.186388718577557</v>
      </c>
      <c r="J117" s="149">
        <f>1/((178/(ConditieGetal!$B$2*(E117/(I117*ConditieGetal!$B$2))))*24)*10</f>
        <v>2.5741792929292934E-2</v>
      </c>
    </row>
    <row r="118" spans="1:10" ht="13.5" customHeight="1">
      <c r="A118" s="395">
        <v>37437</v>
      </c>
      <c r="B118" s="177">
        <f>3*6.35</f>
        <v>19.049999999999997</v>
      </c>
      <c r="C118" s="361">
        <v>6.283564814814814E-2</v>
      </c>
      <c r="D118" s="181">
        <f t="shared" ref="D118:D165" si="13">IF(B118&gt;0,C118/B118,"")</f>
        <v>3.2984592203752308E-3</v>
      </c>
      <c r="E118" s="66">
        <v>146</v>
      </c>
      <c r="F118" s="66">
        <v>155</v>
      </c>
      <c r="I118" s="49">
        <f t="shared" si="12"/>
        <v>12.632160618898508</v>
      </c>
      <c r="J118" s="149">
        <f>1/((178/(ConditieGetal!$B$2*(E118/(I118*ConditieGetal!$B$2))))*24)*10</f>
        <v>2.7054777874987848E-2</v>
      </c>
    </row>
    <row r="119" spans="1:10" ht="13.5" customHeight="1">
      <c r="A119" s="395">
        <v>37438</v>
      </c>
      <c r="B119" s="177">
        <v>12.7</v>
      </c>
      <c r="C119" s="361">
        <v>3.8310185185185183E-2</v>
      </c>
      <c r="D119" s="181">
        <f t="shared" si="13"/>
        <v>3.0165500145815107E-3</v>
      </c>
      <c r="E119" s="66">
        <v>156</v>
      </c>
      <c r="F119" s="66">
        <v>162</v>
      </c>
      <c r="I119" s="49">
        <f t="shared" si="12"/>
        <v>13.812688821752266</v>
      </c>
      <c r="J119" s="149">
        <f>1/((178/(ConditieGetal!$B$2*(E119/(I119*ConditieGetal!$B$2))))*24)*10</f>
        <v>2.6437179903073916E-2</v>
      </c>
    </row>
    <row r="120" spans="1:10" ht="13.5" customHeight="1">
      <c r="A120" s="395">
        <v>37439</v>
      </c>
      <c r="B120" s="177">
        <f>2*10.26</f>
        <v>20.52</v>
      </c>
      <c r="C120" s="361">
        <v>8.4456018518518527E-2</v>
      </c>
      <c r="D120" s="181">
        <f t="shared" si="13"/>
        <v>4.1157903761461275E-3</v>
      </c>
      <c r="E120" s="66">
        <v>135</v>
      </c>
      <c r="F120" s="66">
        <v>143</v>
      </c>
      <c r="I120" s="49">
        <f t="shared" si="12"/>
        <v>10.123612443469916</v>
      </c>
      <c r="J120" s="149">
        <f>1/((178/(ConditieGetal!$B$2*(E120/(I120*ConditieGetal!$B$2))))*24)*10</f>
        <v>3.1215264088748723E-2</v>
      </c>
    </row>
    <row r="121" spans="1:10" ht="13.5" customHeight="1">
      <c r="A121" s="395">
        <v>37440</v>
      </c>
      <c r="B121" s="177">
        <v>6.35</v>
      </c>
      <c r="C121" s="361">
        <v>1.8569444444444444E-2</v>
      </c>
      <c r="D121" s="181">
        <f t="shared" si="13"/>
        <v>2.9243219597550308E-3</v>
      </c>
      <c r="E121" s="66">
        <v>153</v>
      </c>
      <c r="F121" s="66">
        <v>166</v>
      </c>
      <c r="I121" s="49">
        <f t="shared" si="12"/>
        <v>14.248317127898281</v>
      </c>
      <c r="J121" s="149">
        <f>1/((178/(ConditieGetal!$B$2*(E121/(I121*ConditieGetal!$B$2))))*24)*10</f>
        <v>2.5136025833849419E-2</v>
      </c>
    </row>
    <row r="122" spans="1:10" ht="13.5" customHeight="1">
      <c r="A122" s="395">
        <v>37442</v>
      </c>
      <c r="B122" s="177">
        <v>16.61</v>
      </c>
      <c r="C122" s="361">
        <v>5.4409722222222227E-2</v>
      </c>
      <c r="D122" s="181">
        <f t="shared" si="13"/>
        <v>3.2757207839989302E-3</v>
      </c>
      <c r="E122" s="66">
        <v>143</v>
      </c>
      <c r="F122" s="66">
        <v>168</v>
      </c>
      <c r="I122" s="49">
        <f t="shared" si="12"/>
        <v>12.719846841097638</v>
      </c>
      <c r="J122" s="149">
        <f>1/((178/(ConditieGetal!$B$2*(E122/(I122*ConditieGetal!$B$2))))*24)*10</f>
        <v>2.6316183826508258E-2</v>
      </c>
    </row>
    <row r="123" spans="1:10" ht="13.5" customHeight="1">
      <c r="A123" s="395">
        <v>37443</v>
      </c>
      <c r="B123" s="177">
        <v>6.35</v>
      </c>
      <c r="C123" s="361">
        <v>1.5251157407407408E-2</v>
      </c>
      <c r="D123" s="181">
        <f t="shared" si="13"/>
        <v>2.4017570720326628E-3</v>
      </c>
      <c r="E123" s="66">
        <v>177</v>
      </c>
      <c r="F123" s="66">
        <v>187</v>
      </c>
      <c r="H123" s="28" t="s">
        <v>87</v>
      </c>
      <c r="I123" s="49">
        <f t="shared" si="12"/>
        <v>17.348410108522422</v>
      </c>
      <c r="J123" s="149">
        <f>1/((178/(ConditieGetal!$B$2*(E123/(I123*ConditieGetal!$B$2))))*24)*10</f>
        <v>2.3882640547740527E-2</v>
      </c>
    </row>
    <row r="124" spans="1:10" ht="13.5" customHeight="1">
      <c r="A124" s="395">
        <v>37444</v>
      </c>
      <c r="B124" s="177">
        <f>2*10.26</f>
        <v>20.52</v>
      </c>
      <c r="C124" s="361">
        <v>8.009259259259259E-2</v>
      </c>
      <c r="D124" s="181">
        <f t="shared" si="13"/>
        <v>3.9031477871633818E-3</v>
      </c>
      <c r="E124" s="66">
        <v>135</v>
      </c>
      <c r="F124" s="66">
        <v>143</v>
      </c>
      <c r="I124" s="49">
        <f t="shared" ref="I124:I130" si="14">1/(D124*24)</f>
        <v>10.67514450867052</v>
      </c>
      <c r="J124" s="149">
        <f>1/((178/(ConditieGetal!$B$2*(E124/(I124*ConditieGetal!$B$2))))*24)*10</f>
        <v>2.9602525352081827E-2</v>
      </c>
    </row>
    <row r="125" spans="1:10" ht="13.5" customHeight="1">
      <c r="A125" s="395">
        <v>37445</v>
      </c>
      <c r="B125" s="177">
        <v>10.26</v>
      </c>
      <c r="C125" s="361">
        <v>2.715046296296296E-2</v>
      </c>
      <c r="D125" s="181">
        <f t="shared" si="13"/>
        <v>2.6462439535051619E-3</v>
      </c>
      <c r="E125" s="66">
        <v>170</v>
      </c>
      <c r="F125" s="66">
        <v>176</v>
      </c>
      <c r="I125" s="49">
        <f t="shared" si="14"/>
        <v>15.745587859152527</v>
      </c>
      <c r="J125" s="149">
        <f>1/((178/(ConditieGetal!$B$2*(E125/(I125*ConditieGetal!$B$2))))*24)*10</f>
        <v>2.5273116409880763E-2</v>
      </c>
    </row>
    <row r="126" spans="1:10" ht="13.5" customHeight="1">
      <c r="A126" s="395">
        <v>37446</v>
      </c>
      <c r="B126" s="177">
        <v>16.61</v>
      </c>
      <c r="C126" s="361">
        <v>5.6759259259259259E-2</v>
      </c>
      <c r="D126" s="181">
        <f t="shared" si="13"/>
        <v>3.4171739469752715E-3</v>
      </c>
      <c r="E126" s="66">
        <v>143</v>
      </c>
      <c r="F126" s="66">
        <v>149</v>
      </c>
      <c r="I126" s="49">
        <f t="shared" si="14"/>
        <v>12.193311582381728</v>
      </c>
      <c r="J126" s="149">
        <f>1/((178/(ConditieGetal!$B$2*(E126/(I126*ConditieGetal!$B$2))))*24)*10</f>
        <v>2.7452577214464261E-2</v>
      </c>
    </row>
    <row r="127" spans="1:10" ht="13.5" customHeight="1">
      <c r="A127" s="395">
        <v>37448</v>
      </c>
      <c r="B127" s="177">
        <v>19.05</v>
      </c>
      <c r="C127" s="361">
        <v>5.7650462962962966E-2</v>
      </c>
      <c r="D127" s="181">
        <f t="shared" si="13"/>
        <v>3.0262710216778458E-3</v>
      </c>
      <c r="E127" s="66">
        <v>149</v>
      </c>
      <c r="F127" s="66">
        <v>158</v>
      </c>
      <c r="I127" s="49">
        <f t="shared" si="14"/>
        <v>13.768319614535233</v>
      </c>
      <c r="J127" s="149">
        <f>1/((178/(ConditieGetal!$B$2*(E127/(I127*ConditieGetal!$B$2))))*24)*10</f>
        <v>2.5332268664606684E-2</v>
      </c>
    </row>
    <row r="128" spans="1:10" ht="13.5" customHeight="1">
      <c r="A128" s="395">
        <v>37449</v>
      </c>
      <c r="B128" s="177">
        <v>12.7</v>
      </c>
      <c r="C128" s="361">
        <v>4.0289351851851847E-2</v>
      </c>
      <c r="D128" s="181">
        <f t="shared" si="13"/>
        <v>3.1723899095946338E-3</v>
      </c>
      <c r="E128" s="66">
        <v>149</v>
      </c>
      <c r="F128" s="66">
        <v>157</v>
      </c>
      <c r="I128" s="49">
        <f t="shared" si="14"/>
        <v>13.13415685147946</v>
      </c>
      <c r="J128" s="149">
        <f>1/((178/(ConditieGetal!$B$2*(E128/(I128*ConditieGetal!$B$2))))*24)*10</f>
        <v>2.6555398681438223E-2</v>
      </c>
    </row>
    <row r="129" spans="1:10" ht="13.5" customHeight="1">
      <c r="A129" s="395">
        <v>37450</v>
      </c>
      <c r="B129" s="177">
        <v>6.35</v>
      </c>
      <c r="C129" s="361">
        <v>2.1038194444444446E-2</v>
      </c>
      <c r="D129" s="181">
        <f t="shared" si="13"/>
        <v>3.3131014873140864E-3</v>
      </c>
      <c r="E129" s="66">
        <v>142</v>
      </c>
      <c r="F129" s="66">
        <v>149</v>
      </c>
      <c r="I129" s="49">
        <f t="shared" si="14"/>
        <v>12.576332728172964</v>
      </c>
      <c r="J129" s="149">
        <f>1/((178/(ConditieGetal!$B$2*(E129/(I129*ConditieGetal!$B$2))))*24)*10</f>
        <v>2.6430360179696639E-2</v>
      </c>
    </row>
    <row r="130" spans="1:10" ht="13.5" customHeight="1">
      <c r="A130" s="395">
        <v>37451</v>
      </c>
      <c r="B130" s="177">
        <v>16.61</v>
      </c>
      <c r="C130" s="361">
        <v>5.4942129629629632E-2</v>
      </c>
      <c r="D130" s="181">
        <f t="shared" si="13"/>
        <v>3.3077742100920912E-3</v>
      </c>
      <c r="E130" s="66">
        <v>146</v>
      </c>
      <c r="F130" s="66">
        <v>163</v>
      </c>
      <c r="I130" s="49">
        <f t="shared" si="14"/>
        <v>12.596587318306296</v>
      </c>
      <c r="J130" s="149">
        <f>1/((178/(ConditieGetal!$B$2*(E130/(I130*ConditieGetal!$B$2))))*24)*10</f>
        <v>2.7131181723227274E-2</v>
      </c>
    </row>
    <row r="131" spans="1:10" ht="13.5" customHeight="1">
      <c r="A131" s="395">
        <v>37452</v>
      </c>
      <c r="B131" s="177">
        <v>16.61</v>
      </c>
      <c r="C131" s="361">
        <v>5.7002314814814818E-2</v>
      </c>
      <c r="D131" s="181">
        <f t="shared" si="13"/>
        <v>3.4318070328004107E-3</v>
      </c>
      <c r="E131" s="66">
        <v>144</v>
      </c>
      <c r="F131" s="66">
        <v>156</v>
      </c>
      <c r="I131" s="49">
        <f t="shared" ref="I131:I138" si="15">1/(D131*24)</f>
        <v>12.141319796954313</v>
      </c>
      <c r="J131" s="149">
        <f>1/((178/(ConditieGetal!$B$2*(E131/(I131*ConditieGetal!$B$2))))*24)*10</f>
        <v>2.7762933299059503E-2</v>
      </c>
    </row>
    <row r="132" spans="1:10" ht="13.5" customHeight="1">
      <c r="A132" s="395">
        <v>37453</v>
      </c>
      <c r="B132" s="177">
        <v>16.61</v>
      </c>
      <c r="C132" s="361">
        <v>4.8287037037037038E-2</v>
      </c>
      <c r="D132" s="181">
        <f t="shared" si="13"/>
        <v>2.9071063839275759E-3</v>
      </c>
      <c r="E132" s="66">
        <v>157</v>
      </c>
      <c r="F132" s="66">
        <v>167</v>
      </c>
      <c r="I132" s="49">
        <f t="shared" si="15"/>
        <v>14.3326941514861</v>
      </c>
      <c r="J132" s="149">
        <f>1/((178/(ConditieGetal!$B$2*(E132/(I132*ConditieGetal!$B$2))))*24)*10</f>
        <v>2.5641331588574682E-2</v>
      </c>
    </row>
    <row r="133" spans="1:10" ht="13.5" customHeight="1">
      <c r="A133" s="395">
        <v>37454</v>
      </c>
      <c r="B133" s="177">
        <v>10.26</v>
      </c>
      <c r="C133" s="361">
        <v>3.5004629629629629E-2</v>
      </c>
      <c r="D133" s="181">
        <f t="shared" si="13"/>
        <v>3.4117572738430438E-3</v>
      </c>
      <c r="E133" s="66">
        <v>144</v>
      </c>
      <c r="F133" s="66">
        <v>153</v>
      </c>
      <c r="I133" s="49">
        <f t="shared" si="15"/>
        <v>12.212670281708768</v>
      </c>
      <c r="J133" s="149">
        <f>1/((178/(ConditieGetal!$B$2*(E133/(I133*ConditieGetal!$B$2))))*24)*10</f>
        <v>2.7600733001876307E-2</v>
      </c>
    </row>
    <row r="134" spans="1:10" ht="13.5" customHeight="1">
      <c r="A134" s="395">
        <v>37456.729861111111</v>
      </c>
      <c r="B134" s="177">
        <v>3</v>
      </c>
      <c r="C134" s="361">
        <v>7.4930555555555549E-3</v>
      </c>
      <c r="D134" s="181">
        <f t="shared" si="13"/>
        <v>2.4976851851851848E-3</v>
      </c>
      <c r="E134" s="66">
        <v>171</v>
      </c>
      <c r="F134" s="66">
        <v>177</v>
      </c>
      <c r="I134" s="49">
        <f t="shared" si="15"/>
        <v>16.682113067655237</v>
      </c>
      <c r="J134" s="149">
        <f>1/((178/(ConditieGetal!$B$2*(E134/(I134*ConditieGetal!$B$2))))*24)*10</f>
        <v>2.3994616104868915E-2</v>
      </c>
    </row>
    <row r="135" spans="1:10" ht="13.5" customHeight="1">
      <c r="A135" s="395">
        <v>37456.739583333336</v>
      </c>
      <c r="B135" s="177">
        <v>3</v>
      </c>
      <c r="C135" s="361">
        <v>9.8182870370370368E-3</v>
      </c>
      <c r="D135" s="181">
        <f t="shared" si="13"/>
        <v>3.2727623456790121E-3</v>
      </c>
      <c r="E135" s="66">
        <v>144</v>
      </c>
      <c r="F135" s="66">
        <v>181</v>
      </c>
      <c r="H135" s="28" t="s">
        <v>108</v>
      </c>
      <c r="I135" s="49">
        <f t="shared" si="15"/>
        <v>12.731345043027231</v>
      </c>
      <c r="J135" s="149">
        <f>1/((178/(ConditieGetal!$B$2*(E135/(I135*ConditieGetal!$B$2))))*24)*10</f>
        <v>2.6476279650436953E-2</v>
      </c>
    </row>
    <row r="136" spans="1:10" ht="13.5" customHeight="1">
      <c r="A136" s="395">
        <v>37457</v>
      </c>
      <c r="B136" s="177">
        <v>10.26</v>
      </c>
      <c r="C136" s="361">
        <v>2.8241898148148151E-2</v>
      </c>
      <c r="D136" s="184">
        <f t="shared" si="13"/>
        <v>2.7526216518662916E-3</v>
      </c>
      <c r="E136" s="66">
        <v>168</v>
      </c>
      <c r="F136" s="66">
        <v>179</v>
      </c>
      <c r="I136" s="49">
        <f t="shared" si="15"/>
        <v>15.137084545715338</v>
      </c>
      <c r="J136" s="149">
        <f>1/((178/(ConditieGetal!$B$2*(E136/(I136*ConditieGetal!$B$2))))*24)*10</f>
        <v>2.5979799860311074E-2</v>
      </c>
    </row>
    <row r="137" spans="1:10" ht="13.5" customHeight="1">
      <c r="A137" s="395">
        <v>37458</v>
      </c>
      <c r="B137" s="177">
        <v>16.61</v>
      </c>
      <c r="C137" s="361">
        <v>5.4363425925925933E-2</v>
      </c>
      <c r="D137" s="181">
        <f>IF(B137&gt;0,C137/B137,"")</f>
        <v>3.2729335295560466E-3</v>
      </c>
      <c r="E137" s="66">
        <v>146</v>
      </c>
      <c r="F137" s="66">
        <v>155</v>
      </c>
      <c r="I137" s="49">
        <f t="shared" si="15"/>
        <v>12.730679156908664</v>
      </c>
      <c r="J137" s="149">
        <f>1/((178/(ConditieGetal!$B$2*(E137/(I137*ConditieGetal!$B$2))))*24)*10</f>
        <v>2.684540984916757E-2</v>
      </c>
    </row>
    <row r="138" spans="1:10" ht="13.5" customHeight="1">
      <c r="A138" s="395">
        <v>37459</v>
      </c>
      <c r="B138" s="177">
        <v>12.7</v>
      </c>
      <c r="C138" s="361">
        <v>4.1666666666666664E-2</v>
      </c>
      <c r="D138" s="181">
        <f t="shared" si="13"/>
        <v>3.2808398950131233E-3</v>
      </c>
      <c r="E138" s="66">
        <v>149</v>
      </c>
      <c r="F138" s="66">
        <v>179</v>
      </c>
      <c r="H138" s="28" t="s">
        <v>112</v>
      </c>
      <c r="I138" s="49">
        <f t="shared" si="15"/>
        <v>12.7</v>
      </c>
      <c r="J138" s="149">
        <f>1/((178/(ConditieGetal!$B$2*(E138/(I138*ConditieGetal!$B$2))))*24)*10</f>
        <v>2.7463210357132326E-2</v>
      </c>
    </row>
    <row r="139" spans="1:10" ht="13.5" customHeight="1">
      <c r="A139" s="395">
        <v>37460</v>
      </c>
      <c r="B139" s="177">
        <v>14.61</v>
      </c>
      <c r="C139" s="361">
        <v>4.2928240740740746E-2</v>
      </c>
      <c r="D139" s="181">
        <f t="shared" si="13"/>
        <v>2.938277942555835E-3</v>
      </c>
      <c r="E139" s="66">
        <v>151</v>
      </c>
      <c r="F139" s="66">
        <v>158</v>
      </c>
      <c r="H139" s="28" t="s">
        <v>113</v>
      </c>
      <c r="I139" s="49">
        <f t="shared" ref="I139:I144" si="16">1/(D139*24)</f>
        <v>14.180641682394173</v>
      </c>
      <c r="J139" s="149">
        <f>1/((178/(ConditieGetal!$B$2*(E139/(I139*ConditieGetal!$B$2))))*24)*10</f>
        <v>2.492584097336692E-2</v>
      </c>
    </row>
    <row r="140" spans="1:10" ht="13.5" customHeight="1">
      <c r="A140" s="395">
        <v>37461</v>
      </c>
      <c r="B140" s="177">
        <v>12.7</v>
      </c>
      <c r="C140" s="361">
        <v>4.0082175925925924E-2</v>
      </c>
      <c r="D140" s="181">
        <f t="shared" si="13"/>
        <v>3.1560768445610967E-3</v>
      </c>
      <c r="E140" s="66">
        <v>142</v>
      </c>
      <c r="F140" s="66">
        <v>146</v>
      </c>
      <c r="I140" s="49">
        <f t="shared" si="16"/>
        <v>13.202044411076781</v>
      </c>
      <c r="J140" s="149">
        <f>1/((178/(ConditieGetal!$B$2*(E140/(I140*ConditieGetal!$B$2))))*24)*10</f>
        <v>2.5177691681330099E-2</v>
      </c>
    </row>
    <row r="141" spans="1:10" ht="13.5" customHeight="1">
      <c r="A141" s="395">
        <v>37462</v>
      </c>
      <c r="B141" s="177">
        <f>2*6.35+10.26</f>
        <v>22.96</v>
      </c>
      <c r="C141" s="361">
        <v>7.5659722222222225E-2</v>
      </c>
      <c r="D141" s="181">
        <f t="shared" si="13"/>
        <v>3.2952840689121177E-3</v>
      </c>
      <c r="E141" s="66">
        <v>142</v>
      </c>
      <c r="F141" s="66">
        <v>149</v>
      </c>
      <c r="I141" s="49">
        <f t="shared" si="16"/>
        <v>12.644332262505737</v>
      </c>
      <c r="J141" s="149">
        <f>1/((178/(ConditieGetal!$B$2*(E141/(I141*ConditieGetal!$B$2))))*24)*10</f>
        <v>2.6288221223905658E-2</v>
      </c>
    </row>
    <row r="142" spans="1:10" ht="13.5" customHeight="1">
      <c r="A142" s="395">
        <v>37463</v>
      </c>
      <c r="B142" s="177">
        <v>10.26</v>
      </c>
      <c r="C142" s="361">
        <v>2.9027777777777777E-2</v>
      </c>
      <c r="D142" s="181">
        <f t="shared" si="13"/>
        <v>2.8292181069958849E-3</v>
      </c>
      <c r="E142" s="66">
        <v>161</v>
      </c>
      <c r="F142" s="66">
        <v>169</v>
      </c>
      <c r="I142" s="49">
        <f t="shared" si="16"/>
        <v>14.727272727272728</v>
      </c>
      <c r="J142" s="149">
        <f>1/((178/(ConditieGetal!$B$2*(E142/(I142*ConditieGetal!$B$2))))*24)*10</f>
        <v>2.5590118832940302E-2</v>
      </c>
    </row>
    <row r="143" spans="1:10" ht="13.5" customHeight="1">
      <c r="A143" s="395">
        <v>37466</v>
      </c>
      <c r="B143" s="177">
        <f>2*10.26</f>
        <v>20.52</v>
      </c>
      <c r="C143" s="361">
        <v>6.6203703703703709E-2</v>
      </c>
      <c r="D143" s="181">
        <f t="shared" si="13"/>
        <v>3.2263013500830268E-3</v>
      </c>
      <c r="E143" s="66">
        <v>151</v>
      </c>
      <c r="F143" s="66">
        <v>165</v>
      </c>
      <c r="I143" s="49">
        <f t="shared" si="16"/>
        <v>12.914685314685313</v>
      </c>
      <c r="J143" s="149">
        <f>1/((178/(ConditieGetal!$B$2*(E143/(I143*ConditieGetal!$B$2))))*24)*10</f>
        <v>2.7369185610254892E-2</v>
      </c>
    </row>
    <row r="144" spans="1:10" ht="13.5" customHeight="1">
      <c r="A144" s="395">
        <v>37468</v>
      </c>
      <c r="B144" s="177">
        <v>10.26</v>
      </c>
      <c r="C144" s="361">
        <v>2.6561342592592591E-2</v>
      </c>
      <c r="D144" s="181">
        <f t="shared" si="13"/>
        <v>2.5888248140928452E-3</v>
      </c>
      <c r="E144" s="66">
        <v>173</v>
      </c>
      <c r="F144" s="66">
        <v>183</v>
      </c>
      <c r="H144" s="28" t="s">
        <v>87</v>
      </c>
      <c r="I144" s="49">
        <f t="shared" si="16"/>
        <v>16.094818946359318</v>
      </c>
      <c r="J144" s="149">
        <f>1/((178/(ConditieGetal!$B$2*(E144/(I144*ConditieGetal!$B$2))))*24)*10</f>
        <v>2.51610501594417E-2</v>
      </c>
    </row>
    <row r="145" spans="1:10" ht="13.5" customHeight="1">
      <c r="A145" s="395">
        <v>37470</v>
      </c>
      <c r="B145" s="177">
        <v>19.3</v>
      </c>
      <c r="C145" s="361">
        <v>6.1458333333333337E-2</v>
      </c>
      <c r="D145" s="181">
        <f t="shared" si="13"/>
        <v>3.184369602763385E-3</v>
      </c>
      <c r="E145" s="66">
        <v>148</v>
      </c>
      <c r="F145" s="66">
        <v>156</v>
      </c>
      <c r="I145" s="49">
        <f t="shared" ref="I145:I150" si="17">1/(D145*24)</f>
        <v>13.084745762711865</v>
      </c>
      <c r="J145" s="149">
        <f>1/((178/(ConditieGetal!$B$2*(E145/(I145*ConditieGetal!$B$2))))*24)*10</f>
        <v>2.6476780966796683E-2</v>
      </c>
    </row>
    <row r="146" spans="1:10" ht="13.5" customHeight="1">
      <c r="A146" s="395">
        <v>37473</v>
      </c>
      <c r="B146" s="177">
        <v>19.3</v>
      </c>
      <c r="C146" s="361">
        <v>6.2245370370370368E-2</v>
      </c>
      <c r="D146" s="181">
        <f t="shared" si="13"/>
        <v>3.2251487238533867E-3</v>
      </c>
      <c r="E146" s="66">
        <v>147</v>
      </c>
      <c r="F146" s="66">
        <v>156</v>
      </c>
      <c r="I146" s="49">
        <f t="shared" si="17"/>
        <v>12.919300855336559</v>
      </c>
      <c r="J146" s="149">
        <f>1/((178/(ConditieGetal!$B$2*(E146/(I146*ConditieGetal!$B$2))))*24)*10</f>
        <v>2.6634655191373473E-2</v>
      </c>
    </row>
    <row r="147" spans="1:10" ht="13.5" customHeight="1">
      <c r="A147" s="395">
        <v>37482</v>
      </c>
      <c r="B147" s="177">
        <v>16.61</v>
      </c>
      <c r="C147" s="361">
        <v>5.4722222222222228E-2</v>
      </c>
      <c r="D147" s="181">
        <f t="shared" si="13"/>
        <v>3.2945347514883945E-3</v>
      </c>
      <c r="E147" s="66">
        <v>152</v>
      </c>
      <c r="F147" s="66">
        <v>172</v>
      </c>
      <c r="I147" s="49">
        <f t="shared" si="17"/>
        <v>12.647208121827408</v>
      </c>
      <c r="J147" s="149">
        <f>1/((178/(ConditieGetal!$B$2*(E147/(I147*ConditieGetal!$B$2))))*24)*10</f>
        <v>2.8133105743046963E-2</v>
      </c>
    </row>
    <row r="148" spans="1:10" ht="13.5" customHeight="1">
      <c r="A148" s="395">
        <v>37483</v>
      </c>
      <c r="B148" s="177">
        <v>16.61</v>
      </c>
      <c r="C148" s="361">
        <v>4.9143518518518524E-2</v>
      </c>
      <c r="D148" s="181">
        <f t="shared" si="13"/>
        <v>2.9586705911209227E-3</v>
      </c>
      <c r="E148" s="66">
        <v>170</v>
      </c>
      <c r="F148" s="66">
        <v>184</v>
      </c>
      <c r="I148" s="49">
        <f t="shared" si="17"/>
        <v>14.082901554404144</v>
      </c>
      <c r="J148" s="149">
        <f>1/((178/(ConditieGetal!$B$2*(E148/(I148*ConditieGetal!$B$2))))*24)*10</f>
        <v>2.8256966319694203E-2</v>
      </c>
    </row>
    <row r="149" spans="1:10" ht="13.5" customHeight="1">
      <c r="A149" s="395">
        <v>37485</v>
      </c>
      <c r="B149" s="177">
        <v>11</v>
      </c>
      <c r="C149" s="361">
        <v>3.6145833333333328E-2</v>
      </c>
      <c r="D149" s="181">
        <f t="shared" si="13"/>
        <v>3.285984848484848E-3</v>
      </c>
      <c r="E149" s="66">
        <v>155</v>
      </c>
      <c r="F149" s="66">
        <v>162</v>
      </c>
      <c r="H149" s="28" t="s">
        <v>114</v>
      </c>
      <c r="I149" s="49">
        <f t="shared" si="17"/>
        <v>12.680115273775217</v>
      </c>
      <c r="J149" s="149">
        <f>1/((178/(ConditieGetal!$B$2*(E149/(I149*ConditieGetal!$B$2))))*24)*10</f>
        <v>2.8613913006469181E-2</v>
      </c>
    </row>
    <row r="150" spans="1:10" ht="13.5" customHeight="1">
      <c r="A150" s="395">
        <v>37488</v>
      </c>
      <c r="B150" s="177">
        <v>6.35</v>
      </c>
      <c r="C150" s="361">
        <v>1.5931712962962963E-2</v>
      </c>
      <c r="D150" s="181">
        <f t="shared" si="13"/>
        <v>2.5089311752697582E-3</v>
      </c>
      <c r="E150" s="66">
        <v>174</v>
      </c>
      <c r="F150" s="66">
        <v>196</v>
      </c>
      <c r="I150" s="49">
        <f t="shared" si="17"/>
        <v>16.607337450054484</v>
      </c>
      <c r="J150" s="149">
        <f>1/((178/(ConditieGetal!$B$2*(E150/(I150*ConditieGetal!$B$2))))*24)*10</f>
        <v>2.4525506994210002E-2</v>
      </c>
    </row>
    <row r="151" spans="1:10" ht="13.5" customHeight="1">
      <c r="A151" s="395">
        <v>37489</v>
      </c>
      <c r="B151" s="177">
        <v>18.350000000000001</v>
      </c>
      <c r="C151" s="361">
        <v>6.0416666666666667E-2</v>
      </c>
      <c r="D151" s="181">
        <f t="shared" si="13"/>
        <v>3.2924613987284283E-3</v>
      </c>
      <c r="E151" s="66">
        <v>143</v>
      </c>
      <c r="F151" s="66">
        <v>146</v>
      </c>
      <c r="I151" s="49">
        <f t="shared" ref="I151:I159" si="18">1/(D151*24)</f>
        <v>12.655172413793105</v>
      </c>
      <c r="J151" s="149">
        <f>1/((178/(ConditieGetal!$B$2*(E151/(I151*ConditieGetal!$B$2))))*24)*10</f>
        <v>2.6450673034728384E-2</v>
      </c>
    </row>
    <row r="152" spans="1:10" ht="13.5" customHeight="1">
      <c r="A152" s="395">
        <v>37491</v>
      </c>
      <c r="B152" s="177">
        <v>12.7</v>
      </c>
      <c r="C152" s="361">
        <v>4.0493055555555553E-2</v>
      </c>
      <c r="D152" s="181">
        <f t="shared" si="13"/>
        <v>3.1884295713035869E-3</v>
      </c>
      <c r="E152" s="66">
        <v>144</v>
      </c>
      <c r="F152" s="66">
        <v>144</v>
      </c>
      <c r="I152" s="49">
        <f t="shared" si="18"/>
        <v>13.068084376607787</v>
      </c>
      <c r="J152" s="149">
        <f>1/((178/(ConditieGetal!$B$2*(E152/(I152*ConditieGetal!$B$2))))*24)*10</f>
        <v>2.5794036981332383E-2</v>
      </c>
    </row>
    <row r="153" spans="1:10" ht="13.5" customHeight="1">
      <c r="A153" s="395">
        <v>37492</v>
      </c>
      <c r="B153" s="177">
        <v>12.31</v>
      </c>
      <c r="C153" s="361">
        <v>3.2374999999999994E-2</v>
      </c>
      <c r="D153" s="181">
        <f t="shared" si="13"/>
        <v>2.6299756295694553E-3</v>
      </c>
      <c r="E153" s="66">
        <v>177</v>
      </c>
      <c r="F153" s="66">
        <v>190</v>
      </c>
      <c r="H153" s="28" t="s">
        <v>115</v>
      </c>
      <c r="I153" s="49">
        <f t="shared" si="18"/>
        <v>15.842985842985845</v>
      </c>
      <c r="J153" s="149">
        <f>1/((178/(ConditieGetal!$B$2*(E153/(I153*ConditieGetal!$B$2))))*24)*10</f>
        <v>2.61520048558311E-2</v>
      </c>
    </row>
    <row r="154" spans="1:10" ht="13.5" customHeight="1">
      <c r="A154" s="395">
        <v>37493</v>
      </c>
      <c r="B154" s="177">
        <v>20.52</v>
      </c>
      <c r="C154" s="361">
        <v>6.9722222222222227E-2</v>
      </c>
      <c r="D154" s="181">
        <f t="shared" si="13"/>
        <v>3.3977691141433832E-3</v>
      </c>
      <c r="E154" s="66">
        <v>147</v>
      </c>
      <c r="F154" s="66">
        <v>157</v>
      </c>
      <c r="I154" s="49">
        <f t="shared" si="18"/>
        <v>12.262948207171316</v>
      </c>
      <c r="J154" s="149">
        <f>1/((178/(ConditieGetal!$B$2*(E154/(I154*ConditieGetal!$B$2))))*24)*10</f>
        <v>2.8060228077476254E-2</v>
      </c>
    </row>
    <row r="155" spans="1:10" ht="13.5" customHeight="1">
      <c r="A155" s="395">
        <v>37501</v>
      </c>
      <c r="B155" s="177">
        <v>16.61</v>
      </c>
      <c r="C155" s="361">
        <v>5.2141203703703703E-2</v>
      </c>
      <c r="D155" s="181">
        <f t="shared" si="13"/>
        <v>3.1391453162976342E-3</v>
      </c>
      <c r="E155" s="66">
        <v>152</v>
      </c>
      <c r="F155" s="66">
        <v>185</v>
      </c>
      <c r="I155" s="49">
        <f t="shared" si="18"/>
        <v>13.273251942286347</v>
      </c>
      <c r="J155" s="149">
        <f>1/((178/(ConditieGetal!$B$2*(E155/(I155*ConditieGetal!$B$2))))*24)*10</f>
        <v>2.6806184723440481E-2</v>
      </c>
    </row>
    <row r="156" spans="1:10" ht="13.5" customHeight="1">
      <c r="A156" s="395">
        <v>37503</v>
      </c>
      <c r="B156" s="177">
        <v>10.26</v>
      </c>
      <c r="C156" s="361">
        <v>3.4872685185185187E-2</v>
      </c>
      <c r="D156" s="181">
        <f t="shared" si="13"/>
        <v>3.3988971915385174E-3</v>
      </c>
      <c r="E156" s="66">
        <v>149</v>
      </c>
      <c r="F156" s="66">
        <v>157</v>
      </c>
      <c r="I156" s="49">
        <f t="shared" si="18"/>
        <v>12.25887819449054</v>
      </c>
      <c r="J156" s="149">
        <f>1/((178/(ConditieGetal!$B$2*(E156/(I156*ConditieGetal!$B$2))))*24)*10</f>
        <v>2.8451442783103322E-2</v>
      </c>
    </row>
    <row r="157" spans="1:10" ht="13.5" customHeight="1">
      <c r="A157" s="395">
        <v>37504</v>
      </c>
      <c r="B157" s="177">
        <v>16.61</v>
      </c>
      <c r="C157" s="361">
        <v>5.7013888888888892E-2</v>
      </c>
      <c r="D157" s="181">
        <f t="shared" si="13"/>
        <v>3.4325038464111317E-3</v>
      </c>
      <c r="E157" s="66">
        <v>150</v>
      </c>
      <c r="F157" s="66">
        <v>161</v>
      </c>
      <c r="I157" s="49">
        <f t="shared" si="18"/>
        <v>12.138855054811204</v>
      </c>
      <c r="J157" s="149">
        <f>1/((178/(ConditieGetal!$B$2*(E157/(I157*ConditieGetal!$B$2))))*24)*10</f>
        <v>2.8925594211329765E-2</v>
      </c>
    </row>
    <row r="158" spans="1:10" ht="13.5" customHeight="1">
      <c r="A158" s="395">
        <v>37505</v>
      </c>
      <c r="B158" s="177">
        <v>12.7</v>
      </c>
      <c r="C158" s="361">
        <v>3.6659722222222225E-2</v>
      </c>
      <c r="D158" s="181">
        <f t="shared" si="13"/>
        <v>2.8865923009623799E-3</v>
      </c>
      <c r="E158" s="66">
        <v>161</v>
      </c>
      <c r="F158" s="66">
        <v>170</v>
      </c>
      <c r="I158" s="49">
        <f>1/(D158*24)</f>
        <v>14.434551998484562</v>
      </c>
      <c r="J158" s="149">
        <f>1/((178/(ConditieGetal!$B$2*(E158/(I158*ConditieGetal!$B$2))))*24)*10</f>
        <v>2.6109065194097929E-2</v>
      </c>
    </row>
    <row r="159" spans="1:10" ht="13.5" customHeight="1">
      <c r="A159" s="395">
        <v>37506</v>
      </c>
      <c r="B159" s="177">
        <v>16.61</v>
      </c>
      <c r="C159" s="361">
        <v>5.5648148148148148E-2</v>
      </c>
      <c r="D159" s="181">
        <f t="shared" si="13"/>
        <v>3.3502798403460656E-3</v>
      </c>
      <c r="E159" s="66">
        <v>146</v>
      </c>
      <c r="F159" s="66">
        <v>157</v>
      </c>
      <c r="I159" s="49">
        <f t="shared" si="18"/>
        <v>12.436772046589017</v>
      </c>
      <c r="J159" s="149">
        <f>1/((178/(ConditieGetal!$B$2*(E159/(I159*ConditieGetal!$B$2))))*24)*10</f>
        <v>2.7479823409580093E-2</v>
      </c>
    </row>
    <row r="160" spans="1:10" ht="13.5" customHeight="1">
      <c r="A160" s="395">
        <v>37511</v>
      </c>
      <c r="B160" s="177">
        <v>12.7</v>
      </c>
      <c r="C160" s="361">
        <v>3.5100694444444448E-2</v>
      </c>
      <c r="D160" s="181">
        <f t="shared" si="13"/>
        <v>2.7638342082239725E-3</v>
      </c>
      <c r="E160" s="66">
        <v>163</v>
      </c>
      <c r="F160" s="66">
        <v>189</v>
      </c>
      <c r="I160" s="49">
        <f>1/(D160*24)</f>
        <v>15.075675140963495</v>
      </c>
      <c r="J160" s="149">
        <f>1/((178/(ConditieGetal!$B$2*(E160/(I160*ConditieGetal!$B$2))))*24)*10</f>
        <v>2.5309268311264461E-2</v>
      </c>
    </row>
    <row r="161" spans="1:10" ht="13.5" customHeight="1">
      <c r="A161" s="395">
        <v>37512</v>
      </c>
      <c r="B161" s="177">
        <v>16.61</v>
      </c>
      <c r="C161" s="361">
        <v>5.3067129629629638E-2</v>
      </c>
      <c r="D161" s="181">
        <f t="shared" si="13"/>
        <v>3.1948904051553066E-3</v>
      </c>
      <c r="E161" s="66">
        <v>153</v>
      </c>
      <c r="F161" s="66">
        <v>173</v>
      </c>
      <c r="I161" s="49">
        <f>1/(D161*24)</f>
        <v>13.041657579062157</v>
      </c>
      <c r="J161" s="149">
        <f>1/((178/(ConditieGetal!$B$2*(E161/(I161*ConditieGetal!$B$2))))*24)*10</f>
        <v>2.7461698426334939E-2</v>
      </c>
    </row>
    <row r="162" spans="1:10" ht="13.5" customHeight="1">
      <c r="A162" s="395">
        <v>37513</v>
      </c>
      <c r="B162" s="177">
        <v>20.52</v>
      </c>
      <c r="C162" s="361">
        <v>7.1273148148148155E-2</v>
      </c>
      <c r="D162" s="181">
        <f t="shared" si="13"/>
        <v>3.4733502996173566E-3</v>
      </c>
      <c r="E162" s="66">
        <v>145</v>
      </c>
      <c r="F162" s="66">
        <v>159</v>
      </c>
      <c r="I162" s="49">
        <f>1/(D162*24)</f>
        <v>11.996102630724261</v>
      </c>
      <c r="J162" s="149">
        <f>1/((178/(ConditieGetal!$B$2*(E162/(I162*ConditieGetal!$B$2))))*24)*10</f>
        <v>2.8294145699130149E-2</v>
      </c>
    </row>
    <row r="163" spans="1:10" ht="13.5" customHeight="1">
      <c r="A163" s="395">
        <v>37515</v>
      </c>
      <c r="B163" s="177">
        <v>16.61</v>
      </c>
      <c r="C163" s="361">
        <v>4.9525462962962959E-2</v>
      </c>
      <c r="D163" s="181">
        <f t="shared" si="13"/>
        <v>2.9816654402747118E-3</v>
      </c>
      <c r="E163" s="66">
        <v>157</v>
      </c>
      <c r="F163" s="66">
        <v>168</v>
      </c>
      <c r="I163" s="49">
        <f>1/(D163*24)</f>
        <v>13.974293059125966</v>
      </c>
      <c r="J163" s="149">
        <f>1/((178/(ConditieGetal!$B$2*(E163/(I163*ConditieGetal!$B$2))))*24)*10</f>
        <v>2.6298959220400542E-2</v>
      </c>
    </row>
    <row r="164" spans="1:10" ht="13.5" customHeight="1">
      <c r="A164" s="395">
        <v>37516</v>
      </c>
      <c r="B164" s="177">
        <v>8</v>
      </c>
      <c r="D164" s="181"/>
      <c r="H164" s="28" t="s">
        <v>118</v>
      </c>
    </row>
    <row r="165" spans="1:10" ht="13.5" customHeight="1">
      <c r="D165" s="187" t="str">
        <f t="shared" si="13"/>
        <v/>
      </c>
    </row>
    <row r="166" spans="1:10" ht="13.5" customHeight="1">
      <c r="A166" s="395">
        <v>37520</v>
      </c>
      <c r="B166" s="177">
        <v>10</v>
      </c>
      <c r="C166" s="362"/>
      <c r="D166" s="188"/>
      <c r="E166" s="83"/>
      <c r="F166" s="84"/>
      <c r="G166" s="64"/>
      <c r="H166" s="28" t="s">
        <v>120</v>
      </c>
    </row>
    <row r="167" spans="1:10" ht="13.5" customHeight="1">
      <c r="A167" s="395">
        <v>37521</v>
      </c>
      <c r="B167" s="177">
        <v>20.52</v>
      </c>
      <c r="C167" s="363" t="s">
        <v>121</v>
      </c>
      <c r="D167" s="181"/>
      <c r="E167" s="64"/>
      <c r="F167" s="85"/>
      <c r="G167" s="64"/>
    </row>
    <row r="168" spans="1:10" ht="13.5" customHeight="1">
      <c r="A168" s="395">
        <v>37522</v>
      </c>
      <c r="B168" s="177">
        <v>16.61</v>
      </c>
      <c r="C168" s="363"/>
      <c r="D168" s="181"/>
      <c r="E168" s="64"/>
      <c r="F168" s="85"/>
      <c r="G168" s="64"/>
    </row>
    <row r="169" spans="1:10" ht="13.5" customHeight="1">
      <c r="A169" s="395">
        <v>37523</v>
      </c>
      <c r="B169" s="177">
        <v>8</v>
      </c>
      <c r="C169" s="363"/>
      <c r="D169" s="181"/>
      <c r="E169" s="64"/>
      <c r="F169" s="85"/>
      <c r="G169" s="64"/>
    </row>
    <row r="170" spans="1:10" ht="13.5" customHeight="1">
      <c r="C170" s="364"/>
      <c r="D170" s="189"/>
      <c r="E170" s="86"/>
      <c r="F170" s="87"/>
      <c r="G170" s="64"/>
    </row>
    <row r="171" spans="1:10" ht="13.5" customHeight="1">
      <c r="A171" s="395">
        <v>37527</v>
      </c>
      <c r="B171" s="177">
        <v>14.6</v>
      </c>
      <c r="D171" s="190"/>
      <c r="H171" s="28" t="s">
        <v>119</v>
      </c>
    </row>
    <row r="172" spans="1:10" ht="13.5" customHeight="1">
      <c r="A172" s="395">
        <v>37528</v>
      </c>
      <c r="B172" s="177">
        <f>2*6.35+10.26</f>
        <v>22.96</v>
      </c>
      <c r="C172" s="361">
        <v>7.5972222222222219E-2</v>
      </c>
      <c r="D172" s="181">
        <f t="shared" ref="D172:D228" si="19">IF(B172&gt;0,C172/B172,"")</f>
        <v>3.3088946960898179E-3</v>
      </c>
      <c r="E172" s="66">
        <v>145</v>
      </c>
      <c r="F172" s="66">
        <v>154</v>
      </c>
      <c r="I172" s="49">
        <f t="shared" ref="I172:I177" si="20">1/(D172*24)</f>
        <v>12.592321755027422</v>
      </c>
      <c r="J172" s="149">
        <f>1/((178/(ConditieGetal!$B$2*(E172/(I172*ConditieGetal!$B$2))))*24)*10</f>
        <v>2.6954479265900205E-2</v>
      </c>
    </row>
    <row r="173" spans="1:10" ht="13.5" customHeight="1">
      <c r="A173" s="395">
        <v>37529</v>
      </c>
      <c r="B173" s="177">
        <v>16.61</v>
      </c>
      <c r="C173" s="361">
        <v>4.7731481481481486E-2</v>
      </c>
      <c r="D173" s="181">
        <f t="shared" si="19"/>
        <v>2.8736593306129734E-3</v>
      </c>
      <c r="E173" s="66">
        <v>156</v>
      </c>
      <c r="F173" s="66">
        <v>164</v>
      </c>
      <c r="I173" s="49">
        <f t="shared" si="20"/>
        <v>14.499515033947622</v>
      </c>
      <c r="J173" s="149">
        <f>1/((178/(ConditieGetal!$B$2*(E173/(I173*ConditieGetal!$B$2))))*24)*10</f>
        <v>2.5184879526720445E-2</v>
      </c>
    </row>
    <row r="174" spans="1:10" ht="13.5" customHeight="1">
      <c r="A174" s="395">
        <v>37530</v>
      </c>
      <c r="B174" s="177">
        <v>12.7</v>
      </c>
      <c r="C174" s="361">
        <v>3.9414351851851853E-2</v>
      </c>
      <c r="D174" s="181">
        <f t="shared" si="19"/>
        <v>3.1034922717993589E-3</v>
      </c>
      <c r="E174" s="66">
        <v>149</v>
      </c>
      <c r="F174" s="66">
        <v>156</v>
      </c>
      <c r="I174" s="49">
        <f t="shared" si="20"/>
        <v>13.425735596405707</v>
      </c>
      <c r="J174" s="149">
        <f>1/((178/(ConditieGetal!$B$2*(E174/(I174*ConditieGetal!$B$2))))*24)*10</f>
        <v>2.5978671263938453E-2</v>
      </c>
    </row>
    <row r="175" spans="1:10" ht="13.5" customHeight="1">
      <c r="A175" s="395">
        <v>37533</v>
      </c>
      <c r="B175" s="177">
        <v>16.61</v>
      </c>
      <c r="C175" s="361">
        <v>4.6643518518518522E-2</v>
      </c>
      <c r="D175" s="181">
        <f t="shared" si="19"/>
        <v>2.808158851205209E-3</v>
      </c>
      <c r="E175" s="66">
        <v>156</v>
      </c>
      <c r="F175" s="66">
        <v>176</v>
      </c>
      <c r="I175" s="49">
        <f t="shared" si="20"/>
        <v>14.837717121588087</v>
      </c>
      <c r="J175" s="149">
        <f>1/((178/(ConditieGetal!$B$2*(E175/(I175*ConditieGetal!$B$2))))*24)*10</f>
        <v>2.4610830381349022E-2</v>
      </c>
    </row>
    <row r="176" spans="1:10" ht="13.5" customHeight="1">
      <c r="A176" s="395">
        <v>37534</v>
      </c>
      <c r="B176" s="177">
        <v>10.26</v>
      </c>
      <c r="C176" s="361">
        <v>2.5482638888888891E-2</v>
      </c>
      <c r="D176" s="191">
        <f t="shared" si="19"/>
        <v>2.4836880008663638E-3</v>
      </c>
      <c r="E176" s="66">
        <v>176</v>
      </c>
      <c r="F176" s="66">
        <v>185</v>
      </c>
      <c r="H176" s="28" t="s">
        <v>87</v>
      </c>
      <c r="I176" s="49">
        <f t="shared" si="20"/>
        <v>16.776127537811689</v>
      </c>
      <c r="J176" s="149">
        <f>1/((178/(ConditieGetal!$B$2*(E176/(I176*ConditieGetal!$B$2))))*24)*10</f>
        <v>2.4557813941150558E-2</v>
      </c>
    </row>
    <row r="177" spans="1:10" ht="13.5" customHeight="1">
      <c r="A177" s="395">
        <v>37535</v>
      </c>
      <c r="B177" s="177">
        <v>22.96</v>
      </c>
      <c r="C177" s="361">
        <v>7.8310185185185191E-2</v>
      </c>
      <c r="D177" s="181">
        <f t="shared" si="19"/>
        <v>3.4107223512711317E-3</v>
      </c>
      <c r="E177" s="66">
        <v>148</v>
      </c>
      <c r="F177" s="66">
        <v>154</v>
      </c>
      <c r="I177" s="49">
        <f t="shared" si="20"/>
        <v>12.216375997635236</v>
      </c>
      <c r="J177" s="149">
        <f>1/((178/(ConditieGetal!$B$2*(E177/(I177*ConditieGetal!$B$2))))*24)*10</f>
        <v>2.8358815055512777E-2</v>
      </c>
    </row>
    <row r="178" spans="1:10" ht="13.5" customHeight="1">
      <c r="A178" s="395">
        <v>37536</v>
      </c>
      <c r="B178" s="177">
        <v>12.7</v>
      </c>
      <c r="C178" s="361">
        <v>3.6722222222222226E-2</v>
      </c>
      <c r="D178" s="181">
        <f t="shared" si="19"/>
        <v>2.8915135608049E-3</v>
      </c>
      <c r="E178" s="66">
        <v>155</v>
      </c>
      <c r="F178" s="66">
        <v>161</v>
      </c>
      <c r="I178" s="49">
        <f t="shared" ref="I178:I187" si="21">1/(D178*24)</f>
        <v>14.409984871406957</v>
      </c>
      <c r="J178" s="149">
        <f>1/((178/(ConditieGetal!$B$2*(E178/(I178*ConditieGetal!$B$2))))*24)*10</f>
        <v>2.5178910220492106E-2</v>
      </c>
    </row>
    <row r="179" spans="1:10" ht="13.5" customHeight="1">
      <c r="A179" s="395">
        <v>37540</v>
      </c>
      <c r="B179" s="177">
        <v>16.61</v>
      </c>
      <c r="C179" s="361">
        <v>5.3101851851851851E-2</v>
      </c>
      <c r="D179" s="181">
        <f t="shared" si="19"/>
        <v>3.1969808459874688E-3</v>
      </c>
      <c r="E179" s="66">
        <v>152</v>
      </c>
      <c r="F179" s="66">
        <v>162</v>
      </c>
      <c r="I179" s="49">
        <f t="shared" si="21"/>
        <v>13.033129904097645</v>
      </c>
      <c r="J179" s="149">
        <f>1/((178/(ConditieGetal!$B$2*(E179/(I179*ConditieGetal!$B$2))))*24)*10</f>
        <v>2.7300061156746921E-2</v>
      </c>
    </row>
    <row r="180" spans="1:10" ht="13.5" customHeight="1">
      <c r="A180" s="395">
        <v>37541</v>
      </c>
      <c r="B180" s="177">
        <v>16.61</v>
      </c>
      <c r="C180" s="361">
        <v>4.7957175925925924E-2</v>
      </c>
      <c r="D180" s="181">
        <f t="shared" si="19"/>
        <v>2.8872471960220305E-3</v>
      </c>
      <c r="E180" s="66">
        <v>159</v>
      </c>
      <c r="F180" s="66">
        <v>172</v>
      </c>
      <c r="I180" s="49">
        <f t="shared" si="21"/>
        <v>14.431277905152649</v>
      </c>
      <c r="J180" s="149">
        <f>1/((178/(ConditieGetal!$B$2*(E180/(I180*ConditieGetal!$B$2))))*24)*10</f>
        <v>2.5790578885814767E-2</v>
      </c>
    </row>
    <row r="181" spans="1:10" ht="13.5" customHeight="1">
      <c r="A181" s="395">
        <v>37542</v>
      </c>
      <c r="B181" s="177">
        <v>6.35</v>
      </c>
      <c r="C181" s="361">
        <v>2.1288194444444446E-2</v>
      </c>
      <c r="D181" s="181">
        <f t="shared" si="19"/>
        <v>3.3524715660542435E-3</v>
      </c>
      <c r="E181" s="66">
        <v>147</v>
      </c>
      <c r="F181" s="66">
        <v>152</v>
      </c>
      <c r="I181" s="49">
        <f t="shared" si="21"/>
        <v>12.428641330941119</v>
      </c>
      <c r="J181" s="149">
        <f>1/((178/(ConditieGetal!$B$2*(E181/(I181*ConditieGetal!$B$2))))*24)*10</f>
        <v>2.7686141584829984E-2</v>
      </c>
    </row>
    <row r="182" spans="1:10" ht="13.5" customHeight="1">
      <c r="A182" s="395">
        <v>37543</v>
      </c>
      <c r="B182" s="177">
        <v>16.61</v>
      </c>
      <c r="C182" s="361">
        <v>4.9571759259259253E-2</v>
      </c>
      <c r="D182" s="181">
        <f t="shared" si="19"/>
        <v>2.9844526947175949E-3</v>
      </c>
      <c r="E182" s="66">
        <v>155</v>
      </c>
      <c r="F182" s="66">
        <v>173</v>
      </c>
      <c r="I182" s="49">
        <f t="shared" si="21"/>
        <v>13.961242120009342</v>
      </c>
      <c r="J182" s="149">
        <f>1/((178/(ConditieGetal!$B$2*(E182/(I182*ConditieGetal!$B$2))))*24)*10</f>
        <v>2.5988211667484669E-2</v>
      </c>
    </row>
    <row r="183" spans="1:10" ht="13.5" customHeight="1">
      <c r="A183" s="395">
        <v>37544</v>
      </c>
      <c r="B183" s="177">
        <v>10.26</v>
      </c>
      <c r="C183" s="361">
        <v>2.7568287037037037E-2</v>
      </c>
      <c r="D183" s="181">
        <f t="shared" si="19"/>
        <v>2.686967547469497E-3</v>
      </c>
      <c r="E183" s="66">
        <v>164</v>
      </c>
      <c r="F183" s="66">
        <v>170</v>
      </c>
      <c r="I183" s="49">
        <f t="shared" si="21"/>
        <v>15.506948234602627</v>
      </c>
      <c r="J183" s="149">
        <f>1/((178/(ConditieGetal!$B$2*(E183/(I183*ConditieGetal!$B$2))))*24)*10</f>
        <v>2.4756330212640315E-2</v>
      </c>
    </row>
    <row r="184" spans="1:10" ht="13.5" customHeight="1">
      <c r="A184" s="395">
        <v>37545</v>
      </c>
      <c r="B184" s="177">
        <f>2*B183</f>
        <v>20.52</v>
      </c>
      <c r="C184" s="361">
        <v>6.8206018518518527E-2</v>
      </c>
      <c r="D184" s="181">
        <f t="shared" si="19"/>
        <v>3.3238800447621115E-3</v>
      </c>
      <c r="E184" s="66">
        <v>147</v>
      </c>
      <c r="F184" s="66">
        <v>152</v>
      </c>
      <c r="I184" s="49">
        <f t="shared" si="21"/>
        <v>12.535550653317493</v>
      </c>
      <c r="J184" s="149">
        <f>1/((178/(ConditieGetal!$B$2*(E184/(I184*ConditieGetal!$B$2))))*24)*10</f>
        <v>2.7450020594383735E-2</v>
      </c>
    </row>
    <row r="185" spans="1:10" ht="13.5" customHeight="1">
      <c r="A185" s="395">
        <v>37546</v>
      </c>
      <c r="B185" s="177">
        <v>6.35</v>
      </c>
      <c r="C185" s="361">
        <v>1.5811342592592596E-2</v>
      </c>
      <c r="D185" s="181">
        <f t="shared" si="19"/>
        <v>2.4899752114319051E-3</v>
      </c>
      <c r="E185" s="66">
        <v>167</v>
      </c>
      <c r="F185" s="66">
        <v>179</v>
      </c>
      <c r="I185" s="49">
        <f t="shared" si="21"/>
        <v>16.733767659761359</v>
      </c>
      <c r="J185" s="149">
        <f>1/((178/(ConditieGetal!$B$2*(E185/(I185*ConditieGetal!$B$2))))*24)*10</f>
        <v>2.3361003388153268E-2</v>
      </c>
    </row>
    <row r="186" spans="1:10" ht="13.5" customHeight="1">
      <c r="A186" s="395">
        <v>37547</v>
      </c>
      <c r="B186" s="177">
        <v>16.61</v>
      </c>
      <c r="C186" s="361">
        <v>4.6909722222222221E-2</v>
      </c>
      <c r="D186" s="181">
        <f t="shared" si="19"/>
        <v>2.8241855642517893E-3</v>
      </c>
      <c r="E186" s="66">
        <v>155</v>
      </c>
      <c r="F186" s="66">
        <v>167</v>
      </c>
      <c r="I186" s="49">
        <f t="shared" si="21"/>
        <v>14.753515914137676</v>
      </c>
      <c r="J186" s="149">
        <f>1/((178/(ConditieGetal!$B$2*(E186/(I186*ConditieGetal!$B$2))))*24)*10</f>
        <v>2.4592627104439744E-2</v>
      </c>
    </row>
    <row r="187" spans="1:10" ht="13.5" customHeight="1">
      <c r="A187" s="395">
        <v>37549</v>
      </c>
      <c r="B187" s="177">
        <f>12.7+10.26</f>
        <v>22.96</v>
      </c>
      <c r="C187" s="361">
        <v>7.5520833333333329E-2</v>
      </c>
      <c r="D187" s="181">
        <f t="shared" si="19"/>
        <v>3.2892349012775841E-3</v>
      </c>
      <c r="E187" s="66">
        <v>147</v>
      </c>
      <c r="F187" s="66">
        <v>154</v>
      </c>
      <c r="I187" s="49">
        <f t="shared" si="21"/>
        <v>12.667586206896551</v>
      </c>
      <c r="J187" s="149">
        <f>1/((178/(ConditieGetal!$B$2*(E187/(I187*ConditieGetal!$B$2))))*24)*10</f>
        <v>2.7163906207180042E-2</v>
      </c>
    </row>
    <row r="188" spans="1:10" ht="13.5" customHeight="1">
      <c r="A188" s="395">
        <v>37551</v>
      </c>
      <c r="B188" s="177">
        <v>8.61</v>
      </c>
      <c r="C188" s="361">
        <v>2.411574074074074E-2</v>
      </c>
      <c r="D188" s="181">
        <f t="shared" si="19"/>
        <v>2.8008990407364393E-3</v>
      </c>
      <c r="E188" s="66">
        <v>159</v>
      </c>
      <c r="F188" s="66">
        <v>161</v>
      </c>
      <c r="I188" s="49">
        <f t="shared" ref="I188:I193" si="22">1/(D188*24)</f>
        <v>14.876175849491265</v>
      </c>
      <c r="J188" s="149">
        <f>1/((178/(ConditieGetal!$B$2*(E188/(I188*ConditieGetal!$B$2))))*24)*10</f>
        <v>2.5019266712196283E-2</v>
      </c>
    </row>
    <row r="189" spans="1:10" ht="13.5" customHeight="1">
      <c r="A189" s="395">
        <v>37552</v>
      </c>
      <c r="B189" s="177">
        <v>20.52</v>
      </c>
      <c r="C189" s="361">
        <v>6.190972222222222E-2</v>
      </c>
      <c r="D189" s="181">
        <f t="shared" si="19"/>
        <v>3.0170429932856835E-3</v>
      </c>
      <c r="E189" s="66">
        <v>148</v>
      </c>
      <c r="F189" s="66">
        <v>151</v>
      </c>
      <c r="I189" s="49">
        <f t="shared" si="22"/>
        <v>13.810431856421761</v>
      </c>
      <c r="J189" s="149">
        <f>1/((178/(ConditieGetal!$B$2*(E189/(I189*ConditieGetal!$B$2))))*24)*10</f>
        <v>2.5085526011588831E-2</v>
      </c>
    </row>
    <row r="190" spans="1:10" ht="13.5" customHeight="1">
      <c r="A190" s="395">
        <v>37553</v>
      </c>
      <c r="B190" s="177">
        <v>10.26</v>
      </c>
      <c r="C190" s="361">
        <v>3.0856481481481481E-2</v>
      </c>
      <c r="D190" s="181">
        <f t="shared" si="19"/>
        <v>3.0074543354270452E-3</v>
      </c>
      <c r="E190" s="66">
        <v>149</v>
      </c>
      <c r="F190" s="66">
        <v>177</v>
      </c>
      <c r="I190" s="49">
        <f t="shared" si="22"/>
        <v>13.854463615903976</v>
      </c>
      <c r="J190" s="149">
        <f>1/((178/(ConditieGetal!$B$2*(E190/(I190*ConditieGetal!$B$2))))*24)*10</f>
        <v>2.5174758201046612E-2</v>
      </c>
    </row>
    <row r="191" spans="1:10" ht="13.5" customHeight="1">
      <c r="A191" s="395">
        <v>37554</v>
      </c>
      <c r="B191" s="177">
        <v>6.35</v>
      </c>
      <c r="C191" s="361">
        <v>1.6315972222222221E-2</v>
      </c>
      <c r="D191" s="181">
        <f t="shared" si="19"/>
        <v>2.5694444444444445E-3</v>
      </c>
      <c r="E191" s="66">
        <v>169</v>
      </c>
      <c r="F191" s="66">
        <v>170</v>
      </c>
      <c r="I191" s="49">
        <f t="shared" si="22"/>
        <v>16.216216216216218</v>
      </c>
      <c r="J191" s="149">
        <f>1/((178/(ConditieGetal!$B$2*(E191/(I191*ConditieGetal!$B$2))))*24)*10</f>
        <v>2.4395287141073654E-2</v>
      </c>
    </row>
    <row r="192" spans="1:10" ht="13.5" customHeight="1">
      <c r="A192" s="395">
        <v>37555</v>
      </c>
      <c r="B192" s="177">
        <v>11.86</v>
      </c>
      <c r="C192" s="361">
        <v>3.0271990740740742E-2</v>
      </c>
      <c r="D192" s="181">
        <f t="shared" si="19"/>
        <v>2.5524444132159142E-3</v>
      </c>
      <c r="E192" s="66">
        <v>174</v>
      </c>
      <c r="F192" s="66">
        <v>183</v>
      </c>
      <c r="H192" s="28" t="s">
        <v>122</v>
      </c>
      <c r="I192" s="49">
        <f t="shared" si="22"/>
        <v>16.324220990250428</v>
      </c>
      <c r="J192" s="149">
        <f>1/((178/(ConditieGetal!$B$2*(E192/(I192*ConditieGetal!$B$2))))*24)*10</f>
        <v>2.4950861117953325E-2</v>
      </c>
    </row>
    <row r="193" spans="1:10" ht="13.5" customHeight="1">
      <c r="A193" s="395">
        <v>37557</v>
      </c>
      <c r="B193" s="177">
        <v>16.61</v>
      </c>
      <c r="C193" s="361">
        <v>4.5671296296296293E-2</v>
      </c>
      <c r="D193" s="181">
        <f t="shared" si="19"/>
        <v>2.7496265079046535E-3</v>
      </c>
      <c r="E193" s="66">
        <v>158</v>
      </c>
      <c r="F193" s="66">
        <v>170</v>
      </c>
      <c r="I193" s="49">
        <f t="shared" si="22"/>
        <v>15.153573238722759</v>
      </c>
      <c r="J193" s="149">
        <f>1/((178/(ConditieGetal!$B$2*(E193/(I193*ConditieGetal!$B$2))))*24)*10</f>
        <v>2.4406797092636809E-2</v>
      </c>
    </row>
    <row r="194" spans="1:10" ht="13.5" customHeight="1">
      <c r="A194" s="395">
        <v>37558</v>
      </c>
      <c r="B194" s="177">
        <v>8</v>
      </c>
      <c r="D194" s="181"/>
      <c r="E194" s="66">
        <v>144</v>
      </c>
      <c r="F194" s="66">
        <v>178</v>
      </c>
      <c r="H194" s="28" t="s">
        <v>123</v>
      </c>
    </row>
    <row r="195" spans="1:10" ht="13.5" customHeight="1">
      <c r="A195" s="395">
        <v>37562</v>
      </c>
      <c r="B195" s="177">
        <v>10</v>
      </c>
      <c r="C195" s="361">
        <v>2.5358796296296296E-2</v>
      </c>
      <c r="D195" s="181">
        <f t="shared" si="19"/>
        <v>2.5358796296296297E-3</v>
      </c>
      <c r="E195" s="66">
        <v>181</v>
      </c>
      <c r="F195" s="66">
        <v>185</v>
      </c>
      <c r="H195" s="28" t="s">
        <v>124</v>
      </c>
      <c r="I195" s="49">
        <f>1/(D195*24)</f>
        <v>16.430853491556366</v>
      </c>
      <c r="J195" s="149">
        <f>1/((178/(ConditieGetal!$B$2*(E195/(I195*ConditieGetal!$B$2))))*24)*10</f>
        <v>2.5786191739492308E-2</v>
      </c>
    </row>
    <row r="196" spans="1:10" ht="13.5" customHeight="1">
      <c r="A196" s="395">
        <v>37563</v>
      </c>
      <c r="B196" s="177">
        <v>12.7</v>
      </c>
      <c r="C196" s="361">
        <v>3.7079861111111112E-2</v>
      </c>
      <c r="D196" s="181">
        <f t="shared" si="19"/>
        <v>2.9196741032370957E-3</v>
      </c>
      <c r="E196" s="66">
        <v>155</v>
      </c>
      <c r="F196" s="66">
        <v>163</v>
      </c>
      <c r="I196" s="49">
        <f>1/(D196*24)</f>
        <v>14.270999157224459</v>
      </c>
      <c r="J196" s="149">
        <f>1/((178/(ConditieGetal!$B$2*(E196/(I196*ConditieGetal!$B$2))))*24)*10</f>
        <v>2.5424128427064593E-2</v>
      </c>
    </row>
    <row r="197" spans="1:10" ht="13.5" customHeight="1">
      <c r="A197" s="395">
        <v>37564</v>
      </c>
      <c r="B197" s="177">
        <v>16.61</v>
      </c>
      <c r="C197" s="361">
        <v>5.5555555555555552E-2</v>
      </c>
      <c r="D197" s="181">
        <f t="shared" si="19"/>
        <v>3.3447053314602983E-3</v>
      </c>
      <c r="E197" s="66">
        <v>144</v>
      </c>
      <c r="F197" s="66">
        <v>150</v>
      </c>
      <c r="I197" s="49">
        <f>1/(D197*24)</f>
        <v>12.4575</v>
      </c>
      <c r="J197" s="149">
        <f>1/((178/(ConditieGetal!$B$2*(E197/(I197*ConditieGetal!$B$2))))*24)*10</f>
        <v>2.7058290321926012E-2</v>
      </c>
    </row>
    <row r="198" spans="1:10" ht="13.5" customHeight="1">
      <c r="A198" s="395">
        <v>37565</v>
      </c>
      <c r="B198" s="177">
        <v>7</v>
      </c>
      <c r="D198" s="181"/>
      <c r="H198" s="28" t="s">
        <v>125</v>
      </c>
    </row>
    <row r="199" spans="1:10" ht="13.5" customHeight="1">
      <c r="A199" s="395">
        <v>37569</v>
      </c>
      <c r="B199" s="177">
        <v>19.52</v>
      </c>
      <c r="C199" s="361">
        <v>5.9887838869797635E-2</v>
      </c>
      <c r="D199" s="181">
        <f t="shared" si="19"/>
        <v>3.0680245322642231E-3</v>
      </c>
      <c r="E199" s="66">
        <v>155</v>
      </c>
      <c r="F199" s="66">
        <v>164</v>
      </c>
      <c r="I199" s="49">
        <f t="shared" ref="I199:I205" si="23">1/(D199*24)</f>
        <v>13.580943121050073</v>
      </c>
      <c r="J199" s="149">
        <f>1/((178/(ConditieGetal!$B$2*(E199/(I199*ConditieGetal!$B$2))))*24)*10</f>
        <v>2.6715943960727784E-2</v>
      </c>
    </row>
    <row r="200" spans="1:10" ht="13.5" customHeight="1">
      <c r="A200" s="395">
        <v>37570</v>
      </c>
      <c r="B200" s="177">
        <v>24.66</v>
      </c>
      <c r="C200" s="361">
        <v>7.7453703703703705E-2</v>
      </c>
      <c r="D200" s="181">
        <f t="shared" si="19"/>
        <v>3.1408638971493798E-3</v>
      </c>
      <c r="E200" s="66">
        <v>149</v>
      </c>
      <c r="F200" s="66">
        <v>160</v>
      </c>
      <c r="I200" s="49">
        <f t="shared" si="23"/>
        <v>13.265989240884638</v>
      </c>
      <c r="J200" s="149">
        <f>1/((178/(ConditieGetal!$B$2*(E200/(I200*ConditieGetal!$B$2))))*24)*10</f>
        <v>2.6291501161531328E-2</v>
      </c>
    </row>
    <row r="201" spans="1:10" ht="13.5" customHeight="1">
      <c r="A201" s="395">
        <v>37571</v>
      </c>
      <c r="B201" s="177">
        <v>11.5</v>
      </c>
      <c r="C201" s="361">
        <v>2.9094907407407406E-2</v>
      </c>
      <c r="D201" s="181">
        <f t="shared" si="19"/>
        <v>2.5299919484702092E-3</v>
      </c>
      <c r="E201" s="66">
        <v>176</v>
      </c>
      <c r="F201" s="66">
        <v>186</v>
      </c>
      <c r="H201" s="28" t="s">
        <v>126</v>
      </c>
      <c r="I201" s="49">
        <f t="shared" si="23"/>
        <v>16.469090619778822</v>
      </c>
      <c r="J201" s="149">
        <f>1/((178/(ConditieGetal!$B$2*(E201/(I201*ConditieGetal!$B$2))))*24)*10</f>
        <v>2.5015650726447014E-2</v>
      </c>
    </row>
    <row r="202" spans="1:10" ht="13.5" customHeight="1">
      <c r="A202" s="395">
        <v>37572</v>
      </c>
      <c r="B202" s="177">
        <v>16.61</v>
      </c>
      <c r="C202" s="361">
        <v>4.8055555555555553E-2</v>
      </c>
      <c r="D202" s="181">
        <f t="shared" si="19"/>
        <v>2.8931701117131579E-3</v>
      </c>
      <c r="E202" s="66">
        <v>154</v>
      </c>
      <c r="F202" s="66">
        <v>162</v>
      </c>
      <c r="I202" s="49">
        <f t="shared" si="23"/>
        <v>14.401734104046245</v>
      </c>
      <c r="J202" s="149">
        <f>1/((178/(ConditieGetal!$B$2*(E202/(I202*ConditieGetal!$B$2))))*24)*10</f>
        <v>2.5030797595720581E-2</v>
      </c>
    </row>
    <row r="203" spans="1:10" ht="13.5" customHeight="1">
      <c r="A203" s="395">
        <v>37574</v>
      </c>
      <c r="B203" s="177">
        <v>20.52</v>
      </c>
      <c r="C203" s="361">
        <v>6.5231481481481488E-2</v>
      </c>
      <c r="D203" s="181">
        <f t="shared" si="19"/>
        <v>3.1789220994874021E-3</v>
      </c>
      <c r="E203" s="66">
        <v>146</v>
      </c>
      <c r="F203" s="66">
        <v>151</v>
      </c>
      <c r="I203" s="49">
        <f t="shared" si="23"/>
        <v>13.107168204400281</v>
      </c>
      <c r="J203" s="149">
        <f>1/((178/(ConditieGetal!$B$2*(E203/(I203*ConditieGetal!$B$2))))*24)*10</f>
        <v>2.6074304860964088E-2</v>
      </c>
    </row>
    <row r="204" spans="1:10" ht="13.5" customHeight="1">
      <c r="A204" s="395">
        <v>37577</v>
      </c>
      <c r="B204" s="177">
        <v>22</v>
      </c>
      <c r="C204" s="361">
        <v>6.7106481481481475E-2</v>
      </c>
      <c r="D204" s="181">
        <f t="shared" si="19"/>
        <v>3.0502946127946126E-3</v>
      </c>
      <c r="E204" s="66">
        <v>150</v>
      </c>
      <c r="F204" s="66">
        <v>168</v>
      </c>
      <c r="H204" s="28" t="s">
        <v>127</v>
      </c>
      <c r="I204" s="49">
        <f t="shared" si="23"/>
        <v>13.659882718178682</v>
      </c>
      <c r="J204" s="149">
        <f>1/((178/(ConditieGetal!$B$2*(E204/(I204*ConditieGetal!$B$2))))*24)*10</f>
        <v>2.5704729883100668E-2</v>
      </c>
    </row>
    <row r="205" spans="1:10" ht="13.5" customHeight="1">
      <c r="A205" s="395">
        <v>37578</v>
      </c>
      <c r="B205" s="177">
        <v>16.61</v>
      </c>
      <c r="C205" s="361">
        <v>4.5810185185185183E-2</v>
      </c>
      <c r="D205" s="181">
        <f t="shared" si="19"/>
        <v>2.7579882712333043E-3</v>
      </c>
      <c r="E205" s="66">
        <v>159</v>
      </c>
      <c r="F205" s="66">
        <v>166</v>
      </c>
      <c r="I205" s="49">
        <f t="shared" si="23"/>
        <v>15.107630116220314</v>
      </c>
      <c r="J205" s="149">
        <f>1/((178/(ConditieGetal!$B$2*(E205/(I205*ConditieGetal!$B$2))))*24)*10</f>
        <v>2.4635962647533455E-2</v>
      </c>
    </row>
    <row r="206" spans="1:10" ht="13.5" customHeight="1">
      <c r="A206" s="395">
        <v>37584</v>
      </c>
      <c r="B206" s="177">
        <v>6.35</v>
      </c>
      <c r="C206" s="361">
        <v>2.067824074074074E-2</v>
      </c>
      <c r="D206" s="181">
        <f t="shared" si="19"/>
        <v>3.2564158646835812E-3</v>
      </c>
      <c r="E206" s="66">
        <v>141</v>
      </c>
      <c r="F206" s="66">
        <v>163</v>
      </c>
      <c r="I206" s="49">
        <f t="shared" ref="I206:I211" si="24">1/(D206*24)</f>
        <v>12.795253554237098</v>
      </c>
      <c r="J206" s="149">
        <f>1/((178/(ConditieGetal!$B$2*(E206/(I206*ConditieGetal!$B$2))))*24)*10</f>
        <v>2.5795204321369943E-2</v>
      </c>
    </row>
    <row r="207" spans="1:10" ht="13.5" customHeight="1">
      <c r="A207" s="395">
        <v>37585</v>
      </c>
      <c r="B207" s="177">
        <v>10.26</v>
      </c>
      <c r="C207" s="361">
        <v>2.9336805555555553E-2</v>
      </c>
      <c r="D207" s="181">
        <f t="shared" si="19"/>
        <v>2.8593377734459605E-3</v>
      </c>
      <c r="E207" s="66">
        <v>156</v>
      </c>
      <c r="F207" s="66">
        <v>184</v>
      </c>
      <c r="I207" s="49">
        <f t="shared" si="24"/>
        <v>14.572138714640786</v>
      </c>
      <c r="J207" s="149">
        <f>1/((178/(ConditieGetal!$B$2*(E207/(I207*ConditieGetal!$B$2))))*24)*10</f>
        <v>2.5059364756043253E-2</v>
      </c>
    </row>
    <row r="208" spans="1:10" ht="13.5" customHeight="1">
      <c r="A208" s="395">
        <v>37586</v>
      </c>
      <c r="B208" s="177">
        <v>12.7</v>
      </c>
      <c r="C208" s="361">
        <v>3.5230324074074074E-2</v>
      </c>
      <c r="D208" s="181">
        <f t="shared" si="19"/>
        <v>2.7740412656751239E-3</v>
      </c>
      <c r="E208" s="66">
        <v>157</v>
      </c>
      <c r="F208" s="66">
        <v>170</v>
      </c>
      <c r="I208" s="49">
        <f t="shared" si="24"/>
        <v>15.020204343112454</v>
      </c>
      <c r="J208" s="149">
        <f>1/((178/(ConditieGetal!$B$2*(E208/(I208*ConditieGetal!$B$2))))*24)*10</f>
        <v>2.4467667343314292E-2</v>
      </c>
    </row>
    <row r="209" spans="1:10" ht="13.5" customHeight="1">
      <c r="A209" s="395">
        <v>37590</v>
      </c>
      <c r="B209" s="177">
        <v>12.7</v>
      </c>
      <c r="C209" s="361">
        <v>3.8947916666666665E-2</v>
      </c>
      <c r="D209" s="181">
        <f t="shared" si="19"/>
        <v>3.0667650918635172E-3</v>
      </c>
      <c r="E209" s="66">
        <v>148</v>
      </c>
      <c r="F209" s="66">
        <v>162</v>
      </c>
      <c r="I209" s="49">
        <f t="shared" si="24"/>
        <v>13.586520460016047</v>
      </c>
      <c r="J209" s="149">
        <f>1/((178/(ConditieGetal!$B$2*(E209/(I209*ConditieGetal!$B$2))))*24)*10</f>
        <v>2.5498945707629238E-2</v>
      </c>
    </row>
    <row r="210" spans="1:10" ht="13.5" customHeight="1">
      <c r="A210" s="395">
        <v>37591</v>
      </c>
      <c r="B210" s="177">
        <v>6.35</v>
      </c>
      <c r="C210" s="361">
        <v>1.9180555555555558E-2</v>
      </c>
      <c r="D210" s="181">
        <f t="shared" si="19"/>
        <v>3.0205599300087496E-3</v>
      </c>
      <c r="E210" s="66">
        <v>148</v>
      </c>
      <c r="F210" s="66">
        <v>166</v>
      </c>
      <c r="I210" s="49">
        <f t="shared" si="24"/>
        <v>13.794351918899345</v>
      </c>
      <c r="J210" s="149">
        <f>1/((178/(ConditieGetal!$B$2*(E210/(I210*ConditieGetal!$B$2))))*24)*10</f>
        <v>2.5114767957376116E-2</v>
      </c>
    </row>
    <row r="211" spans="1:10" ht="13.5" customHeight="1">
      <c r="A211" s="395">
        <v>37593</v>
      </c>
      <c r="B211" s="177">
        <v>12.7</v>
      </c>
      <c r="C211" s="361">
        <v>3.7547453703703708E-2</v>
      </c>
      <c r="D211" s="181">
        <f t="shared" si="19"/>
        <v>2.9564924176144654E-3</v>
      </c>
      <c r="E211" s="66">
        <v>148</v>
      </c>
      <c r="F211" s="66">
        <v>170</v>
      </c>
      <c r="H211" s="28" t="s">
        <v>128</v>
      </c>
      <c r="I211" s="49">
        <f t="shared" si="24"/>
        <v>14.093277025985634</v>
      </c>
      <c r="J211" s="149">
        <f>1/((178/(ConditieGetal!$B$2*(E211/(I211*ConditieGetal!$B$2))))*24)*10</f>
        <v>2.4582071786906794E-2</v>
      </c>
    </row>
    <row r="212" spans="1:10" ht="13.5" customHeight="1">
      <c r="A212" s="395">
        <v>37594</v>
      </c>
      <c r="B212" s="177">
        <v>12.7</v>
      </c>
      <c r="C212" s="361">
        <v>3.4918981481481481E-2</v>
      </c>
      <c r="D212" s="181">
        <f t="shared" si="19"/>
        <v>2.7495261009040537E-3</v>
      </c>
      <c r="E212" s="66">
        <v>159</v>
      </c>
      <c r="F212" s="66">
        <v>176</v>
      </c>
      <c r="I212" s="49">
        <f t="shared" ref="I212:I217" si="25">1/(D212*24)</f>
        <v>15.154126615843554</v>
      </c>
      <c r="J212" s="149">
        <f>1/((178/(ConditieGetal!$B$2*(E212/(I212*ConditieGetal!$B$2))))*24)*10</f>
        <v>2.4560373597963175E-2</v>
      </c>
    </row>
    <row r="213" spans="1:10" ht="13.5" customHeight="1">
      <c r="A213" s="395">
        <v>37597</v>
      </c>
      <c r="B213" s="177">
        <v>6</v>
      </c>
      <c r="C213" s="361">
        <v>1.3754629629629629E-2</v>
      </c>
      <c r="D213" s="191">
        <f t="shared" si="19"/>
        <v>2.2924382716049381E-3</v>
      </c>
      <c r="E213" s="66">
        <v>180</v>
      </c>
      <c r="F213" s="66">
        <v>192</v>
      </c>
      <c r="H213" s="28" t="s">
        <v>129</v>
      </c>
      <c r="I213" s="49">
        <f t="shared" si="25"/>
        <v>18.175698418041065</v>
      </c>
      <c r="J213" s="149">
        <f>1/((178/(ConditieGetal!$B$2*(E213/(I213*ConditieGetal!$B$2))))*24)*10</f>
        <v>2.3181960049937576E-2</v>
      </c>
    </row>
    <row r="214" spans="1:10" ht="13.5" customHeight="1">
      <c r="A214" s="395">
        <v>37598</v>
      </c>
      <c r="B214" s="177">
        <v>16.61</v>
      </c>
      <c r="C214" s="361">
        <v>5.2546296296296292E-2</v>
      </c>
      <c r="D214" s="181">
        <f t="shared" si="19"/>
        <v>3.1635337926728653E-3</v>
      </c>
      <c r="E214" s="66">
        <v>148</v>
      </c>
      <c r="F214" s="66">
        <v>160</v>
      </c>
      <c r="I214" s="49">
        <f t="shared" si="25"/>
        <v>13.170925110132158</v>
      </c>
      <c r="J214" s="149">
        <f>1/((178/(ConditieGetal!$B$2*(E214/(I214*ConditieGetal!$B$2))))*24)*10</f>
        <v>2.6303539399751916E-2</v>
      </c>
    </row>
    <row r="215" spans="1:10" ht="13.5" customHeight="1">
      <c r="A215" s="395">
        <v>37601</v>
      </c>
      <c r="B215" s="177">
        <v>16.61</v>
      </c>
      <c r="C215" s="361">
        <v>4.7175925925925927E-2</v>
      </c>
      <c r="D215" s="181">
        <f t="shared" si="19"/>
        <v>2.84021227729837E-3</v>
      </c>
      <c r="E215" s="66">
        <v>157</v>
      </c>
      <c r="F215" s="66">
        <v>168</v>
      </c>
      <c r="I215" s="49">
        <f t="shared" si="25"/>
        <v>14.670264965652601</v>
      </c>
      <c r="J215" s="149">
        <f>1/((178/(ConditieGetal!$B$2*(E215/(I215*ConditieGetal!$B$2))))*24)*10</f>
        <v>2.5051310535721575E-2</v>
      </c>
    </row>
    <row r="216" spans="1:10" ht="13.5" customHeight="1">
      <c r="A216" s="395">
        <v>37602</v>
      </c>
      <c r="B216" s="177">
        <v>12.7</v>
      </c>
      <c r="C216" s="361">
        <v>3.8391203703703698E-2</v>
      </c>
      <c r="D216" s="181">
        <f t="shared" si="19"/>
        <v>3.0229294254884805E-3</v>
      </c>
      <c r="E216" s="66">
        <v>148</v>
      </c>
      <c r="F216" s="66">
        <v>169</v>
      </c>
      <c r="I216" s="49">
        <f t="shared" si="25"/>
        <v>13.783539342779619</v>
      </c>
      <c r="J216" s="149">
        <f>1/((178/(ConditieGetal!$B$2*(E216/(I216*ConditieGetal!$B$2))))*24)*10</f>
        <v>2.5134469380466019E-2</v>
      </c>
    </row>
    <row r="217" spans="1:10" ht="13.5" customHeight="1">
      <c r="A217" s="395">
        <v>37604</v>
      </c>
      <c r="B217" s="177">
        <v>12.7</v>
      </c>
      <c r="C217" s="361">
        <v>3.5594907407407408E-2</v>
      </c>
      <c r="D217" s="181">
        <f t="shared" si="19"/>
        <v>2.8027486147564891E-3</v>
      </c>
      <c r="E217" s="66">
        <v>163</v>
      </c>
      <c r="F217" s="66">
        <v>172</v>
      </c>
      <c r="I217" s="49">
        <f t="shared" si="25"/>
        <v>14.866358847629575</v>
      </c>
      <c r="J217" s="149">
        <f>1/((178/(ConditieGetal!$B$2*(E217/(I217*ConditieGetal!$B$2))))*24)*10</f>
        <v>2.5665619337376835E-2</v>
      </c>
    </row>
    <row r="218" spans="1:10" ht="13.5" customHeight="1">
      <c r="A218" s="395">
        <v>37605</v>
      </c>
      <c r="B218" s="177">
        <v>20.52</v>
      </c>
      <c r="C218" s="361">
        <v>6.3206018518518522E-2</v>
      </c>
      <c r="D218" s="181">
        <f t="shared" si="19"/>
        <v>3.0802153274131832E-3</v>
      </c>
      <c r="E218" s="66">
        <v>149</v>
      </c>
      <c r="F218" s="66">
        <v>155</v>
      </c>
      <c r="I218" s="49">
        <f t="shared" ref="I218:I226" si="26">1/(D218*24)</f>
        <v>13.527192821827505</v>
      </c>
      <c r="J218" s="149">
        <f>1/((178/(ConditieGetal!$B$2*(E218/(I218*ConditieGetal!$B$2))))*24)*10</f>
        <v>2.5783824931717093E-2</v>
      </c>
    </row>
    <row r="219" spans="1:10" ht="13.5" customHeight="1">
      <c r="A219" s="395">
        <v>37607</v>
      </c>
      <c r="B219" s="177">
        <v>16.61</v>
      </c>
      <c r="C219" s="361">
        <v>4.6319444444444441E-2</v>
      </c>
      <c r="D219" s="181">
        <f t="shared" si="19"/>
        <v>2.7886480701050237E-3</v>
      </c>
      <c r="E219" s="66">
        <v>159</v>
      </c>
      <c r="F219" s="66">
        <v>165</v>
      </c>
      <c r="I219" s="49">
        <f t="shared" si="26"/>
        <v>14.941529235382308</v>
      </c>
      <c r="J219" s="149">
        <f>1/((178/(ConditieGetal!$B$2*(E219/(I219*ConditieGetal!$B$2))))*24)*10</f>
        <v>2.4909833884645998E-2</v>
      </c>
    </row>
    <row r="220" spans="1:10" ht="13.5" customHeight="1">
      <c r="A220" s="395">
        <v>37608</v>
      </c>
      <c r="B220" s="177">
        <v>6.35</v>
      </c>
      <c r="C220" s="361">
        <v>1.8976851851851852E-2</v>
      </c>
      <c r="D220" s="181">
        <f t="shared" si="19"/>
        <v>2.988480606590843E-3</v>
      </c>
      <c r="E220" s="66">
        <v>145</v>
      </c>
      <c r="F220" s="66">
        <v>156</v>
      </c>
      <c r="I220" s="49">
        <f t="shared" si="26"/>
        <v>13.942424981702853</v>
      </c>
      <c r="J220" s="149">
        <f>1/((178/(ConditieGetal!$B$2*(E220/(I220*ConditieGetal!$B$2))))*24)*10</f>
        <v>2.4344364491891698E-2</v>
      </c>
    </row>
    <row r="221" spans="1:10" ht="13.5" customHeight="1">
      <c r="A221" s="395">
        <v>37611</v>
      </c>
      <c r="B221" s="177">
        <v>16.61</v>
      </c>
      <c r="C221" s="361">
        <v>4.5694444444444447E-2</v>
      </c>
      <c r="D221" s="181">
        <f t="shared" si="19"/>
        <v>2.7510201351260955E-3</v>
      </c>
      <c r="E221" s="66">
        <v>166</v>
      </c>
      <c r="F221" s="66">
        <v>181</v>
      </c>
      <c r="I221" s="49">
        <f t="shared" si="26"/>
        <v>15.145896656534955</v>
      </c>
      <c r="J221" s="149">
        <f>1/((178/(ConditieGetal!$B$2*(E221/(I221*ConditieGetal!$B$2))))*24)*10</f>
        <v>2.5655581035445612E-2</v>
      </c>
    </row>
    <row r="222" spans="1:10" ht="13.5" customHeight="1">
      <c r="A222" s="395">
        <v>37612</v>
      </c>
      <c r="B222" s="177">
        <v>24.66</v>
      </c>
      <c r="C222" s="361">
        <v>7.6481481481481484E-2</v>
      </c>
      <c r="D222" s="181">
        <f t="shared" si="19"/>
        <v>3.1014388273106846E-3</v>
      </c>
      <c r="E222" s="66">
        <v>150</v>
      </c>
      <c r="F222" s="66">
        <v>164</v>
      </c>
      <c r="I222" s="49">
        <f t="shared" si="26"/>
        <v>13.434624697336563</v>
      </c>
      <c r="J222" s="149">
        <f>1/((178/(ConditieGetal!$B$2*(E222/(I222*ConditieGetal!$B$2))))*24)*10</f>
        <v>2.613572045486532E-2</v>
      </c>
    </row>
    <row r="223" spans="1:10" ht="13.5" customHeight="1">
      <c r="A223" s="395">
        <v>37614</v>
      </c>
      <c r="B223" s="177">
        <v>16.61</v>
      </c>
      <c r="C223" s="361">
        <v>6.4884259259259267E-2</v>
      </c>
      <c r="D223" s="181">
        <f t="shared" si="19"/>
        <v>3.9063371017013411E-3</v>
      </c>
      <c r="E223" s="66">
        <v>131</v>
      </c>
      <c r="F223" s="66">
        <v>149</v>
      </c>
      <c r="I223" s="49">
        <f t="shared" si="26"/>
        <v>10.666428826257578</v>
      </c>
      <c r="J223" s="149">
        <f>1/((178/(ConditieGetal!$B$2*(E223/(I223*ConditieGetal!$B$2))))*24)*10</f>
        <v>2.8748885411397508E-2</v>
      </c>
    </row>
    <row r="224" spans="1:10" ht="13.5" customHeight="1">
      <c r="A224" s="395">
        <v>37615</v>
      </c>
      <c r="B224" s="177">
        <v>12.7</v>
      </c>
      <c r="C224" s="361">
        <v>4.1793981481481481E-2</v>
      </c>
      <c r="D224" s="181">
        <f t="shared" si="19"/>
        <v>3.2908646835812191E-3</v>
      </c>
      <c r="E224" s="66">
        <v>146</v>
      </c>
      <c r="F224" s="66">
        <v>155</v>
      </c>
      <c r="I224" s="49">
        <f t="shared" si="26"/>
        <v>12.661312655774022</v>
      </c>
      <c r="J224" s="149">
        <f>1/((178/(ConditieGetal!$B$2*(E224/(I224*ConditieGetal!$B$2))))*24)*10</f>
        <v>2.6992485606902143E-2</v>
      </c>
    </row>
    <row r="225" spans="1:10" ht="13.5" customHeight="1">
      <c r="A225" s="395">
        <v>37618</v>
      </c>
      <c r="B225" s="177">
        <v>16.61</v>
      </c>
      <c r="C225" s="361">
        <v>5.3877314814814815E-2</v>
      </c>
      <c r="D225" s="181">
        <f t="shared" si="19"/>
        <v>3.2436673579057688E-3</v>
      </c>
      <c r="E225" s="66">
        <v>148</v>
      </c>
      <c r="F225" s="66">
        <v>155</v>
      </c>
      <c r="I225" s="49">
        <f t="shared" si="26"/>
        <v>12.845542427497314</v>
      </c>
      <c r="J225" s="149">
        <f>1/((178/(ConditieGetal!$B$2*(E225/(I225*ConditieGetal!$B$2))))*24)*10</f>
        <v>2.6969818481463695E-2</v>
      </c>
    </row>
    <row r="226" spans="1:10" ht="13.5" customHeight="1">
      <c r="A226" s="395">
        <v>37619</v>
      </c>
      <c r="B226" s="177">
        <v>20.52</v>
      </c>
      <c r="C226" s="361">
        <v>6.4652777777777781E-2</v>
      </c>
      <c r="D226" s="181">
        <f t="shared" si="19"/>
        <v>3.1507201646090539E-3</v>
      </c>
      <c r="E226" s="66">
        <v>149</v>
      </c>
      <c r="F226" s="66">
        <v>184</v>
      </c>
      <c r="I226" s="49">
        <f t="shared" si="26"/>
        <v>13.224489795918366</v>
      </c>
      <c r="J226" s="149">
        <f>1/((178/(ConditieGetal!$B$2*(E226/(I226*ConditieGetal!$B$2))))*24)*10</f>
        <v>2.6374005872289271E-2</v>
      </c>
    </row>
    <row r="227" spans="1:10" ht="13.5" customHeight="1">
      <c r="A227" s="395">
        <v>37621</v>
      </c>
      <c r="B227" s="177">
        <v>8</v>
      </c>
      <c r="D227" s="181"/>
      <c r="H227" s="28" t="s">
        <v>211</v>
      </c>
    </row>
    <row r="228" spans="1:10" ht="13.5" customHeight="1">
      <c r="A228" s="395">
        <v>37622</v>
      </c>
      <c r="B228" s="177">
        <v>10.26</v>
      </c>
      <c r="C228" s="361">
        <v>3.9864583333333335E-2</v>
      </c>
      <c r="D228" s="181">
        <f t="shared" si="19"/>
        <v>3.8854369720597794E-3</v>
      </c>
      <c r="E228" s="66">
        <v>136</v>
      </c>
      <c r="F228" s="66">
        <v>148</v>
      </c>
      <c r="I228" s="49">
        <f t="shared" ref="I228:I233" si="27">1/(D228*24)</f>
        <v>10.723804546642278</v>
      </c>
      <c r="J228" s="149">
        <f>1/((178/(ConditieGetal!$B$2*(E228/(I228*ConditieGetal!$B$2))))*24)*10</f>
        <v>2.9686484730344381E-2</v>
      </c>
    </row>
    <row r="229" spans="1:10" ht="13.5" customHeight="1">
      <c r="A229" s="395">
        <v>37623</v>
      </c>
      <c r="B229" s="177">
        <v>12.7</v>
      </c>
      <c r="C229" s="361">
        <v>4.5879629629629631E-2</v>
      </c>
      <c r="D229" s="181">
        <f t="shared" ref="D229:D290" si="28">IF(B229&gt;0,C229/B229,"")</f>
        <v>3.6125692621755616E-3</v>
      </c>
      <c r="E229" s="66">
        <v>136</v>
      </c>
      <c r="F229" s="66">
        <v>177</v>
      </c>
      <c r="I229" s="49">
        <f t="shared" si="27"/>
        <v>11.53380423814329</v>
      </c>
      <c r="J229" s="149">
        <f>1/((178/(ConditieGetal!$B$2*(E229/(I229*ConditieGetal!$B$2))))*24)*10</f>
        <v>2.7601652789655973E-2</v>
      </c>
    </row>
    <row r="230" spans="1:10" ht="13.5" customHeight="1">
      <c r="A230" s="395">
        <v>37625</v>
      </c>
      <c r="B230" s="177">
        <v>16.61</v>
      </c>
      <c r="C230" s="361">
        <v>5.3773148148148153E-2</v>
      </c>
      <c r="D230" s="181">
        <f t="shared" si="28"/>
        <v>3.237396035409281E-3</v>
      </c>
      <c r="E230" s="66">
        <v>146</v>
      </c>
      <c r="F230" s="66">
        <v>173</v>
      </c>
      <c r="I230" s="49">
        <f t="shared" si="27"/>
        <v>12.870426173052087</v>
      </c>
      <c r="J230" s="149">
        <f>1/((178/(ConditieGetal!$B$2*(E230/(I230*ConditieGetal!$B$2))))*24)*10</f>
        <v>2.6553922537626687E-2</v>
      </c>
    </row>
    <row r="231" spans="1:10" ht="13.5" customHeight="1">
      <c r="A231" s="395">
        <v>37626</v>
      </c>
      <c r="B231" s="177">
        <v>24.66</v>
      </c>
      <c r="C231" s="361">
        <v>8.74537037037037E-2</v>
      </c>
      <c r="D231" s="181">
        <f t="shared" si="28"/>
        <v>3.5463789012045296E-3</v>
      </c>
      <c r="E231" s="66">
        <v>135</v>
      </c>
      <c r="F231" s="66">
        <v>176</v>
      </c>
      <c r="I231" s="49">
        <f t="shared" si="27"/>
        <v>11.74907358390683</v>
      </c>
      <c r="J231" s="149">
        <f>1/((178/(ConditieGetal!$B$2*(E231/(I231*ConditieGetal!$B$2))))*24)*10</f>
        <v>2.6896693913629862E-2</v>
      </c>
    </row>
    <row r="232" spans="1:10" ht="13.5" customHeight="1">
      <c r="A232" s="395">
        <v>37627</v>
      </c>
      <c r="B232" s="177">
        <v>16.61</v>
      </c>
      <c r="C232" s="361">
        <v>5.2766203703703697E-2</v>
      </c>
      <c r="D232" s="181">
        <f t="shared" si="28"/>
        <v>3.1767732512765624E-3</v>
      </c>
      <c r="E232" s="66">
        <v>149</v>
      </c>
      <c r="F232" s="66">
        <v>183</v>
      </c>
      <c r="I232" s="49">
        <f t="shared" si="27"/>
        <v>13.11603421803027</v>
      </c>
      <c r="J232" s="149">
        <f>1/((178/(ConditieGetal!$B$2*(E232/(I232*ConditieGetal!$B$2))))*24)*10</f>
        <v>2.6592090698888075E-2</v>
      </c>
    </row>
    <row r="233" spans="1:10" ht="13.5" customHeight="1">
      <c r="A233" s="395">
        <v>37630</v>
      </c>
      <c r="B233" s="177">
        <v>20.52</v>
      </c>
      <c r="C233" s="361">
        <v>7.3842592592592585E-2</v>
      </c>
      <c r="D233" s="181">
        <v>3.9351851851851857E-3</v>
      </c>
      <c r="E233" s="66">
        <v>132</v>
      </c>
      <c r="F233" s="66">
        <v>163</v>
      </c>
      <c r="I233" s="49">
        <f t="shared" si="27"/>
        <v>10.588235294117645</v>
      </c>
      <c r="J233" s="149">
        <f>1/((178/(ConditieGetal!$B$2*(E233/(I233*ConditieGetal!$B$2))))*24)*10</f>
        <v>2.9182272159800252E-2</v>
      </c>
    </row>
    <row r="234" spans="1:10" ht="13.5" customHeight="1">
      <c r="A234" s="395">
        <v>37639</v>
      </c>
      <c r="B234" s="177">
        <v>16.61</v>
      </c>
      <c r="C234" s="361">
        <v>4.6446759259259257E-2</v>
      </c>
      <c r="D234" s="181">
        <f t="shared" si="28"/>
        <v>2.7963130198229535E-3</v>
      </c>
      <c r="E234" s="66">
        <v>173</v>
      </c>
      <c r="F234" s="66">
        <v>192</v>
      </c>
      <c r="I234" s="49">
        <f t="shared" ref="I234:I239" si="29">1/(D234*24)</f>
        <v>14.900573137303764</v>
      </c>
      <c r="J234" s="149">
        <f>1/((178/(ConditieGetal!$B$2*(E234/(I234*ConditieGetal!$B$2))))*24)*10</f>
        <v>2.7177649012886003E-2</v>
      </c>
    </row>
    <row r="235" spans="1:10" ht="13.5" customHeight="1">
      <c r="A235" s="395">
        <v>37640</v>
      </c>
      <c r="B235" s="177">
        <v>24.66</v>
      </c>
      <c r="C235" s="361">
        <v>8.3206018518518512E-2</v>
      </c>
      <c r="D235" s="181">
        <f t="shared" si="28"/>
        <v>3.3741288936949923E-3</v>
      </c>
      <c r="E235" s="66">
        <v>148</v>
      </c>
      <c r="F235" s="66">
        <v>172</v>
      </c>
      <c r="I235" s="49">
        <f t="shared" si="29"/>
        <v>12.348866323549869</v>
      </c>
      <c r="J235" s="149">
        <f>1/((178/(ConditieGetal!$B$2*(E235/(I235*ConditieGetal!$B$2))))*24)*10</f>
        <v>2.805455484645274E-2</v>
      </c>
    </row>
    <row r="236" spans="1:10" ht="13.5" customHeight="1">
      <c r="A236" s="395">
        <v>37641</v>
      </c>
      <c r="B236" s="177">
        <v>20.52</v>
      </c>
      <c r="C236" s="361">
        <v>7.7303240740740742E-2</v>
      </c>
      <c r="D236" s="181">
        <f t="shared" si="28"/>
        <v>3.767214461049744E-3</v>
      </c>
      <c r="E236" s="66">
        <v>141</v>
      </c>
      <c r="F236" s="66">
        <v>167</v>
      </c>
      <c r="I236" s="49">
        <f t="shared" si="29"/>
        <v>11.060338374008085</v>
      </c>
      <c r="J236" s="149">
        <f>1/((178/(ConditieGetal!$B$2*(E236/(I236*ConditieGetal!$B$2))))*24)*10</f>
        <v>2.9841417921798528E-2</v>
      </c>
    </row>
    <row r="237" spans="1:10" ht="13.5" customHeight="1">
      <c r="A237" s="395">
        <v>37642</v>
      </c>
      <c r="B237" s="177">
        <v>12.7</v>
      </c>
      <c r="C237" s="361">
        <v>4.3043981481481482E-2</v>
      </c>
      <c r="D237" s="181">
        <f t="shared" si="28"/>
        <v>3.3892898804316128E-3</v>
      </c>
      <c r="E237" s="66">
        <v>144</v>
      </c>
      <c r="F237" s="66">
        <v>162</v>
      </c>
      <c r="I237" s="49">
        <f t="shared" si="29"/>
        <v>12.29362731917182</v>
      </c>
      <c r="J237" s="149">
        <f>1/((178/(ConditieGetal!$B$2*(E237/(I237*ConditieGetal!$B$2))))*24)*10</f>
        <v>2.7418974313604058E-2</v>
      </c>
    </row>
    <row r="238" spans="1:10" ht="13.5" customHeight="1">
      <c r="A238" s="395">
        <v>37644</v>
      </c>
      <c r="B238" s="177">
        <f>3*6.35</f>
        <v>19.049999999999997</v>
      </c>
      <c r="C238" s="361">
        <v>6.2592592592592589E-2</v>
      </c>
      <c r="D238" s="181">
        <f t="shared" si="28"/>
        <v>3.2857003985612911E-3</v>
      </c>
      <c r="E238" s="66">
        <v>147</v>
      </c>
      <c r="F238" s="66">
        <v>178</v>
      </c>
      <c r="I238" s="49">
        <f t="shared" si="29"/>
        <v>12.681213017751478</v>
      </c>
      <c r="J238" s="149">
        <f>1/((178/(ConditieGetal!$B$2*(E238/(I238*ConditieGetal!$B$2))))*24)*10</f>
        <v>2.7134716774635387E-2</v>
      </c>
    </row>
    <row r="239" spans="1:10" ht="13.5" customHeight="1">
      <c r="A239" s="395">
        <v>37645</v>
      </c>
      <c r="B239" s="177">
        <v>16.61</v>
      </c>
      <c r="C239" s="361">
        <v>4.6226851851851852E-2</v>
      </c>
      <c r="D239" s="181">
        <f t="shared" si="28"/>
        <v>2.7830735612192569E-3</v>
      </c>
      <c r="E239" s="66">
        <v>159</v>
      </c>
      <c r="F239" s="66">
        <v>171</v>
      </c>
      <c r="I239" s="49">
        <f t="shared" si="29"/>
        <v>14.971457185778668</v>
      </c>
      <c r="J239" s="149">
        <f>1/((178/(ConditieGetal!$B$2*(E239/(I239*ConditieGetal!$B$2))))*24)*10</f>
        <v>2.4860039114261899E-2</v>
      </c>
    </row>
    <row r="240" spans="1:10" ht="13.5" customHeight="1">
      <c r="A240" s="395">
        <v>37646</v>
      </c>
      <c r="B240" s="177">
        <v>20.52</v>
      </c>
      <c r="C240" s="361">
        <v>7.5902777777777777E-2</v>
      </c>
      <c r="D240" s="181">
        <f t="shared" si="28"/>
        <v>3.6989657786441412E-3</v>
      </c>
      <c r="E240" s="66">
        <v>135</v>
      </c>
      <c r="F240" s="66">
        <v>155</v>
      </c>
      <c r="I240" s="49">
        <f t="shared" ref="I240:I246" si="30">1/(D240*24)</f>
        <v>11.264409881061299</v>
      </c>
      <c r="J240" s="149">
        <f>1/((178/(ConditieGetal!$B$2*(E240/(I240*ConditieGetal!$B$2))))*24)*10</f>
        <v>2.8053953939155003E-2</v>
      </c>
    </row>
    <row r="241" spans="1:10" ht="13.5" customHeight="1">
      <c r="A241" s="395">
        <v>37647</v>
      </c>
      <c r="B241" s="177">
        <v>24.66</v>
      </c>
      <c r="C241" s="361">
        <v>8.3634259259259255E-2</v>
      </c>
      <c r="D241" s="181">
        <f t="shared" si="28"/>
        <v>3.3914946982667987E-3</v>
      </c>
      <c r="E241" s="66">
        <v>144</v>
      </c>
      <c r="F241" s="66">
        <v>167</v>
      </c>
      <c r="I241" s="49">
        <f t="shared" si="30"/>
        <v>12.285635206199835</v>
      </c>
      <c r="J241" s="149">
        <f>1/((178/(ConditieGetal!$B$2*(E241/(I241*ConditieGetal!$B$2))))*24)*10</f>
        <v>2.7436811042158369E-2</v>
      </c>
    </row>
    <row r="242" spans="1:10" ht="13.5" customHeight="1">
      <c r="A242" s="395">
        <v>37648</v>
      </c>
      <c r="B242" s="177">
        <v>16.61</v>
      </c>
      <c r="C242" s="361">
        <v>4.612268518518519E-2</v>
      </c>
      <c r="D242" s="181">
        <f t="shared" si="28"/>
        <v>2.7768022387227691E-3</v>
      </c>
      <c r="E242" s="66">
        <v>158</v>
      </c>
      <c r="F242" s="66">
        <v>178</v>
      </c>
      <c r="I242" s="49">
        <f t="shared" si="30"/>
        <v>15.005269761606019</v>
      </c>
      <c r="J242" s="149">
        <f>1/((178/(ConditieGetal!$B$2*(E242/(I242*ConditieGetal!$B$2))))*24)*10</f>
        <v>2.4648019871808851E-2</v>
      </c>
    </row>
    <row r="243" spans="1:10" ht="13.5" customHeight="1">
      <c r="A243" s="395">
        <v>37650</v>
      </c>
      <c r="B243" s="177">
        <v>10.26</v>
      </c>
      <c r="C243" s="361">
        <v>3.2567129629629633E-2</v>
      </c>
      <c r="D243" s="181">
        <f t="shared" si="28"/>
        <v>3.1741841744278394E-3</v>
      </c>
      <c r="E243" s="66">
        <v>146</v>
      </c>
      <c r="F243" s="66">
        <v>152</v>
      </c>
      <c r="I243" s="49">
        <f t="shared" si="30"/>
        <v>13.126732532518302</v>
      </c>
      <c r="J243" s="149">
        <f>1/((178/(ConditieGetal!$B$2*(E243/(I243*ConditieGetal!$B$2))))*24)*10</f>
        <v>2.603544322845306E-2</v>
      </c>
    </row>
    <row r="244" spans="1:10" ht="13.5" customHeight="1">
      <c r="A244" s="395">
        <v>37654</v>
      </c>
      <c r="B244" s="177">
        <v>17.8</v>
      </c>
      <c r="C244" s="361">
        <v>5.7604166666666672E-2</v>
      </c>
      <c r="D244" s="181">
        <f t="shared" si="28"/>
        <v>3.2361891385767794E-3</v>
      </c>
      <c r="E244" s="66">
        <v>154</v>
      </c>
      <c r="F244" s="66">
        <v>168</v>
      </c>
      <c r="I244" s="49">
        <f t="shared" si="30"/>
        <v>12.875226039783</v>
      </c>
      <c r="J244" s="149">
        <f>1/((178/(ConditieGetal!$B$2*(E244/(I244*ConditieGetal!$B$2))))*24)*10</f>
        <v>2.7998490300046294E-2</v>
      </c>
    </row>
    <row r="245" spans="1:10" ht="13.5" customHeight="1">
      <c r="A245" s="395">
        <v>37658.862500000003</v>
      </c>
      <c r="B245" s="177">
        <v>10.26</v>
      </c>
      <c r="C245" s="361">
        <v>2.5587962962962962E-2</v>
      </c>
      <c r="D245" s="181">
        <f t="shared" si="28"/>
        <v>2.493953505162082E-3</v>
      </c>
      <c r="E245" s="66">
        <v>178</v>
      </c>
      <c r="F245" s="66">
        <v>189</v>
      </c>
      <c r="H245" s="28" t="s">
        <v>212</v>
      </c>
      <c r="I245" s="49">
        <f t="shared" si="30"/>
        <v>16.707074362221821</v>
      </c>
      <c r="J245" s="149">
        <f>1/((178/(ConditieGetal!$B$2*(E245/(I245*ConditieGetal!$B$2))))*24)*10</f>
        <v>2.4939535051620821E-2</v>
      </c>
    </row>
    <row r="246" spans="1:10" ht="13.5" customHeight="1">
      <c r="A246" s="395">
        <v>37658.88958333333</v>
      </c>
      <c r="B246" s="177">
        <v>6.35</v>
      </c>
      <c r="C246" s="361">
        <v>2.3947916666666666E-2</v>
      </c>
      <c r="D246" s="181">
        <f t="shared" si="28"/>
        <v>3.7713254593175856E-3</v>
      </c>
      <c r="E246" s="66">
        <v>141</v>
      </c>
      <c r="F246" s="66">
        <v>149</v>
      </c>
      <c r="I246" s="49">
        <f t="shared" si="30"/>
        <v>11.048281861678991</v>
      </c>
      <c r="J246" s="149">
        <f>1/((178/(ConditieGetal!$B$2*(E246/(I246*ConditieGetal!$B$2))))*24)*10</f>
        <v>2.9873982570998849E-2</v>
      </c>
    </row>
    <row r="247" spans="1:10" ht="13.5" customHeight="1">
      <c r="A247" s="395">
        <v>37665</v>
      </c>
      <c r="B247" s="177">
        <v>12.7</v>
      </c>
      <c r="C247" s="361">
        <v>4.1662037037037032E-2</v>
      </c>
      <c r="D247" s="181">
        <f t="shared" si="28"/>
        <v>3.2804753572470108E-3</v>
      </c>
      <c r="E247" s="66">
        <v>147</v>
      </c>
      <c r="F247" s="66">
        <v>166</v>
      </c>
      <c r="I247" s="49">
        <f>1/(D247*24)</f>
        <v>12.701411267918658</v>
      </c>
      <c r="J247" s="149">
        <f>1/((178/(ConditieGetal!$B$2*(E247/(I247*ConditieGetal!$B$2))))*24)*10</f>
        <v>2.7091566152545533E-2</v>
      </c>
    </row>
    <row r="248" spans="1:10" ht="13.5" customHeight="1">
      <c r="A248" s="395">
        <v>37666</v>
      </c>
      <c r="B248" s="177">
        <v>16.61</v>
      </c>
      <c r="C248" s="361">
        <v>4.6875E-2</v>
      </c>
      <c r="D248" s="181">
        <f t="shared" si="28"/>
        <v>2.8220951234196267E-3</v>
      </c>
      <c r="E248" s="66">
        <v>159</v>
      </c>
      <c r="F248" s="66">
        <v>176</v>
      </c>
      <c r="I248" s="49">
        <f>1/(D248*24)</f>
        <v>14.764444444444445</v>
      </c>
      <c r="J248" s="149">
        <f>1/((178/(ConditieGetal!$B$2*(E248/(I248*ConditieGetal!$B$2))))*24)*10</f>
        <v>2.5208602506950596E-2</v>
      </c>
    </row>
    <row r="249" spans="1:10" ht="13.5" customHeight="1">
      <c r="A249" s="395">
        <v>37668</v>
      </c>
      <c r="B249" s="177">
        <v>24.66</v>
      </c>
      <c r="C249" s="361">
        <v>8.9097222222222217E-2</v>
      </c>
      <c r="D249" s="181">
        <f t="shared" si="28"/>
        <v>3.6130260430747045E-3</v>
      </c>
      <c r="E249" s="66">
        <v>138</v>
      </c>
      <c r="F249" s="66">
        <v>161</v>
      </c>
      <c r="I249" s="49">
        <f>1/(D249*24)</f>
        <v>11.532346063912707</v>
      </c>
      <c r="J249" s="149">
        <f>1/((178/(ConditieGetal!$B$2*(E249/(I249*ConditieGetal!$B$2))))*24)*10</f>
        <v>2.8011100783388157E-2</v>
      </c>
    </row>
    <row r="250" spans="1:10" ht="13.5" customHeight="1">
      <c r="A250" s="395">
        <v>37670</v>
      </c>
      <c r="B250" s="177">
        <v>16.61</v>
      </c>
      <c r="C250" s="361">
        <v>5.3877314814814815E-2</v>
      </c>
      <c r="D250" s="181">
        <f t="shared" si="28"/>
        <v>3.2436673579057688E-3</v>
      </c>
      <c r="E250" s="66">
        <v>148</v>
      </c>
      <c r="F250" s="66">
        <v>167</v>
      </c>
      <c r="I250" s="49">
        <f t="shared" ref="I250:I255" si="31">IF(D250&gt;0,(1/(D250*24)))</f>
        <v>12.845542427497314</v>
      </c>
      <c r="J250" s="149">
        <f>1/((178/(ConditieGetal!$B$2*(E250/(I250*ConditieGetal!$B$2))))*24)*10</f>
        <v>2.6969818481463695E-2</v>
      </c>
    </row>
    <row r="251" spans="1:10" ht="13.5" customHeight="1">
      <c r="A251" s="395">
        <v>37672</v>
      </c>
      <c r="B251" s="177">
        <v>24.66</v>
      </c>
      <c r="C251" s="361">
        <v>7.2187500000000002E-2</v>
      </c>
      <c r="D251" s="181">
        <f t="shared" si="28"/>
        <v>2.9273114355231142E-3</v>
      </c>
      <c r="E251" s="66">
        <v>158</v>
      </c>
      <c r="F251" s="66">
        <v>174</v>
      </c>
      <c r="I251" s="49">
        <f t="shared" si="31"/>
        <v>14.233766233766234</v>
      </c>
      <c r="J251" s="149">
        <f>1/((178/(ConditieGetal!$B$2*(E251/(I251*ConditieGetal!$B$2))))*24)*10</f>
        <v>2.5984000382733262E-2</v>
      </c>
    </row>
    <row r="252" spans="1:10" ht="13.5" customHeight="1">
      <c r="A252" s="395">
        <v>37673</v>
      </c>
      <c r="B252" s="177">
        <v>12.7</v>
      </c>
      <c r="C252" s="361">
        <v>3.7366898148148149E-2</v>
      </c>
      <c r="D252" s="181">
        <f t="shared" si="28"/>
        <v>2.9422754447360751E-3</v>
      </c>
      <c r="E252" s="66">
        <v>148</v>
      </c>
      <c r="F252" s="66">
        <v>167</v>
      </c>
      <c r="I252" s="49">
        <f t="shared" si="31"/>
        <v>14.161375251664859</v>
      </c>
      <c r="J252" s="149">
        <f>1/((178/(ConditieGetal!$B$2*(E252/(I252*ConditieGetal!$B$2))))*24)*10</f>
        <v>2.446386324836736E-2</v>
      </c>
    </row>
    <row r="253" spans="1:10" ht="13.5" customHeight="1">
      <c r="A253" s="395">
        <v>37674</v>
      </c>
      <c r="B253" s="177">
        <v>20</v>
      </c>
      <c r="C253" s="361">
        <v>6.4270833333333333E-2</v>
      </c>
      <c r="D253" s="181">
        <f t="shared" si="28"/>
        <v>3.2135416666666666E-3</v>
      </c>
      <c r="E253" s="66">
        <v>147</v>
      </c>
      <c r="F253" s="66">
        <v>161</v>
      </c>
      <c r="I253" s="49">
        <f t="shared" si="31"/>
        <v>12.965964343598054</v>
      </c>
      <c r="J253" s="149">
        <f>1/((178/(ConditieGetal!$B$2*(E253/(I253*ConditieGetal!$B$2))))*24)*10</f>
        <v>2.6538799157303374E-2</v>
      </c>
    </row>
    <row r="254" spans="1:10" ht="13.5" customHeight="1">
      <c r="A254" s="395">
        <v>37675</v>
      </c>
      <c r="B254" s="177">
        <v>24.66</v>
      </c>
      <c r="C254" s="361">
        <v>7.7523148148148147E-2</v>
      </c>
      <c r="D254" s="181">
        <f t="shared" si="28"/>
        <v>3.1436799735664292E-3</v>
      </c>
      <c r="E254" s="66">
        <v>151</v>
      </c>
      <c r="F254" s="66">
        <v>181</v>
      </c>
      <c r="I254" s="49">
        <f t="shared" si="31"/>
        <v>13.254105703194984</v>
      </c>
      <c r="J254" s="149">
        <f>1/((178/(ConditieGetal!$B$2*(E254/(I254*ConditieGetal!$B$2))))*24)*10</f>
        <v>2.6668296404973639E-2</v>
      </c>
    </row>
    <row r="255" spans="1:10" ht="13.5" customHeight="1">
      <c r="A255" s="395">
        <v>37677</v>
      </c>
      <c r="B255" s="177">
        <v>12.7</v>
      </c>
      <c r="C255" s="361">
        <v>4.1944444444444444E-2</v>
      </c>
      <c r="D255" s="181">
        <f t="shared" si="28"/>
        <v>3.3027121609798776E-3</v>
      </c>
      <c r="E255" s="66">
        <v>143</v>
      </c>
      <c r="F255" s="66">
        <v>164</v>
      </c>
      <c r="I255" s="49">
        <f t="shared" si="31"/>
        <v>12.6158940397351</v>
      </c>
      <c r="J255" s="149">
        <f>1/((178/(ConditieGetal!$B$2*(E255/(I255*ConditieGetal!$B$2))))*24)*10</f>
        <v>2.6533024664051823E-2</v>
      </c>
    </row>
    <row r="256" spans="1:10" ht="13.5" customHeight="1">
      <c r="A256" s="395">
        <v>37679</v>
      </c>
      <c r="B256" s="177">
        <v>16.61</v>
      </c>
      <c r="C256" s="361">
        <v>4.5370370370370366E-2</v>
      </c>
      <c r="D256" s="181">
        <f t="shared" si="28"/>
        <v>2.7315093540259102E-3</v>
      </c>
      <c r="E256" s="66">
        <v>159</v>
      </c>
      <c r="F256" s="66">
        <v>179</v>
      </c>
      <c r="I256" s="49">
        <f t="shared" ref="I256:I269" si="32">IF(D256&gt;0,(1/(D256*24)))</f>
        <v>15.25408163265306</v>
      </c>
      <c r="J256" s="149">
        <f>1/((178/(ConditieGetal!$B$2*(E256/(I256*ConditieGetal!$B$2))))*24)*10</f>
        <v>2.439943748820898E-2</v>
      </c>
    </row>
    <row r="257" spans="1:10" ht="13.5" customHeight="1">
      <c r="A257" s="395">
        <v>37680</v>
      </c>
      <c r="B257" s="177">
        <v>16.61</v>
      </c>
      <c r="C257" s="361">
        <v>4.1556712962962962E-2</v>
      </c>
      <c r="D257" s="191">
        <f t="shared" si="28"/>
        <v>2.5019092692933754E-3</v>
      </c>
      <c r="E257" s="66">
        <v>174</v>
      </c>
      <c r="F257" s="66">
        <v>188</v>
      </c>
      <c r="H257" s="28" t="s">
        <v>212</v>
      </c>
      <c r="I257" s="49">
        <f t="shared" si="32"/>
        <v>16.653947918117254</v>
      </c>
      <c r="J257" s="149">
        <f>1/((178/(ConditieGetal!$B$2*(E257/(I257*ConditieGetal!$B$2))))*24)*10</f>
        <v>2.4456865890845354E-2</v>
      </c>
    </row>
    <row r="258" spans="1:10" ht="13.5" customHeight="1">
      <c r="A258" s="395">
        <v>37681</v>
      </c>
      <c r="B258" s="177">
        <v>24.66</v>
      </c>
      <c r="C258" s="361">
        <v>8.7696759259259252E-2</v>
      </c>
      <c r="D258" s="181">
        <f t="shared" si="28"/>
        <v>3.5562351686642033E-3</v>
      </c>
      <c r="E258" s="66">
        <v>139</v>
      </c>
      <c r="F258" s="66">
        <v>160</v>
      </c>
      <c r="I258" s="49">
        <f t="shared" si="32"/>
        <v>11.716510492279268</v>
      </c>
      <c r="J258" s="149">
        <f>1/((178/(ConditieGetal!$B$2*(E258/(I258*ConditieGetal!$B$2))))*24)*10</f>
        <v>2.7770600474400241E-2</v>
      </c>
    </row>
    <row r="259" spans="1:10" ht="13.5" customHeight="1">
      <c r="A259" s="395">
        <v>37682</v>
      </c>
      <c r="B259" s="177">
        <v>24.66</v>
      </c>
      <c r="C259" s="361">
        <v>7.8449074074074074E-2</v>
      </c>
      <c r="D259" s="181">
        <f t="shared" si="28"/>
        <v>3.1812276591270915E-3</v>
      </c>
      <c r="E259" s="66">
        <v>147</v>
      </c>
      <c r="F259" s="66">
        <v>175</v>
      </c>
      <c r="I259" s="49">
        <f t="shared" si="32"/>
        <v>13.097668928887577</v>
      </c>
      <c r="J259" s="149">
        <f>1/((178/(ConditieGetal!$B$2*(E259/(I259*ConditieGetal!$B$2))))*24)*10</f>
        <v>2.6271936286049579E-2</v>
      </c>
    </row>
    <row r="260" spans="1:10" ht="13.5" customHeight="1">
      <c r="A260" s="395">
        <v>37683</v>
      </c>
      <c r="B260" s="177">
        <v>16.61</v>
      </c>
      <c r="C260" s="361">
        <v>4.5266203703703704E-2</v>
      </c>
      <c r="D260" s="181">
        <f t="shared" si="28"/>
        <v>2.7252380315294224E-3</v>
      </c>
      <c r="E260" s="66">
        <v>157</v>
      </c>
      <c r="F260" s="66">
        <v>164</v>
      </c>
      <c r="I260" s="49">
        <f t="shared" si="32"/>
        <v>15.289184351828178</v>
      </c>
      <c r="J260" s="149">
        <f>1/((178/(ConditieGetal!$B$2*(E260/(I260*ConditieGetal!$B$2))))*24)*10</f>
        <v>2.4037211851130297E-2</v>
      </c>
    </row>
    <row r="261" spans="1:10" ht="13.5" customHeight="1">
      <c r="A261" s="395">
        <v>37685</v>
      </c>
      <c r="B261" s="177">
        <v>16.61</v>
      </c>
      <c r="C261" s="361">
        <v>5.5937500000000001E-2</v>
      </c>
      <c r="D261" s="181">
        <f t="shared" si="28"/>
        <v>3.3677001806140879E-3</v>
      </c>
      <c r="E261" s="66">
        <v>138</v>
      </c>
      <c r="F261" s="66">
        <v>154</v>
      </c>
      <c r="I261" s="49">
        <f t="shared" si="32"/>
        <v>12.372439478584729</v>
      </c>
      <c r="J261" s="149">
        <f>1/((178/(ConditieGetal!$B$2*(E261/(I261*ConditieGetal!$B$2))))*24)*10</f>
        <v>2.6109136231727195E-2</v>
      </c>
    </row>
    <row r="262" spans="1:10" ht="13.5" customHeight="1">
      <c r="A262" s="395">
        <v>37688</v>
      </c>
      <c r="B262" s="177">
        <v>30</v>
      </c>
      <c r="C262" s="361">
        <v>9.6678240740740731E-2</v>
      </c>
      <c r="D262" s="181">
        <f t="shared" si="28"/>
        <v>3.2226080246913575E-3</v>
      </c>
      <c r="E262" s="66">
        <v>147</v>
      </c>
      <c r="F262" s="66">
        <v>167</v>
      </c>
      <c r="I262" s="49">
        <f t="shared" si="32"/>
        <v>12.929486412067524</v>
      </c>
      <c r="J262" s="149">
        <f>1/((178/(ConditieGetal!$B$2*(E262/(I262*ConditieGetal!$B$2))))*24)*10</f>
        <v>2.6613673012900539E-2</v>
      </c>
    </row>
    <row r="263" spans="1:10" ht="13.5" customHeight="1">
      <c r="A263" s="395">
        <v>37689</v>
      </c>
      <c r="B263" s="177">
        <v>22.96</v>
      </c>
      <c r="C263" s="361">
        <v>8.0046296296296296E-2</v>
      </c>
      <c r="D263" s="181">
        <f t="shared" si="28"/>
        <v>3.4863369467028004E-3</v>
      </c>
      <c r="E263" s="66">
        <v>138</v>
      </c>
      <c r="F263" s="66">
        <v>157</v>
      </c>
      <c r="I263" s="49">
        <f t="shared" si="32"/>
        <v>11.951417004048583</v>
      </c>
      <c r="J263" s="149">
        <f>1/((178/(ConditieGetal!$B$2*(E263/(I263*ConditieGetal!$B$2))))*24)*10</f>
        <v>2.7028904418257661E-2</v>
      </c>
    </row>
    <row r="264" spans="1:10" ht="13.5" customHeight="1">
      <c r="A264" s="395">
        <v>37690</v>
      </c>
      <c r="B264" s="177">
        <v>12.7</v>
      </c>
      <c r="C264" s="361">
        <v>3.2096064814814813E-2</v>
      </c>
      <c r="D264" s="181">
        <f t="shared" si="28"/>
        <v>2.5272491980169146E-3</v>
      </c>
      <c r="E264" s="66">
        <v>169</v>
      </c>
      <c r="F264" s="66">
        <v>183</v>
      </c>
      <c r="I264" s="49">
        <f t="shared" si="32"/>
        <v>16.486964047455913</v>
      </c>
      <c r="J264" s="149">
        <f>1/((178/(ConditieGetal!$B$2*(E264/(I264*ConditieGetal!$B$2))))*24)*10</f>
        <v>2.3994669351958348E-2</v>
      </c>
    </row>
    <row r="265" spans="1:10" ht="13.5" customHeight="1">
      <c r="A265" s="395">
        <v>37691</v>
      </c>
      <c r="B265" s="177">
        <v>16.61</v>
      </c>
      <c r="C265" s="361">
        <v>5.1990740740740747E-2</v>
      </c>
      <c r="D265" s="181">
        <f t="shared" si="28"/>
        <v>3.1300867393582632E-3</v>
      </c>
      <c r="E265" s="66">
        <v>147</v>
      </c>
      <c r="F265" s="66">
        <v>152</v>
      </c>
      <c r="I265" s="49">
        <f t="shared" si="32"/>
        <v>13.311665182546747</v>
      </c>
      <c r="J265" s="149">
        <f>1/((178/(ConditieGetal!$B$2*(E265/(I265*ConditieGetal!$B$2))))*24)*10</f>
        <v>2.5849592735149696E-2</v>
      </c>
    </row>
    <row r="266" spans="1:10" ht="13.5" customHeight="1">
      <c r="A266" s="395">
        <v>37693</v>
      </c>
      <c r="B266" s="177">
        <v>20.52</v>
      </c>
      <c r="C266" s="361">
        <v>6.5254629629629635E-2</v>
      </c>
      <c r="D266" s="181">
        <f t="shared" si="28"/>
        <v>3.1800501768825358E-3</v>
      </c>
      <c r="E266" s="66">
        <v>143</v>
      </c>
      <c r="F266" s="66">
        <v>161</v>
      </c>
      <c r="I266" s="49">
        <f t="shared" si="32"/>
        <v>13.1025186236254</v>
      </c>
      <c r="J266" s="149">
        <f>1/((178/(ConditieGetal!$B$2*(E266/(I266*ConditieGetal!$B$2))))*24)*10</f>
        <v>2.5547594117651819E-2</v>
      </c>
    </row>
    <row r="267" spans="1:10" ht="13.5" customHeight="1">
      <c r="A267" s="395">
        <v>37695</v>
      </c>
      <c r="B267" s="177">
        <f>6.35+24.66</f>
        <v>31.009999999999998</v>
      </c>
      <c r="C267" s="361">
        <v>9.6041666666666678E-2</v>
      </c>
      <c r="D267" s="181">
        <f t="shared" si="28"/>
        <v>3.0971192088573582E-3</v>
      </c>
      <c r="E267" s="66">
        <v>146</v>
      </c>
      <c r="F267" s="66">
        <v>168</v>
      </c>
      <c r="I267" s="49">
        <f t="shared" si="32"/>
        <v>13.45336225596529</v>
      </c>
      <c r="J267" s="149">
        <f>1/((178/(ConditieGetal!$B$2*(E267/(I267*ConditieGetal!$B$2))))*24)*10</f>
        <v>2.5403337331077205E-2</v>
      </c>
    </row>
    <row r="268" spans="1:10" ht="13.5" customHeight="1">
      <c r="A268" s="395">
        <v>37696</v>
      </c>
      <c r="B268" s="177">
        <v>24.66</v>
      </c>
      <c r="C268" s="361">
        <v>7.0937500000000001E-2</v>
      </c>
      <c r="D268" s="181">
        <f t="shared" si="28"/>
        <v>2.8766220600162204E-3</v>
      </c>
      <c r="E268" s="66">
        <v>153</v>
      </c>
      <c r="F268" s="66">
        <v>166</v>
      </c>
      <c r="I268" s="49">
        <f t="shared" si="32"/>
        <v>14.484581497797357</v>
      </c>
      <c r="J268" s="149">
        <f>1/((178/(ConditieGetal!$B$2*(E268/(I268*ConditieGetal!$B$2))))*24)*10</f>
        <v>2.4726021077667516E-2</v>
      </c>
    </row>
    <row r="269" spans="1:10" ht="13.5" customHeight="1">
      <c r="A269" s="395">
        <v>37702</v>
      </c>
      <c r="B269" s="177">
        <v>24.66</v>
      </c>
      <c r="C269" s="361">
        <v>7.9861111111111105E-2</v>
      </c>
      <c r="D269" s="181">
        <f t="shared" si="28"/>
        <v>3.2384878796071007E-3</v>
      </c>
      <c r="E269" s="66">
        <v>148</v>
      </c>
      <c r="F269" s="66">
        <v>163</v>
      </c>
      <c r="I269" s="49">
        <f t="shared" si="32"/>
        <v>12.866086956521741</v>
      </c>
      <c r="J269" s="149">
        <f>1/((178/(ConditieGetal!$B$2*(E269/(I269*ConditieGetal!$B$2))))*24)*10</f>
        <v>2.6926753156283761E-2</v>
      </c>
    </row>
    <row r="270" spans="1:10" ht="13.5" customHeight="1">
      <c r="A270" s="395">
        <v>37703</v>
      </c>
      <c r="B270" s="177">
        <v>24.66</v>
      </c>
      <c r="C270" s="361">
        <v>7.8692129629629626E-2</v>
      </c>
      <c r="D270" s="181">
        <f t="shared" si="28"/>
        <v>3.1910839265867652E-3</v>
      </c>
      <c r="E270" s="66">
        <v>146</v>
      </c>
      <c r="F270" s="66">
        <v>180</v>
      </c>
      <c r="I270" s="49">
        <f t="shared" ref="I270:I275" si="33">IF(D270&gt;0,(1/(D270*24)))</f>
        <v>13.057214296220032</v>
      </c>
      <c r="J270" s="149">
        <f>1/((178/(ConditieGetal!$B$2*(E270/(I270*ConditieGetal!$B$2))))*24)*10</f>
        <v>2.6174059173127397E-2</v>
      </c>
    </row>
    <row r="271" spans="1:10" ht="13.5" customHeight="1">
      <c r="A271" s="395">
        <v>37704</v>
      </c>
      <c r="B271" s="177">
        <v>16.61</v>
      </c>
      <c r="C271" s="361">
        <v>5.561342592592592E-2</v>
      </c>
      <c r="D271" s="181">
        <f t="shared" si="28"/>
        <v>3.3481893995139025E-3</v>
      </c>
      <c r="E271" s="66">
        <v>143</v>
      </c>
      <c r="F271" s="66">
        <v>153</v>
      </c>
      <c r="I271" s="49">
        <f t="shared" si="33"/>
        <v>12.444536940686787</v>
      </c>
      <c r="J271" s="149">
        <f>1/((178/(ConditieGetal!$B$2*(E271/(I271*ConditieGetal!$B$2))))*24)*10</f>
        <v>2.6898375512948762E-2</v>
      </c>
    </row>
    <row r="272" spans="1:10" ht="13.5" customHeight="1">
      <c r="A272" s="395">
        <v>37706</v>
      </c>
      <c r="B272" s="177">
        <v>16.61</v>
      </c>
      <c r="C272" s="361">
        <v>4.5787037037037036E-2</v>
      </c>
      <c r="D272" s="181">
        <f t="shared" si="28"/>
        <v>2.7565946440118627E-3</v>
      </c>
      <c r="E272" s="66">
        <v>159</v>
      </c>
      <c r="F272" s="66">
        <v>190</v>
      </c>
      <c r="I272" s="49">
        <f t="shared" si="33"/>
        <v>15.115267947421636</v>
      </c>
      <c r="J272" s="149">
        <f>1/((178/(ConditieGetal!$B$2*(E272/(I272*ConditieGetal!$B$2))))*24)*10</f>
        <v>2.4623513954937431E-2</v>
      </c>
    </row>
    <row r="273" spans="1:15" ht="13.5" customHeight="1">
      <c r="A273" s="395">
        <v>37707</v>
      </c>
      <c r="B273" s="177">
        <v>24.66</v>
      </c>
      <c r="C273" s="361">
        <v>7.7372685185185183E-2</v>
      </c>
      <c r="D273" s="181">
        <f t="shared" si="28"/>
        <v>3.1375784746628219E-3</v>
      </c>
      <c r="E273" s="66">
        <v>149</v>
      </c>
      <c r="F273" s="66">
        <v>169</v>
      </c>
      <c r="I273" s="49">
        <f t="shared" si="33"/>
        <v>13.279880329094988</v>
      </c>
      <c r="J273" s="149">
        <f>1/((178/(ConditieGetal!$B$2*(E273/(I273*ConditieGetal!$B$2))))*24)*10</f>
        <v>2.6263999591278675E-2</v>
      </c>
    </row>
    <row r="274" spans="1:15" ht="13.5" customHeight="1">
      <c r="A274" s="395">
        <v>37708</v>
      </c>
      <c r="B274" s="177">
        <v>10.26</v>
      </c>
      <c r="C274" s="361">
        <v>2.6675925925925926E-2</v>
      </c>
      <c r="D274" s="181">
        <f t="shared" si="28"/>
        <v>2.5999927803046713E-3</v>
      </c>
      <c r="E274" s="66">
        <v>166</v>
      </c>
      <c r="F274" s="66">
        <v>181</v>
      </c>
      <c r="I274" s="49">
        <f t="shared" si="33"/>
        <v>16.025685525859075</v>
      </c>
      <c r="J274" s="149">
        <f>1/((178/(ConditieGetal!$B$2*(E274/(I274*ConditieGetal!$B$2))))*24)*10</f>
        <v>2.424712368149301E-2</v>
      </c>
    </row>
    <row r="275" spans="1:15" ht="13.5" customHeight="1">
      <c r="A275" s="395">
        <v>37709</v>
      </c>
      <c r="B275" s="177">
        <v>10</v>
      </c>
      <c r="C275" s="361">
        <v>3.2395833333333332E-2</v>
      </c>
      <c r="D275" s="181">
        <f t="shared" si="28"/>
        <v>3.239583333333333E-3</v>
      </c>
      <c r="E275" s="66">
        <v>140</v>
      </c>
      <c r="F275" s="66">
        <v>165</v>
      </c>
      <c r="I275" s="49">
        <f t="shared" si="33"/>
        <v>12.861736334405148</v>
      </c>
      <c r="J275" s="149">
        <f>1/((178/(ConditieGetal!$B$2*(E275/(I275*ConditieGetal!$B$2))))*24)*10</f>
        <v>2.5479868913857673E-2</v>
      </c>
    </row>
    <row r="276" spans="1:15" ht="13.5" customHeight="1">
      <c r="A276" s="395">
        <v>37710</v>
      </c>
      <c r="B276" s="177">
        <v>21.1</v>
      </c>
      <c r="C276" s="361">
        <v>5.4525462962962963E-2</v>
      </c>
      <c r="D276" s="181">
        <f t="shared" si="28"/>
        <v>2.5841451641214672E-3</v>
      </c>
      <c r="E276" s="66">
        <v>175</v>
      </c>
      <c r="F276" s="66">
        <v>186</v>
      </c>
      <c r="H276" s="28" t="s">
        <v>115</v>
      </c>
      <c r="I276" s="49">
        <f t="shared" ref="I276:I281" si="34">IF(D276&gt;0,(1/(D276*24)))</f>
        <v>16.123965187858207</v>
      </c>
      <c r="J276" s="149">
        <f>1/((178/(ConditieGetal!$B$2*(E276/(I276*ConditieGetal!$B$2))))*24)*10</f>
        <v>2.5405921557373971E-2</v>
      </c>
      <c r="K276" s="149">
        <f>J276*POWER(21.1/10,1.06)</f>
        <v>5.6062744632152238E-2</v>
      </c>
    </row>
    <row r="277" spans="1:15" ht="13.5" customHeight="1">
      <c r="A277" s="395">
        <v>37711</v>
      </c>
      <c r="B277" s="177">
        <v>16.61</v>
      </c>
      <c r="C277" s="361">
        <v>5.8912037037037034E-2</v>
      </c>
      <c r="D277" s="181">
        <f t="shared" si="28"/>
        <v>3.5467812785693578E-3</v>
      </c>
      <c r="E277" s="66">
        <v>138</v>
      </c>
      <c r="F277" s="66">
        <v>168</v>
      </c>
      <c r="I277" s="49">
        <f t="shared" si="34"/>
        <v>11.747740667976425</v>
      </c>
      <c r="J277" s="149">
        <f>1/((178/(ConditieGetal!$B$2*(E277/(I277*ConditieGetal!$B$2))))*24)*10</f>
        <v>2.749751777767255E-2</v>
      </c>
    </row>
    <row r="278" spans="1:15" ht="13.5" customHeight="1">
      <c r="A278" s="395">
        <v>37712</v>
      </c>
      <c r="B278" s="177">
        <v>16.61</v>
      </c>
      <c r="C278" s="361">
        <v>4.809027777777778E-2</v>
      </c>
      <c r="D278" s="181">
        <f t="shared" si="28"/>
        <v>2.8952605525453209E-3</v>
      </c>
      <c r="E278" s="66">
        <v>152</v>
      </c>
      <c r="F278" s="66">
        <v>157</v>
      </c>
      <c r="I278" s="49">
        <f t="shared" si="34"/>
        <v>14.391335740072201</v>
      </c>
      <c r="J278" s="149">
        <f>1/((178/(ConditieGetal!$B$2*(E278/(I278*ConditieGetal!$B$2))))*24)*10</f>
        <v>2.4723573257690382E-2</v>
      </c>
    </row>
    <row r="279" spans="1:15" ht="13.5" customHeight="1">
      <c r="A279" s="395">
        <v>37713</v>
      </c>
      <c r="B279" s="177">
        <v>12.7</v>
      </c>
      <c r="C279" s="361">
        <v>3.7152777777777778E-2</v>
      </c>
      <c r="D279" s="181">
        <f t="shared" si="28"/>
        <v>2.9254155730533684E-3</v>
      </c>
      <c r="E279" s="66">
        <v>149</v>
      </c>
      <c r="F279" s="66">
        <v>169</v>
      </c>
      <c r="H279" s="28" t="s">
        <v>213</v>
      </c>
      <c r="I279" s="49">
        <f t="shared" si="34"/>
        <v>14.242990654205608</v>
      </c>
      <c r="J279" s="149">
        <f>1/((178/(ConditieGetal!$B$2*(E279/(I279*ConditieGetal!$B$2))))*24)*10</f>
        <v>2.4488029235109655E-2</v>
      </c>
    </row>
    <row r="280" spans="1:15" ht="13.5" customHeight="1">
      <c r="A280" s="395">
        <v>37714</v>
      </c>
      <c r="B280" s="177">
        <v>10.26</v>
      </c>
      <c r="C280" s="361">
        <v>3.2388888888888891E-2</v>
      </c>
      <c r="D280" s="181">
        <f>IF(B280&gt;0,C280/B280,"")</f>
        <v>3.1568117825427769E-3</v>
      </c>
      <c r="E280" s="66">
        <v>142</v>
      </c>
      <c r="F280" s="66">
        <v>149</v>
      </c>
      <c r="I280" s="49">
        <f t="shared" si="34"/>
        <v>13.198970840480273</v>
      </c>
      <c r="J280" s="149">
        <f>1/((178/(ConditieGetal!$B$2*(E280/(I280*ConditieGetal!$B$2))))*24)*10</f>
        <v>2.5183554669723281E-2</v>
      </c>
    </row>
    <row r="281" spans="1:15" ht="13.5" customHeight="1">
      <c r="A281" s="395">
        <v>37716</v>
      </c>
      <c r="B281" s="177">
        <v>14.3</v>
      </c>
      <c r="C281" s="361">
        <v>3.4853009259259257E-2</v>
      </c>
      <c r="D281" s="181">
        <f>IF(B281&gt;0,C281/B281,"")</f>
        <v>2.4372733747733744E-3</v>
      </c>
      <c r="E281" s="66">
        <v>175</v>
      </c>
      <c r="F281" s="66">
        <v>182</v>
      </c>
      <c r="H281" s="28" t="s">
        <v>218</v>
      </c>
      <c r="I281" s="49">
        <f t="shared" si="34"/>
        <v>17.095606548666691</v>
      </c>
      <c r="J281" s="149">
        <f>1/((178/(ConditieGetal!$B$2*(E281/(I281*ConditieGetal!$B$2))))*24)*10</f>
        <v>2.3961957336255085E-2</v>
      </c>
    </row>
    <row r="282" spans="1:15" ht="13.5" customHeight="1">
      <c r="A282" s="395">
        <v>37717</v>
      </c>
      <c r="B282" s="177">
        <v>24.66</v>
      </c>
      <c r="C282" s="361">
        <v>7.6064814814814807E-2</v>
      </c>
      <c r="D282" s="181">
        <f t="shared" si="28"/>
        <v>3.0845423688083862E-3</v>
      </c>
      <c r="E282" s="66">
        <v>145</v>
      </c>
      <c r="F282" s="66">
        <v>151</v>
      </c>
      <c r="I282" s="49">
        <f t="shared" ref="I282:I289" si="35">IF(D282&gt;0,(1/(D282*24)))</f>
        <v>13.508216676810713</v>
      </c>
      <c r="J282" s="149">
        <f>1/((178/(ConditieGetal!$B$2*(E282/(I282*ConditieGetal!$B$2))))*24)*10</f>
        <v>2.5126890082989659E-2</v>
      </c>
    </row>
    <row r="283" spans="1:15" ht="13.5" customHeight="1">
      <c r="A283" s="395">
        <v>37718</v>
      </c>
      <c r="B283" s="177">
        <v>20.52</v>
      </c>
      <c r="C283" s="361">
        <v>5.8067129629629628E-2</v>
      </c>
      <c r="D283" s="181">
        <f t="shared" si="28"/>
        <v>2.8297821456934515E-3</v>
      </c>
      <c r="E283" s="66">
        <v>153</v>
      </c>
      <c r="F283" s="66">
        <v>160</v>
      </c>
      <c r="I283" s="49">
        <f t="shared" si="35"/>
        <v>14.72433725333865</v>
      </c>
      <c r="J283" s="149">
        <f>1/((178/(ConditieGetal!$B$2*(E283/(I283*ConditieGetal!$B$2))))*24)*10</f>
        <v>2.4323408330960569E-2</v>
      </c>
    </row>
    <row r="284" spans="1:15" ht="13.5" customHeight="1">
      <c r="A284" s="395">
        <v>37719</v>
      </c>
      <c r="B284" s="177">
        <v>16.61</v>
      </c>
      <c r="C284" s="361">
        <v>5.2812499999999998E-2</v>
      </c>
      <c r="D284" s="181">
        <f t="shared" si="28"/>
        <v>3.179560505719446E-3</v>
      </c>
      <c r="E284" s="66">
        <v>142</v>
      </c>
      <c r="F284" s="66">
        <v>168</v>
      </c>
      <c r="I284" s="49">
        <f t="shared" si="35"/>
        <v>13.104536489151876</v>
      </c>
      <c r="J284" s="149">
        <f>1/((178/(ConditieGetal!$B$2*(E284/(I284*ConditieGetal!$B$2))))*24)*10</f>
        <v>2.5365033247874234E-2</v>
      </c>
    </row>
    <row r="285" spans="1:15" ht="13.5" customHeight="1">
      <c r="A285" s="395">
        <v>37720</v>
      </c>
      <c r="B285" s="177">
        <v>16.61</v>
      </c>
      <c r="C285" s="361">
        <v>4.447916666666666E-2</v>
      </c>
      <c r="D285" s="181">
        <f t="shared" si="28"/>
        <v>2.6778547060004008E-3</v>
      </c>
      <c r="E285" s="66">
        <v>158</v>
      </c>
      <c r="F285" s="66">
        <v>164</v>
      </c>
      <c r="I285" s="49">
        <f t="shared" si="35"/>
        <v>15.559718969555037</v>
      </c>
      <c r="J285" s="149">
        <f>1/((178/(ConditieGetal!$B$2*(E285/(I285*ConditieGetal!$B$2))))*24)*10</f>
        <v>2.3769721547644014E-2</v>
      </c>
    </row>
    <row r="286" spans="1:15" s="123" customFormat="1" ht="13.5" customHeight="1">
      <c r="A286" s="396">
        <v>37721</v>
      </c>
      <c r="B286" s="287">
        <v>24.66</v>
      </c>
      <c r="C286" s="365">
        <v>7.3773148148148157E-2</v>
      </c>
      <c r="D286" s="192">
        <f t="shared" si="28"/>
        <v>2.9916118470457486E-3</v>
      </c>
      <c r="E286" s="120">
        <v>144</v>
      </c>
      <c r="F286" s="120">
        <v>149</v>
      </c>
      <c r="G286" s="120"/>
      <c r="H286" s="121"/>
      <c r="I286" s="122">
        <f t="shared" si="35"/>
        <v>13.927831816755566</v>
      </c>
      <c r="J286" s="149">
        <f>1/((178/(ConditieGetal!$B$2*(E286/(I286*ConditieGetal!$B$2))))*24)*10</f>
        <v>2.4201803706437524E-2</v>
      </c>
      <c r="K286" s="269"/>
      <c r="L286" s="269"/>
      <c r="N286" s="121"/>
      <c r="O286" s="121"/>
    </row>
    <row r="287" spans="1:15" ht="13.5" customHeight="1">
      <c r="A287" s="395">
        <v>37725</v>
      </c>
      <c r="B287" s="177">
        <v>20.52</v>
      </c>
      <c r="C287" s="361">
        <v>6.1562499999999999E-2</v>
      </c>
      <c r="D287" s="181">
        <f t="shared" si="28"/>
        <v>3.0001218323586743E-3</v>
      </c>
      <c r="E287" s="66">
        <v>149</v>
      </c>
      <c r="F287" s="66">
        <v>172</v>
      </c>
      <c r="I287" s="49">
        <f t="shared" si="35"/>
        <v>13.888324873096447</v>
      </c>
      <c r="J287" s="149">
        <f>1/((178/(ConditieGetal!$B$2*(E287/(I287*ConditieGetal!$B$2))))*24)*10</f>
        <v>2.5113379383227104E-2</v>
      </c>
    </row>
    <row r="288" spans="1:15" ht="13.5" customHeight="1">
      <c r="A288" s="395">
        <v>37726</v>
      </c>
      <c r="B288" s="177">
        <v>16.61</v>
      </c>
      <c r="C288" s="361">
        <v>4.4351851851851858E-2</v>
      </c>
      <c r="D288" s="181">
        <f t="shared" si="28"/>
        <v>2.6701897562824719E-3</v>
      </c>
      <c r="E288" s="66">
        <v>158</v>
      </c>
      <c r="F288" s="66">
        <v>171</v>
      </c>
      <c r="I288" s="49">
        <f t="shared" si="35"/>
        <v>15.60438413361169</v>
      </c>
      <c r="J288" s="149">
        <f>1/((178/(ConditieGetal!$B$2*(E288/(I288*ConditieGetal!$B$2))))*24)*10</f>
        <v>2.3701684353518573E-2</v>
      </c>
    </row>
    <row r="289" spans="1:15" ht="13.5" customHeight="1">
      <c r="A289" s="395">
        <v>37728</v>
      </c>
      <c r="B289" s="177">
        <v>24.66</v>
      </c>
      <c r="C289" s="361">
        <v>7.1990740740740744E-2</v>
      </c>
      <c r="D289" s="181">
        <f t="shared" si="28"/>
        <v>2.919332552341474E-3</v>
      </c>
      <c r="E289" s="66">
        <v>148</v>
      </c>
      <c r="F289" s="66">
        <v>159</v>
      </c>
      <c r="I289" s="49">
        <f t="shared" si="35"/>
        <v>14.272668810289389</v>
      </c>
      <c r="J289" s="149">
        <f>1/((178/(ConditieGetal!$B$2*(E289/(I289*ConditieGetal!$B$2))))*24)*10</f>
        <v>2.4273102120592024E-2</v>
      </c>
    </row>
    <row r="290" spans="1:15" ht="13.5" customHeight="1">
      <c r="A290" s="395">
        <v>37729</v>
      </c>
      <c r="B290" s="177">
        <v>16.61</v>
      </c>
      <c r="C290" s="361">
        <v>5.3634259259259263E-2</v>
      </c>
      <c r="D290" s="181">
        <f t="shared" si="28"/>
        <v>3.2290342720806301E-3</v>
      </c>
      <c r="E290" s="66">
        <v>141</v>
      </c>
      <c r="F290" s="66">
        <v>147</v>
      </c>
      <c r="I290" s="49">
        <f t="shared" ref="I290:I296" si="36">IF(D290&gt;0,(1/(D290*24)))</f>
        <v>12.903754855416485</v>
      </c>
      <c r="J290" s="149">
        <f>1/((178/(ConditieGetal!$B$2*(E290/(I290*ConditieGetal!$B$2))))*24)*10</f>
        <v>2.5578305188953314E-2</v>
      </c>
    </row>
    <row r="291" spans="1:15" ht="13.5" customHeight="1">
      <c r="A291" s="395">
        <v>37730</v>
      </c>
      <c r="B291" s="177">
        <v>12.7</v>
      </c>
      <c r="C291" s="361">
        <v>3.6822916666666664E-2</v>
      </c>
      <c r="D291" s="181">
        <f t="shared" ref="D291:D346" si="37">IF(B291&gt;0,C291/B291,"")</f>
        <v>2.8994422572178476E-3</v>
      </c>
      <c r="E291" s="66">
        <v>145</v>
      </c>
      <c r="F291" s="66">
        <v>154</v>
      </c>
      <c r="I291" s="49">
        <f t="shared" si="36"/>
        <v>14.370579915134371</v>
      </c>
      <c r="J291" s="149">
        <f>1/((178/(ConditieGetal!$B$2*(E291/(I291*ConditieGetal!$B$2))))*24)*10</f>
        <v>2.3619052095313928E-2</v>
      </c>
    </row>
    <row r="292" spans="1:15" ht="13.5" customHeight="1">
      <c r="A292" s="395">
        <v>37732</v>
      </c>
      <c r="B292" s="177">
        <v>19.100000000000001</v>
      </c>
      <c r="C292" s="361">
        <v>4.8356481481481479E-2</v>
      </c>
      <c r="D292" s="181">
        <f t="shared" si="37"/>
        <v>2.531752957145627E-3</v>
      </c>
      <c r="E292" s="66">
        <v>176</v>
      </c>
      <c r="F292" s="66">
        <v>184</v>
      </c>
      <c r="H292" s="28" t="s">
        <v>219</v>
      </c>
      <c r="I292" s="49">
        <f t="shared" si="36"/>
        <v>16.457635232168503</v>
      </c>
      <c r="J292" s="149">
        <f>1/((178/(ConditieGetal!$B$2*(E292/(I292*ConditieGetal!$B$2))))*24)*10</f>
        <v>2.5033062947057885E-2</v>
      </c>
    </row>
    <row r="293" spans="1:15" ht="13.5" customHeight="1">
      <c r="A293" s="395">
        <v>37733</v>
      </c>
      <c r="B293" s="177">
        <v>16.61</v>
      </c>
      <c r="C293" s="361">
        <v>5.1504629629629629E-2</v>
      </c>
      <c r="D293" s="181">
        <f t="shared" si="37"/>
        <v>3.100820567707985E-3</v>
      </c>
      <c r="E293" s="66">
        <v>142</v>
      </c>
      <c r="F293" s="66">
        <v>161</v>
      </c>
      <c r="I293" s="49">
        <f t="shared" si="36"/>
        <v>13.437303370786518</v>
      </c>
      <c r="J293" s="149">
        <f>1/((178/(ConditieGetal!$B$2*(E293/(I293*ConditieGetal!$B$2))))*24)*10</f>
        <v>2.4736883180591793E-2</v>
      </c>
    </row>
    <row r="294" spans="1:15" ht="13.5" customHeight="1">
      <c r="A294" s="395">
        <v>37735</v>
      </c>
      <c r="B294" s="177">
        <v>31.01</v>
      </c>
      <c r="C294" s="361">
        <v>9.3981481481481485E-2</v>
      </c>
      <c r="D294" s="181">
        <f t="shared" si="37"/>
        <v>3.0306830532564168E-3</v>
      </c>
      <c r="E294" s="66">
        <v>146</v>
      </c>
      <c r="F294" s="66">
        <v>157</v>
      </c>
      <c r="I294" s="49">
        <f t="shared" si="36"/>
        <v>13.748275862068963</v>
      </c>
      <c r="J294" s="149">
        <f>1/((178/(ConditieGetal!$B$2*(E294/(I294*ConditieGetal!$B$2))))*24)*10</f>
        <v>2.485841156041781E-2</v>
      </c>
    </row>
    <row r="295" spans="1:15" ht="13.5" customHeight="1">
      <c r="A295" s="395">
        <v>37737</v>
      </c>
      <c r="B295" s="177">
        <v>22.41</v>
      </c>
      <c r="C295" s="361">
        <v>6.8912037037037036E-2</v>
      </c>
      <c r="D295" s="181">
        <f t="shared" si="37"/>
        <v>3.0750574313715769E-3</v>
      </c>
      <c r="E295" s="66">
        <v>144</v>
      </c>
      <c r="F295" s="66">
        <v>167</v>
      </c>
      <c r="H295" s="28" t="s">
        <v>222</v>
      </c>
      <c r="I295" s="49">
        <f t="shared" si="36"/>
        <v>13.549882431978501</v>
      </c>
      <c r="J295" s="149">
        <f>1/((178/(ConditieGetal!$B$2*(E295/(I295*ConditieGetal!$B$2))))*24)*10</f>
        <v>2.4876869107725116E-2</v>
      </c>
    </row>
    <row r="296" spans="1:15" ht="13.5" customHeight="1">
      <c r="A296" s="395">
        <v>37739</v>
      </c>
      <c r="B296" s="177">
        <v>16.95</v>
      </c>
      <c r="C296" s="361">
        <v>4.8969907407407413E-2</v>
      </c>
      <c r="D296" s="181">
        <f t="shared" si="37"/>
        <v>2.8890800830328857E-3</v>
      </c>
      <c r="E296" s="66">
        <v>151</v>
      </c>
      <c r="F296" s="66">
        <v>159</v>
      </c>
      <c r="H296" s="28" t="s">
        <v>222</v>
      </c>
      <c r="I296" s="49">
        <f t="shared" si="36"/>
        <v>14.422122429685651</v>
      </c>
      <c r="J296" s="149">
        <f>1/((178/(ConditieGetal!$B$2*(E296/(I296*ConditieGetal!$B$2))))*24)*10</f>
        <v>2.4508488344829538E-2</v>
      </c>
    </row>
    <row r="297" spans="1:15" ht="13.5" customHeight="1">
      <c r="A297" s="395">
        <v>37740</v>
      </c>
      <c r="B297" s="177">
        <v>28</v>
      </c>
      <c r="C297" s="361">
        <v>8.0983796296296304E-2</v>
      </c>
      <c r="D297" s="181">
        <f t="shared" si="37"/>
        <v>2.8922784391534396E-3</v>
      </c>
      <c r="E297" s="66">
        <v>146</v>
      </c>
      <c r="F297" s="66">
        <v>161</v>
      </c>
      <c r="H297" s="28" t="s">
        <v>222</v>
      </c>
    </row>
    <row r="298" spans="1:15" ht="13.5" customHeight="1">
      <c r="A298" s="395">
        <v>37742</v>
      </c>
      <c r="B298" s="177">
        <v>22</v>
      </c>
      <c r="C298" s="361">
        <v>7.8217592592592589E-2</v>
      </c>
      <c r="D298" s="181">
        <f t="shared" si="37"/>
        <v>3.5553451178451175E-3</v>
      </c>
      <c r="E298" s="66">
        <v>167</v>
      </c>
      <c r="F298" s="66">
        <v>174</v>
      </c>
      <c r="H298" s="28" t="s">
        <v>221</v>
      </c>
    </row>
    <row r="299" spans="1:15" s="123" customFormat="1" ht="13.5" customHeight="1">
      <c r="A299" s="396">
        <v>37742</v>
      </c>
      <c r="B299" s="287"/>
      <c r="C299" s="365">
        <v>6.3206018518518522E-2</v>
      </c>
      <c r="D299" s="192" t="str">
        <f t="shared" si="37"/>
        <v/>
      </c>
      <c r="E299" s="120">
        <v>178</v>
      </c>
      <c r="F299" s="120">
        <v>195</v>
      </c>
      <c r="G299" s="120"/>
      <c r="H299" s="121" t="s">
        <v>220</v>
      </c>
      <c r="I299" s="122"/>
      <c r="J299" s="149"/>
      <c r="K299" s="269"/>
      <c r="L299" s="269"/>
      <c r="N299" s="121"/>
      <c r="O299" s="121"/>
    </row>
    <row r="300" spans="1:15" ht="13.5" customHeight="1">
      <c r="A300" s="395">
        <v>37746</v>
      </c>
      <c r="B300" s="177">
        <v>24.66</v>
      </c>
      <c r="C300" s="361">
        <v>7.8506944444444449E-2</v>
      </c>
      <c r="D300" s="181">
        <f t="shared" si="37"/>
        <v>3.1835743894746329E-3</v>
      </c>
      <c r="E300" s="66">
        <v>143</v>
      </c>
      <c r="F300" s="66">
        <v>177</v>
      </c>
      <c r="I300" s="49">
        <f t="shared" ref="I300:I305" si="38">IF(D300&gt;0,(1/(D300*24)))</f>
        <v>13.088014153029633</v>
      </c>
      <c r="J300" s="149">
        <f>1/((182/(ConditieGetal!$B$2*(E300/(I300*ConditieGetal!$B$2))))*24)*10</f>
        <v>2.5013798774443544E-2</v>
      </c>
    </row>
    <row r="301" spans="1:15" ht="13.5" customHeight="1">
      <c r="A301" s="395">
        <v>37747</v>
      </c>
      <c r="B301" s="177">
        <v>16.61</v>
      </c>
      <c r="C301" s="361">
        <v>4.3993055555555556E-2</v>
      </c>
      <c r="D301" s="181">
        <f t="shared" si="37"/>
        <v>2.6485885343501239E-3</v>
      </c>
      <c r="E301" s="66">
        <v>159</v>
      </c>
      <c r="F301" s="66">
        <v>177</v>
      </c>
      <c r="I301" s="49">
        <f t="shared" si="38"/>
        <v>15.731649565903707</v>
      </c>
      <c r="J301" s="149">
        <f>1/((182/(ConditieGetal!$B$2*(E301/(I301*ConditieGetal!$B$2))))*24)*10</f>
        <v>2.3138767964926907E-2</v>
      </c>
    </row>
    <row r="302" spans="1:15" ht="13.5" customHeight="1">
      <c r="A302" s="395">
        <v>37748</v>
      </c>
      <c r="B302" s="177">
        <v>16.61</v>
      </c>
      <c r="C302" s="361">
        <v>4.9340277777777775E-2</v>
      </c>
      <c r="D302" s="181">
        <f t="shared" si="37"/>
        <v>2.9705164225031773E-3</v>
      </c>
      <c r="E302" s="66">
        <v>148</v>
      </c>
      <c r="F302" s="66">
        <v>155</v>
      </c>
      <c r="I302" s="49">
        <f t="shared" si="38"/>
        <v>14.02674173117523</v>
      </c>
      <c r="J302" s="149">
        <f>1/((182/(ConditieGetal!$B$2*(E302/(I302*ConditieGetal!$B$2))))*24)*10</f>
        <v>2.4155847831344515E-2</v>
      </c>
    </row>
    <row r="303" spans="1:15" ht="13.5" customHeight="1">
      <c r="A303" s="395">
        <v>37749</v>
      </c>
      <c r="B303" s="177">
        <v>16.61</v>
      </c>
      <c r="C303" s="361">
        <v>5.2615740740740741E-2</v>
      </c>
      <c r="D303" s="181">
        <f t="shared" si="37"/>
        <v>3.167714674337191E-3</v>
      </c>
      <c r="E303" s="66">
        <v>144</v>
      </c>
      <c r="F303" s="66">
        <v>153</v>
      </c>
      <c r="I303" s="49">
        <f t="shared" si="38"/>
        <v>13.153541575010998</v>
      </c>
      <c r="J303" s="149">
        <f>1/((182/(ConditieGetal!$B$2*(E303/(I303*ConditieGetal!$B$2))))*24)*10</f>
        <v>2.5063236983766786E-2</v>
      </c>
    </row>
    <row r="304" spans="1:15" ht="13.5" customHeight="1">
      <c r="A304" s="395">
        <v>37760</v>
      </c>
      <c r="B304" s="177">
        <v>16.61</v>
      </c>
      <c r="C304" s="361">
        <v>4.4803240740740741E-2</v>
      </c>
      <c r="D304" s="181">
        <f t="shared" si="37"/>
        <v>2.6973654871005866E-3</v>
      </c>
      <c r="E304" s="66">
        <v>166</v>
      </c>
      <c r="F304" s="66">
        <v>195</v>
      </c>
      <c r="I304" s="49">
        <f t="shared" si="38"/>
        <v>15.447171273572717</v>
      </c>
      <c r="J304" s="149">
        <f>1/((182/(ConditieGetal!$B$2*(E304/(I304*ConditieGetal!$B$2))))*24)*10</f>
        <v>2.4602344552675685E-2</v>
      </c>
    </row>
    <row r="305" spans="1:10" ht="13.5" customHeight="1">
      <c r="A305" s="395">
        <v>37762</v>
      </c>
      <c r="B305" s="177">
        <v>16.61</v>
      </c>
      <c r="C305" s="361">
        <v>5.3495370370370367E-2</v>
      </c>
      <c r="D305" s="181">
        <f t="shared" si="37"/>
        <v>3.2206725087519789E-3</v>
      </c>
      <c r="E305" s="66">
        <v>148</v>
      </c>
      <c r="F305" s="66">
        <v>160</v>
      </c>
      <c r="I305" s="49">
        <f t="shared" si="38"/>
        <v>12.937256598874946</v>
      </c>
      <c r="J305" s="149">
        <f>1/((182/(ConditieGetal!$B$2*(E305/(I305*ConditieGetal!$B$2))))*24)*10</f>
        <v>2.6190084137104004E-2</v>
      </c>
    </row>
    <row r="306" spans="1:10" ht="13.5" customHeight="1">
      <c r="A306" s="395">
        <v>37763</v>
      </c>
      <c r="B306" s="177">
        <v>12.7</v>
      </c>
      <c r="C306" s="361">
        <v>4.0719907407407406E-2</v>
      </c>
      <c r="D306" s="181">
        <f t="shared" si="37"/>
        <v>3.2062919218431032E-3</v>
      </c>
      <c r="E306" s="66">
        <v>148</v>
      </c>
      <c r="F306" s="66">
        <v>161</v>
      </c>
      <c r="I306" s="49">
        <f t="shared" ref="I306:I312" si="39">IF(D306&gt;0,(1/(D306*24)))</f>
        <v>12.995281678130862</v>
      </c>
      <c r="J306" s="149">
        <f>1/((182/(ConditieGetal!$B$2*(E306/(I306*ConditieGetal!$B$2))))*24)*10</f>
        <v>2.6073143100702155E-2</v>
      </c>
    </row>
    <row r="307" spans="1:10" ht="13.5" customHeight="1">
      <c r="A307" s="395">
        <v>37765</v>
      </c>
      <c r="B307" s="177">
        <v>24.66</v>
      </c>
      <c r="C307" s="361">
        <v>8.2141203703703702E-2</v>
      </c>
      <c r="D307" s="181">
        <f t="shared" si="37"/>
        <v>3.3309490553002311E-3</v>
      </c>
      <c r="E307" s="66">
        <v>143</v>
      </c>
      <c r="F307" s="66">
        <v>153</v>
      </c>
      <c r="I307" s="49">
        <f t="shared" si="39"/>
        <v>12.508947442581373</v>
      </c>
      <c r="J307" s="149">
        <f>1/((182/(ConditieGetal!$B$2*(E307/(I307*ConditieGetal!$B$2))))*24)*10</f>
        <v>2.6171742577358957E-2</v>
      </c>
    </row>
    <row r="308" spans="1:10" ht="13.5" customHeight="1">
      <c r="A308" s="395">
        <v>37769</v>
      </c>
      <c r="B308" s="177">
        <v>10.26</v>
      </c>
      <c r="C308" s="361">
        <v>3.1696759259259258E-2</v>
      </c>
      <c r="D308" s="181">
        <f t="shared" si="37"/>
        <v>3.0893527543137678E-3</v>
      </c>
      <c r="E308" s="66">
        <v>153</v>
      </c>
      <c r="F308" s="66">
        <v>161</v>
      </c>
      <c r="I308" s="49">
        <f t="shared" si="39"/>
        <v>13.48718323230848</v>
      </c>
      <c r="J308" s="149">
        <f>1/((182/(ConditieGetal!$B$2*(E308/(I308*ConditieGetal!$B$2))))*24)*10</f>
        <v>2.5970932495055294E-2</v>
      </c>
    </row>
    <row r="309" spans="1:10" ht="13.5" customHeight="1">
      <c r="A309" s="395">
        <v>37770</v>
      </c>
      <c r="B309" s="177">
        <v>10.26</v>
      </c>
      <c r="C309" s="361">
        <v>3.4030092592592591E-2</v>
      </c>
      <c r="D309" s="181">
        <f t="shared" si="37"/>
        <v>3.3167731571727673E-3</v>
      </c>
      <c r="E309" s="66">
        <v>150</v>
      </c>
      <c r="F309" s="66">
        <v>164</v>
      </c>
      <c r="I309" s="49">
        <f t="shared" si="39"/>
        <v>12.562410720359159</v>
      </c>
      <c r="J309" s="149">
        <f>1/((182/(ConditieGetal!$B$2*(E309/(I309*ConditieGetal!$B$2))))*24)*10</f>
        <v>2.7336042504171161E-2</v>
      </c>
    </row>
    <row r="310" spans="1:10" ht="13.5" customHeight="1">
      <c r="A310" s="395">
        <v>37771</v>
      </c>
      <c r="B310" s="177">
        <f>2*6.47</f>
        <v>12.94</v>
      </c>
      <c r="C310" s="361">
        <v>3.3282407407407406E-2</v>
      </c>
      <c r="D310" s="181">
        <f t="shared" si="37"/>
        <v>2.5720562138645603E-3</v>
      </c>
      <c r="E310" s="66">
        <v>181</v>
      </c>
      <c r="F310" s="66">
        <v>193</v>
      </c>
      <c r="I310" s="49">
        <f t="shared" si="39"/>
        <v>16.199749617471134</v>
      </c>
      <c r="J310" s="149">
        <f>1/((182/(ConditieGetal!$B$2*(E310/(I310*ConditieGetal!$B$2))))*24)*10</f>
        <v>2.5579240368653049E-2</v>
      </c>
    </row>
    <row r="311" spans="1:10" ht="13.5" customHeight="1">
      <c r="A311" s="395">
        <v>37772</v>
      </c>
      <c r="B311" s="177">
        <v>20.52</v>
      </c>
      <c r="C311" s="361">
        <v>7.1134259259259258E-2</v>
      </c>
      <c r="D311" s="181">
        <f t="shared" si="37"/>
        <v>3.4665818352465527E-3</v>
      </c>
      <c r="E311" s="66">
        <v>139</v>
      </c>
      <c r="F311" s="66">
        <v>151</v>
      </c>
      <c r="I311" s="49">
        <f t="shared" si="39"/>
        <v>12.019524894240154</v>
      </c>
      <c r="J311" s="149">
        <f>1/((182/(ConditieGetal!$B$2*(E311/(I311*ConditieGetal!$B$2))))*24)*10</f>
        <v>2.6475542587872027E-2</v>
      </c>
    </row>
    <row r="312" spans="1:10" ht="13.5" customHeight="1">
      <c r="A312" s="395">
        <v>37773</v>
      </c>
      <c r="B312" s="177">
        <v>24.66</v>
      </c>
      <c r="C312" s="361">
        <v>8.144675925925926E-2</v>
      </c>
      <c r="D312" s="181">
        <f t="shared" si="37"/>
        <v>3.302788291129735E-3</v>
      </c>
      <c r="E312" s="66">
        <v>146</v>
      </c>
      <c r="F312" s="66">
        <v>156</v>
      </c>
      <c r="I312" s="49">
        <f t="shared" si="39"/>
        <v>12.615603240017053</v>
      </c>
      <c r="J312" s="149">
        <f>1/((182/(ConditieGetal!$B$2*(E312/(I312*ConditieGetal!$B$2))))*24)*10</f>
        <v>2.6494895082689079E-2</v>
      </c>
    </row>
    <row r="313" spans="1:10" ht="13.5" customHeight="1">
      <c r="A313" s="395">
        <v>37806</v>
      </c>
      <c r="B313" s="177">
        <v>6.35</v>
      </c>
      <c r="C313" s="361">
        <v>2.0243055555555552E-2</v>
      </c>
      <c r="D313" s="181">
        <f t="shared" si="37"/>
        <v>3.1878827646544179E-3</v>
      </c>
      <c r="E313" s="66">
        <v>148</v>
      </c>
      <c r="F313" s="66">
        <v>160</v>
      </c>
      <c r="I313" s="49">
        <f t="shared" ref="I313:I318" si="40">IF(D313&gt;0,(1/(D313*24)))</f>
        <v>13.070325900514581</v>
      </c>
      <c r="J313" s="149">
        <f>1/((182/(ConditieGetal!$B$2*(E313/(I313*ConditieGetal!$B$2))))*24)*10</f>
        <v>2.5923442262024938E-2</v>
      </c>
    </row>
    <row r="314" spans="1:10" ht="13.5" customHeight="1">
      <c r="A314" s="395">
        <v>37807</v>
      </c>
      <c r="B314" s="177">
        <v>10.26</v>
      </c>
      <c r="C314" s="361">
        <v>3.3020833333333333E-2</v>
      </c>
      <c r="D314" s="181">
        <f t="shared" si="37"/>
        <v>3.2184048083170888E-3</v>
      </c>
      <c r="E314" s="66">
        <v>146</v>
      </c>
      <c r="F314" s="66">
        <v>171</v>
      </c>
      <c r="I314" s="49">
        <f t="shared" si="40"/>
        <v>12.946372239747634</v>
      </c>
      <c r="J314" s="149">
        <f>1/((182/(ConditieGetal!$B$2*(E314/(I314*ConditieGetal!$B$2))))*24)*10</f>
        <v>2.5817972638148071E-2</v>
      </c>
    </row>
    <row r="315" spans="1:10" ht="13.5" customHeight="1">
      <c r="A315" s="395">
        <v>37808</v>
      </c>
      <c r="B315" s="177">
        <v>10.26</v>
      </c>
      <c r="C315" s="361">
        <v>3.1069444444444445E-2</v>
      </c>
      <c r="D315" s="181">
        <f t="shared" si="37"/>
        <v>3.0282109594975092E-3</v>
      </c>
      <c r="E315" s="66">
        <v>156</v>
      </c>
      <c r="F315" s="66">
        <v>161</v>
      </c>
      <c r="I315" s="49">
        <f t="shared" si="40"/>
        <v>13.759499329459096</v>
      </c>
      <c r="J315" s="149">
        <f>1/((182/(ConditieGetal!$B$2*(E315/(I315*ConditieGetal!$B$2))))*24)*10</f>
        <v>2.5956093938550077E-2</v>
      </c>
    </row>
    <row r="316" spans="1:10" ht="13.5" customHeight="1">
      <c r="A316" s="395">
        <v>37809</v>
      </c>
      <c r="B316" s="177">
        <v>12.7</v>
      </c>
      <c r="C316" s="361">
        <v>4.4305555555555549E-2</v>
      </c>
      <c r="D316" s="181">
        <f t="shared" si="37"/>
        <v>3.4886264216972876E-3</v>
      </c>
      <c r="E316" s="66">
        <v>141</v>
      </c>
      <c r="F316" s="66">
        <v>158</v>
      </c>
      <c r="I316" s="49">
        <f t="shared" si="40"/>
        <v>11.9435736677116</v>
      </c>
      <c r="J316" s="149">
        <f>1/((182/(ConditieGetal!$B$2*(E316/(I316*ConditieGetal!$B$2))))*24)*10</f>
        <v>2.7027270629632831E-2</v>
      </c>
    </row>
    <row r="317" spans="1:10" ht="13.5" customHeight="1">
      <c r="A317" s="395">
        <v>37811</v>
      </c>
      <c r="B317" s="177">
        <v>16.61</v>
      </c>
      <c r="C317" s="361">
        <v>5.4583333333333338E-2</v>
      </c>
      <c r="D317" s="181">
        <f t="shared" si="37"/>
        <v>3.2861729881597437E-3</v>
      </c>
      <c r="E317" s="66">
        <v>149</v>
      </c>
      <c r="F317" s="66">
        <v>176</v>
      </c>
      <c r="I317" s="49">
        <f t="shared" si="40"/>
        <v>12.679389312977097</v>
      </c>
      <c r="J317" s="149">
        <f>1/((182/(ConditieGetal!$B$2*(E317/(I317*ConditieGetal!$B$2))))*24)*10</f>
        <v>2.6903284353615484E-2</v>
      </c>
    </row>
    <row r="318" spans="1:10" ht="13.5" customHeight="1">
      <c r="A318" s="395">
        <v>37812</v>
      </c>
      <c r="B318" s="177">
        <v>12.7</v>
      </c>
      <c r="C318" s="361">
        <v>4.3622685185185188E-2</v>
      </c>
      <c r="D318" s="181">
        <f t="shared" si="37"/>
        <v>3.4348571011956841E-3</v>
      </c>
      <c r="E318" s="66">
        <v>141</v>
      </c>
      <c r="F318" s="66">
        <v>175</v>
      </c>
      <c r="I318" s="49">
        <f t="shared" si="40"/>
        <v>12.13053860440435</v>
      </c>
      <c r="J318" s="149">
        <f>1/((182/(ConditieGetal!$B$2*(E318/(I318*ConditieGetal!$B$2))))*24)*10</f>
        <v>2.6610706113658868E-2</v>
      </c>
    </row>
    <row r="319" spans="1:10" ht="13.5" customHeight="1">
      <c r="A319" s="395">
        <v>37813</v>
      </c>
      <c r="B319" s="177">
        <v>10.26</v>
      </c>
      <c r="C319" s="361">
        <v>2.6906249999999996E-2</v>
      </c>
      <c r="D319" s="181">
        <f t="shared" si="37"/>
        <v>2.622441520467836E-3</v>
      </c>
      <c r="E319" s="66">
        <v>180</v>
      </c>
      <c r="F319" s="66">
        <v>196</v>
      </c>
      <c r="H319" s="28" t="s">
        <v>212</v>
      </c>
      <c r="I319" s="49">
        <f t="shared" ref="I319:I324" si="41">IF(D319&gt;0,(1/(D319*24)))</f>
        <v>15.888501742160278</v>
      </c>
      <c r="J319" s="149">
        <f>1/((182/(ConditieGetal!$B$2*(E319/(I319*ConditieGetal!$B$2))))*24)*10</f>
        <v>2.5936234817813767E-2</v>
      </c>
    </row>
    <row r="320" spans="1:10" ht="13.5" customHeight="1">
      <c r="A320" s="395">
        <v>37814</v>
      </c>
      <c r="B320" s="177">
        <v>20.52</v>
      </c>
      <c r="C320" s="361">
        <v>7.0532407407407405E-2</v>
      </c>
      <c r="D320" s="181">
        <f t="shared" si="37"/>
        <v>3.4372518229730704E-3</v>
      </c>
      <c r="E320" s="66">
        <v>145</v>
      </c>
      <c r="F320" s="66">
        <v>169</v>
      </c>
      <c r="I320" s="49">
        <f t="shared" si="41"/>
        <v>12.122087298982606</v>
      </c>
      <c r="J320" s="149">
        <f>1/((182/(ConditieGetal!$B$2*(E320/(I320*ConditieGetal!$B$2))))*24)*10</f>
        <v>2.7384698589620615E-2</v>
      </c>
    </row>
    <row r="321" spans="1:10" ht="13.5" customHeight="1">
      <c r="A321" s="395">
        <v>37816</v>
      </c>
      <c r="B321" s="177">
        <v>16.61</v>
      </c>
      <c r="C321" s="361">
        <v>5.3726851851851852E-2</v>
      </c>
      <c r="D321" s="181">
        <f t="shared" si="37"/>
        <v>3.2346087809663969E-3</v>
      </c>
      <c r="E321" s="66">
        <v>153</v>
      </c>
      <c r="F321" s="66">
        <v>162</v>
      </c>
      <c r="I321" s="49">
        <f t="shared" si="41"/>
        <v>12.881516587677725</v>
      </c>
      <c r="J321" s="149">
        <f>1/((182/(ConditieGetal!$B$2*(E321/(I321*ConditieGetal!$B$2))))*24)*10</f>
        <v>2.7192040850981241E-2</v>
      </c>
    </row>
    <row r="322" spans="1:10" ht="13.5" customHeight="1">
      <c r="A322" s="395">
        <v>37818</v>
      </c>
      <c r="B322" s="177">
        <v>20.52</v>
      </c>
      <c r="C322" s="361">
        <v>6.9120370370370374E-2</v>
      </c>
      <c r="D322" s="181">
        <f t="shared" si="37"/>
        <v>3.3684391018699014E-3</v>
      </c>
      <c r="E322" s="66">
        <v>150</v>
      </c>
      <c r="F322" s="66">
        <v>165</v>
      </c>
      <c r="I322" s="49">
        <f t="shared" si="41"/>
        <v>12.369725385130609</v>
      </c>
      <c r="J322" s="149">
        <f>1/((182/(ConditieGetal!$B$2*(E322/(I322*ConditieGetal!$B$2))))*24)*10</f>
        <v>2.776186072969699E-2</v>
      </c>
    </row>
    <row r="323" spans="1:10" ht="13.5" customHeight="1">
      <c r="A323" s="395">
        <v>37821</v>
      </c>
      <c r="B323" s="177">
        <v>12.7</v>
      </c>
      <c r="C323" s="361">
        <v>4.1413194444444447E-2</v>
      </c>
      <c r="D323" s="181">
        <f t="shared" si="37"/>
        <v>3.2608814523184607E-3</v>
      </c>
      <c r="E323" s="66">
        <v>158</v>
      </c>
      <c r="F323" s="66">
        <v>171</v>
      </c>
      <c r="I323" s="49">
        <f t="shared" si="41"/>
        <v>12.777731198121906</v>
      </c>
      <c r="J323" s="149">
        <f>1/((182/(ConditieGetal!$B$2*(E323/(I323*ConditieGetal!$B$2))))*24)*10</f>
        <v>2.8308751069577847E-2</v>
      </c>
    </row>
    <row r="324" spans="1:10" ht="13.5" customHeight="1">
      <c r="A324" s="395">
        <v>37822</v>
      </c>
      <c r="B324" s="177">
        <v>12.45</v>
      </c>
      <c r="C324" s="361">
        <v>3.216087962962963E-2</v>
      </c>
      <c r="D324" s="181">
        <f t="shared" si="37"/>
        <v>2.5832031831027817E-3</v>
      </c>
      <c r="E324" s="66">
        <v>178</v>
      </c>
      <c r="F324" s="66">
        <v>187</v>
      </c>
      <c r="H324" s="28" t="s">
        <v>223</v>
      </c>
      <c r="I324" s="49">
        <f t="shared" si="41"/>
        <v>16.129844891496024</v>
      </c>
      <c r="J324" s="149">
        <f>1/((182/(ConditieGetal!$B$2*(E324/(I324*ConditieGetal!$B$2))))*24)*10</f>
        <v>2.5264294867708516E-2</v>
      </c>
    </row>
    <row r="325" spans="1:10" ht="13.5" customHeight="1">
      <c r="A325" s="395">
        <v>37824</v>
      </c>
      <c r="B325" s="177">
        <v>9.0500000000000007</v>
      </c>
      <c r="C325" s="361">
        <v>2.5350694444444447E-2</v>
      </c>
      <c r="D325" s="181">
        <f t="shared" si="37"/>
        <v>2.8011817065684468E-3</v>
      </c>
      <c r="E325" s="66">
        <v>156</v>
      </c>
      <c r="F325" s="66">
        <v>162</v>
      </c>
      <c r="I325" s="49">
        <f t="shared" ref="I325:I331" si="42">IF(D325&gt;0,(1/(D325*24)))</f>
        <v>14.874674702095602</v>
      </c>
      <c r="J325" s="149">
        <f>1/((182/(ConditieGetal!$B$2*(E325/(I325*ConditieGetal!$B$2))))*24)*10</f>
        <v>2.401012891344383E-2</v>
      </c>
    </row>
    <row r="326" spans="1:10" ht="13.5" customHeight="1">
      <c r="A326" s="395">
        <v>37825</v>
      </c>
      <c r="B326" s="177">
        <v>18.100000000000001</v>
      </c>
      <c r="C326" s="361">
        <v>6.115740740740741E-2</v>
      </c>
      <c r="D326" s="181">
        <f t="shared" si="37"/>
        <v>3.3788622877020664E-3</v>
      </c>
      <c r="E326" s="66">
        <v>141</v>
      </c>
      <c r="F326" s="66">
        <v>148</v>
      </c>
      <c r="I326" s="49">
        <f t="shared" si="42"/>
        <v>12.331566994700985</v>
      </c>
      <c r="J326" s="149">
        <f>1/((182/(ConditieGetal!$B$2*(E326/(I326*ConditieGetal!$B$2))))*24)*10</f>
        <v>2.6176900140988536E-2</v>
      </c>
    </row>
    <row r="327" spans="1:10" ht="13.5" customHeight="1">
      <c r="A327" s="395">
        <v>37826</v>
      </c>
      <c r="B327" s="177">
        <v>18.100000000000001</v>
      </c>
      <c r="C327" s="361">
        <v>6.1203703703703705E-2</v>
      </c>
      <c r="D327" s="181">
        <f t="shared" si="37"/>
        <v>3.3814200941272763E-3</v>
      </c>
      <c r="E327" s="66">
        <v>142</v>
      </c>
      <c r="F327" s="66">
        <v>151</v>
      </c>
      <c r="I327" s="49">
        <f t="shared" si="42"/>
        <v>12.322239031770046</v>
      </c>
      <c r="J327" s="149">
        <f>1/((182/(ConditieGetal!$B$2*(E327/(I327*ConditieGetal!$B$2))))*24)*10</f>
        <v>2.6382508426707328E-2</v>
      </c>
    </row>
    <row r="328" spans="1:10" ht="13.5" customHeight="1">
      <c r="A328" s="395">
        <v>37827</v>
      </c>
      <c r="B328" s="177">
        <v>18.100000000000001</v>
      </c>
      <c r="C328" s="361">
        <v>5.527777777777778E-2</v>
      </c>
      <c r="D328" s="181">
        <f t="shared" si="37"/>
        <v>3.0540208717004295E-3</v>
      </c>
      <c r="E328" s="66">
        <v>146</v>
      </c>
      <c r="F328" s="66">
        <v>178</v>
      </c>
      <c r="I328" s="49">
        <f t="shared" si="42"/>
        <v>13.643216080402011</v>
      </c>
      <c r="J328" s="149">
        <f>1/((182/(ConditieGetal!$B$2*(E328/(I328*ConditieGetal!$B$2))))*24)*10</f>
        <v>2.4499288311443001E-2</v>
      </c>
    </row>
    <row r="329" spans="1:10" ht="13.5" customHeight="1">
      <c r="A329" s="395">
        <v>37829</v>
      </c>
      <c r="B329" s="177">
        <v>18.100000000000001</v>
      </c>
      <c r="C329" s="361">
        <v>5.5636574074074074E-2</v>
      </c>
      <c r="D329" s="181">
        <f t="shared" si="37"/>
        <v>3.0738438714958049E-3</v>
      </c>
      <c r="E329" s="66">
        <v>151</v>
      </c>
      <c r="F329" s="66">
        <v>177</v>
      </c>
      <c r="I329" s="49">
        <f t="shared" si="42"/>
        <v>13.555231953401293</v>
      </c>
      <c r="J329" s="149">
        <f>1/((182/(ConditieGetal!$B$2*(E329/(I329*ConditieGetal!$B$2))))*24)*10</f>
        <v>2.5502770582190463E-2</v>
      </c>
    </row>
    <row r="330" spans="1:10" ht="13.5" customHeight="1">
      <c r="A330" s="395">
        <v>37830</v>
      </c>
      <c r="B330" s="177">
        <f>9.05*3</f>
        <v>27.150000000000002</v>
      </c>
      <c r="C330" s="361">
        <v>9.0532407407407409E-2</v>
      </c>
      <c r="D330" s="181">
        <f t="shared" si="37"/>
        <v>3.3345269763317641E-3</v>
      </c>
      <c r="E330" s="66">
        <v>142</v>
      </c>
      <c r="F330" s="66">
        <v>149</v>
      </c>
      <c r="I330" s="49">
        <f t="shared" si="42"/>
        <v>12.495525441063668</v>
      </c>
      <c r="J330" s="149">
        <f>1/((182/(ConditieGetal!$B$2*(E330/(I330*ConditieGetal!$B$2))))*24)*10</f>
        <v>2.6016639046104975E-2</v>
      </c>
    </row>
    <row r="331" spans="1:10" ht="13.5" customHeight="1">
      <c r="A331" s="395">
        <v>37831</v>
      </c>
      <c r="B331" s="177">
        <v>18.100000000000001</v>
      </c>
      <c r="C331" s="361">
        <v>5.7094907407407407E-2</v>
      </c>
      <c r="D331" s="181">
        <f t="shared" si="37"/>
        <v>3.1544147738899117E-3</v>
      </c>
      <c r="E331" s="66">
        <v>148</v>
      </c>
      <c r="F331" s="66">
        <v>171</v>
      </c>
      <c r="I331" s="49">
        <f t="shared" si="42"/>
        <v>13.2090006081492</v>
      </c>
      <c r="J331" s="149">
        <f>1/((182/(ConditieGetal!$B$2*(E331/(I331*ConditieGetal!$B$2))))*24)*10</f>
        <v>2.5651284974489395E-2</v>
      </c>
    </row>
    <row r="332" spans="1:10" ht="13.5" customHeight="1">
      <c r="A332" s="395">
        <v>37834</v>
      </c>
      <c r="B332" s="177">
        <v>15.2</v>
      </c>
      <c r="C332" s="361">
        <v>3.9327546296296298E-2</v>
      </c>
      <c r="D332" s="181">
        <f t="shared" si="37"/>
        <v>2.5873385721247566E-3</v>
      </c>
      <c r="E332" s="66">
        <v>178</v>
      </c>
      <c r="F332" s="66">
        <v>188</v>
      </c>
      <c r="H332" s="28" t="s">
        <v>224</v>
      </c>
      <c r="I332" s="49">
        <f t="shared" ref="I332:I337" si="43">IF(D332&gt;0,(1/(D332*24)))</f>
        <v>16.104064274993377</v>
      </c>
      <c r="J332" s="149">
        <f>1/((182/(ConditieGetal!$B$2*(E332/(I332*ConditieGetal!$B$2))))*24)*10</f>
        <v>2.5304739881220149E-2</v>
      </c>
    </row>
    <row r="333" spans="1:10" ht="13.5" customHeight="1">
      <c r="A333" s="395">
        <v>37835</v>
      </c>
      <c r="B333" s="177">
        <v>16.61</v>
      </c>
      <c r="C333" s="361">
        <v>5.4880111205653656E-2</v>
      </c>
      <c r="D333" s="181">
        <f t="shared" si="37"/>
        <v>3.3040404097323091E-3</v>
      </c>
      <c r="E333" s="66">
        <v>140</v>
      </c>
      <c r="F333" s="66">
        <v>143</v>
      </c>
      <c r="I333" s="49">
        <f t="shared" si="43"/>
        <v>12.610822356752733</v>
      </c>
      <c r="J333" s="149">
        <f>1/((182/(ConditieGetal!$B$2*(E333/(I333*ConditieGetal!$B$2))))*24)*10</f>
        <v>2.5415695459479304E-2</v>
      </c>
    </row>
    <row r="334" spans="1:10" ht="13.5" customHeight="1">
      <c r="A334" s="395">
        <v>37837</v>
      </c>
      <c r="B334" s="177">
        <v>20.52</v>
      </c>
      <c r="C334" s="361">
        <v>6.4606481481481473E-2</v>
      </c>
      <c r="D334" s="181">
        <f t="shared" si="37"/>
        <v>3.1484640098187852E-3</v>
      </c>
      <c r="E334" s="66">
        <v>147</v>
      </c>
      <c r="F334" s="66">
        <v>154</v>
      </c>
      <c r="I334" s="49">
        <f t="shared" si="43"/>
        <v>13.2339663203153</v>
      </c>
      <c r="J334" s="149">
        <f>1/((182/(ConditieGetal!$B$2*(E334/(I334*ConditieGetal!$B$2))))*24)*10</f>
        <v>2.5429901617767113E-2</v>
      </c>
    </row>
    <row r="335" spans="1:10" ht="13.5" customHeight="1">
      <c r="A335" s="395">
        <v>37838</v>
      </c>
      <c r="B335" s="177">
        <v>16.61</v>
      </c>
      <c r="C335" s="361">
        <v>4.7395833333333331E-2</v>
      </c>
      <c r="D335" s="181">
        <f t="shared" si="37"/>
        <v>2.8534517359020671E-3</v>
      </c>
      <c r="E335" s="66">
        <v>157</v>
      </c>
      <c r="F335" s="66">
        <v>164</v>
      </c>
      <c r="I335" s="49">
        <f t="shared" si="43"/>
        <v>14.602197802197802</v>
      </c>
      <c r="J335" s="149">
        <f>1/((182/(ConditieGetal!$B$2*(E335/(I335*ConditieGetal!$B$2))))*24)*10</f>
        <v>2.461494079871563E-2</v>
      </c>
    </row>
    <row r="336" spans="1:10" ht="13.5" customHeight="1">
      <c r="A336" s="395">
        <v>37839</v>
      </c>
      <c r="B336" s="177">
        <f>6.35*3</f>
        <v>19.049999999999997</v>
      </c>
      <c r="C336" s="361">
        <v>6.4571759259259259E-2</v>
      </c>
      <c r="D336" s="181">
        <f t="shared" si="37"/>
        <v>3.3895936619033739E-3</v>
      </c>
      <c r="E336" s="66">
        <v>143</v>
      </c>
      <c r="F336" s="66">
        <v>153</v>
      </c>
      <c r="I336" s="49">
        <f t="shared" si="43"/>
        <v>12.292525542211864</v>
      </c>
      <c r="J336" s="149">
        <f>1/((182/(ConditieGetal!$B$2*(E336/(I336*ConditieGetal!$B$2))))*24)*10</f>
        <v>2.6632521629240791E-2</v>
      </c>
    </row>
    <row r="337" spans="1:10" ht="13.5" customHeight="1">
      <c r="A337" s="395">
        <v>37840</v>
      </c>
      <c r="B337" s="177">
        <v>24.66</v>
      </c>
      <c r="C337" s="361">
        <v>8.414351851851852E-2</v>
      </c>
      <c r="D337" s="181">
        <f t="shared" si="37"/>
        <v>3.412145925325163E-3</v>
      </c>
      <c r="E337" s="66">
        <v>144</v>
      </c>
      <c r="F337" s="66">
        <v>162</v>
      </c>
      <c r="I337" s="49">
        <f t="shared" si="43"/>
        <v>12.21127922971114</v>
      </c>
      <c r="J337" s="149">
        <f>1/((182/(ConditieGetal!$B$2*(E337/(I337*ConditieGetal!$B$2))))*24)*10</f>
        <v>2.6997198530045251E-2</v>
      </c>
    </row>
    <row r="338" spans="1:10" ht="13.5" customHeight="1">
      <c r="A338" s="395">
        <v>37844</v>
      </c>
      <c r="B338" s="177">
        <v>20.52</v>
      </c>
      <c r="C338" s="361">
        <v>6.7083333333333328E-2</v>
      </c>
      <c r="D338" s="181">
        <f t="shared" si="37"/>
        <v>3.2691682910981155E-3</v>
      </c>
      <c r="E338" s="66">
        <v>147</v>
      </c>
      <c r="F338" s="66">
        <v>154</v>
      </c>
      <c r="I338" s="49">
        <f t="shared" ref="I338:I343" si="44">IF(D338&gt;0,(1/(D338*24)))</f>
        <v>12.745341614906833</v>
      </c>
      <c r="J338" s="149">
        <f>1/((182/(ConditieGetal!$B$2*(E338/(I338*ConditieGetal!$B$2))))*24)*10</f>
        <v>2.640482081271555E-2</v>
      </c>
    </row>
    <row r="339" spans="1:10" ht="13.5" customHeight="1">
      <c r="A339" s="395">
        <v>37845</v>
      </c>
      <c r="B339" s="177">
        <v>16.61</v>
      </c>
      <c r="C339" s="361">
        <v>4.8252314814814817E-2</v>
      </c>
      <c r="D339" s="181">
        <f t="shared" si="37"/>
        <v>2.9050159430954133E-3</v>
      </c>
      <c r="E339" s="66">
        <v>157</v>
      </c>
      <c r="F339" s="66">
        <v>165</v>
      </c>
      <c r="I339" s="49">
        <f t="shared" si="44"/>
        <v>14.343007915567281</v>
      </c>
      <c r="J339" s="149">
        <f>1/((182/(ConditieGetal!$B$2*(E339/(I339*ConditieGetal!$B$2))))*24)*10</f>
        <v>2.5059752915713183E-2</v>
      </c>
    </row>
    <row r="340" spans="1:10" ht="13.5" customHeight="1">
      <c r="A340" s="395">
        <v>37846</v>
      </c>
      <c r="B340" s="177">
        <v>10.26</v>
      </c>
      <c r="C340" s="361">
        <v>2.7818287037037034E-2</v>
      </c>
      <c r="D340" s="181">
        <f t="shared" si="37"/>
        <v>2.7113340192043895E-3</v>
      </c>
      <c r="E340" s="66">
        <v>162</v>
      </c>
      <c r="F340" s="66">
        <v>167</v>
      </c>
      <c r="I340" s="49">
        <f t="shared" si="44"/>
        <v>15.367588932806324</v>
      </c>
      <c r="J340" s="149">
        <f>1/((182/(ConditieGetal!$B$2*(E340/(I340*ConditieGetal!$B$2))))*24)*10</f>
        <v>2.413385225885226E-2</v>
      </c>
    </row>
    <row r="341" spans="1:10" ht="13.5" customHeight="1">
      <c r="A341" s="395">
        <v>37847</v>
      </c>
      <c r="B341" s="177">
        <v>20.52</v>
      </c>
      <c r="C341" s="361">
        <v>6.4780092592592597E-2</v>
      </c>
      <c r="D341" s="181">
        <f t="shared" si="37"/>
        <v>3.1569245902822902E-3</v>
      </c>
      <c r="E341" s="66">
        <v>146</v>
      </c>
      <c r="F341" s="66">
        <v>151</v>
      </c>
      <c r="I341" s="49">
        <f t="shared" si="44"/>
        <v>13.198499195997856</v>
      </c>
      <c r="J341" s="149">
        <f>1/((182/(ConditieGetal!$B$2*(E341/(I341*ConditieGetal!$B$2))))*24)*10</f>
        <v>2.5324779680286499E-2</v>
      </c>
    </row>
    <row r="342" spans="1:10" ht="13.5" customHeight="1">
      <c r="A342" s="395">
        <v>37850</v>
      </c>
      <c r="B342" s="177">
        <v>24.66</v>
      </c>
      <c r="C342" s="361">
        <v>8.0856481481481488E-2</v>
      </c>
      <c r="D342" s="181">
        <f t="shared" si="37"/>
        <v>3.2788516415848128E-3</v>
      </c>
      <c r="E342" s="66">
        <v>140</v>
      </c>
      <c r="F342" s="66">
        <v>147</v>
      </c>
      <c r="I342" s="49">
        <f t="shared" si="44"/>
        <v>12.70770111651875</v>
      </c>
      <c r="J342" s="149">
        <f>1/((182/(ConditieGetal!$B$2*(E342/(I342*ConditieGetal!$B$2))))*24)*10</f>
        <v>2.5221935704498558E-2</v>
      </c>
    </row>
    <row r="343" spans="1:10" ht="13.5" customHeight="1">
      <c r="A343" s="395">
        <v>37851</v>
      </c>
      <c r="B343" s="177">
        <v>12.7</v>
      </c>
      <c r="C343" s="361">
        <v>3.3017361111111108E-2</v>
      </c>
      <c r="D343" s="181">
        <f t="shared" si="37"/>
        <v>2.5997922134733159E-3</v>
      </c>
      <c r="E343" s="66">
        <v>166</v>
      </c>
      <c r="F343" s="66">
        <v>179</v>
      </c>
      <c r="I343" s="49">
        <f t="shared" si="44"/>
        <v>16.026921863497737</v>
      </c>
      <c r="J343" s="149">
        <f>1/((182/(ConditieGetal!$B$2*(E343/(I343*ConditieGetal!$B$2))))*24)*10</f>
        <v>2.371239051849288E-2</v>
      </c>
    </row>
    <row r="344" spans="1:10" ht="13.5" customHeight="1">
      <c r="A344" s="395">
        <v>37852</v>
      </c>
      <c r="B344" s="177">
        <v>20.52</v>
      </c>
      <c r="C344" s="361">
        <v>6.3148148148148148E-2</v>
      </c>
      <c r="D344" s="181">
        <f t="shared" si="37"/>
        <v>3.0773951339253484E-3</v>
      </c>
      <c r="E344" s="66">
        <v>149</v>
      </c>
      <c r="F344" s="66">
        <v>153</v>
      </c>
      <c r="I344" s="49">
        <f>IF(D344&gt;0,(1/(D344*24)))</f>
        <v>13.539589442815249</v>
      </c>
      <c r="J344" s="149">
        <f>1/((182/(ConditieGetal!$B$2*(E344/(I344*ConditieGetal!$B$2))))*24)*10</f>
        <v>2.5194059063454771E-2</v>
      </c>
    </row>
    <row r="345" spans="1:10" ht="13.5" customHeight="1">
      <c r="A345" s="395">
        <v>37853</v>
      </c>
      <c r="B345" s="177">
        <v>6</v>
      </c>
      <c r="C345" s="361">
        <v>2.1157407407407406E-2</v>
      </c>
      <c r="D345" s="181">
        <f t="shared" si="37"/>
        <v>3.5262345679012343E-3</v>
      </c>
      <c r="E345" s="66">
        <v>155</v>
      </c>
      <c r="F345" s="66">
        <v>180</v>
      </c>
      <c r="H345" s="28" t="s">
        <v>231</v>
      </c>
    </row>
    <row r="346" spans="1:10" ht="13.5" customHeight="1">
      <c r="A346" s="395">
        <v>37854</v>
      </c>
      <c r="B346" s="177">
        <v>16.61</v>
      </c>
      <c r="C346" s="361">
        <v>5.4965277777777773E-2</v>
      </c>
      <c r="D346" s="181">
        <f t="shared" si="37"/>
        <v>3.3091678373135323E-3</v>
      </c>
      <c r="E346" s="66">
        <v>141</v>
      </c>
      <c r="F346" s="66">
        <v>166</v>
      </c>
      <c r="I346" s="49">
        <f t="shared" ref="I346:I351" si="45">IF(D346&gt;0,(1/(D346*24)))</f>
        <v>12.591282375236894</v>
      </c>
      <c r="J346" s="149">
        <f>1/((182/(ConditieGetal!$B$2*(E346/(I346*ConditieGetal!$B$2))))*24)*10</f>
        <v>2.5636959618747689E-2</v>
      </c>
    </row>
    <row r="347" spans="1:10" ht="13.5" customHeight="1">
      <c r="A347" s="395">
        <v>37856</v>
      </c>
      <c r="B347" s="177">
        <v>24.66</v>
      </c>
      <c r="C347" s="361">
        <v>8.3900462962962954E-2</v>
      </c>
      <c r="D347" s="181">
        <f t="shared" ref="D347:D410" si="46">IF(B347&gt;0,C347/B347,"")</f>
        <v>3.4022896578654888E-3</v>
      </c>
      <c r="E347" s="66">
        <v>142</v>
      </c>
      <c r="F347" s="66">
        <v>151</v>
      </c>
      <c r="I347" s="49">
        <f t="shared" si="45"/>
        <v>12.246654710994621</v>
      </c>
      <c r="J347" s="149">
        <f>1/((182/(ConditieGetal!$B$2*(E347/(I347*ConditieGetal!$B$2))))*24)*10</f>
        <v>2.6545336891038426E-2</v>
      </c>
    </row>
    <row r="348" spans="1:10" ht="13.5" customHeight="1">
      <c r="A348" s="395">
        <v>37860</v>
      </c>
      <c r="B348" s="177">
        <v>16.61</v>
      </c>
      <c r="C348" s="361">
        <v>5.2696759259259263E-2</v>
      </c>
      <c r="D348" s="181">
        <f t="shared" si="46"/>
        <v>3.1725923696122376E-3</v>
      </c>
      <c r="E348" s="66">
        <v>145</v>
      </c>
      <c r="F348" s="66">
        <v>170</v>
      </c>
      <c r="I348" s="49">
        <f t="shared" si="45"/>
        <v>13.133318690972985</v>
      </c>
      <c r="J348" s="149">
        <f>1/((182/(ConditieGetal!$B$2*(E348/(I348*ConditieGetal!$B$2))))*24)*10</f>
        <v>2.5276147999657939E-2</v>
      </c>
    </row>
    <row r="349" spans="1:10" ht="13.5" customHeight="1">
      <c r="A349" s="395">
        <v>37861</v>
      </c>
      <c r="B349" s="177">
        <v>12</v>
      </c>
      <c r="C349" s="361">
        <v>4.027777777777778E-2</v>
      </c>
      <c r="D349" s="181">
        <f t="shared" si="46"/>
        <v>3.3564814814814816E-3</v>
      </c>
      <c r="E349" s="66">
        <v>144</v>
      </c>
      <c r="F349" s="66">
        <v>152</v>
      </c>
      <c r="H349" s="28" t="s">
        <v>229</v>
      </c>
      <c r="I349" s="49">
        <f t="shared" si="45"/>
        <v>12.413793103448276</v>
      </c>
      <c r="J349" s="149">
        <f>1/((182/(ConditieGetal!$B$2*(E349/(I349*ConditieGetal!$B$2))))*24)*10</f>
        <v>2.655677655677656E-2</v>
      </c>
    </row>
    <row r="350" spans="1:10" ht="13.5" customHeight="1">
      <c r="A350" s="395">
        <v>37863</v>
      </c>
      <c r="B350" s="177">
        <v>12.31</v>
      </c>
      <c r="C350" s="361">
        <v>3.1012731481481481E-2</v>
      </c>
      <c r="D350" s="181">
        <f t="shared" si="46"/>
        <v>2.5193120618587717E-3</v>
      </c>
      <c r="E350" s="66">
        <v>183</v>
      </c>
      <c r="F350" s="66">
        <v>194</v>
      </c>
      <c r="H350" s="28" t="s">
        <v>230</v>
      </c>
      <c r="I350" s="49">
        <f t="shared" si="45"/>
        <v>16.538906512409032</v>
      </c>
      <c r="J350" s="149">
        <f>1/((182/(ConditieGetal!$B$2*(E350/(I350*ConditieGetal!$B$2))))*24)*10</f>
        <v>2.5331544358250285E-2</v>
      </c>
    </row>
    <row r="351" spans="1:10" ht="13.5" customHeight="1">
      <c r="A351" s="395">
        <v>37864</v>
      </c>
      <c r="B351" s="177">
        <f>C351/D351</f>
        <v>25.46779661016949</v>
      </c>
      <c r="C351" s="361">
        <v>8.6956018518518516E-2</v>
      </c>
      <c r="D351" s="181">
        <v>3.414351851851852E-3</v>
      </c>
      <c r="E351" s="66">
        <v>142</v>
      </c>
      <c r="F351" s="66">
        <v>153</v>
      </c>
      <c r="I351" s="49">
        <f t="shared" si="45"/>
        <v>12.203389830508474</v>
      </c>
      <c r="J351" s="149">
        <f>1/((182/(ConditieGetal!$B$2*(E351/(I351*ConditieGetal!$B$2))))*24)*10</f>
        <v>2.6639448514448518E-2</v>
      </c>
    </row>
    <row r="352" spans="1:10" ht="13.5" customHeight="1">
      <c r="A352" s="395">
        <v>37866</v>
      </c>
      <c r="B352" s="177">
        <v>6</v>
      </c>
      <c r="D352" s="181"/>
      <c r="F352" s="66">
        <v>180</v>
      </c>
      <c r="H352" s="28" t="s">
        <v>232</v>
      </c>
    </row>
    <row r="353" spans="1:12" ht="13.5" customHeight="1">
      <c r="A353" s="395">
        <v>37867</v>
      </c>
      <c r="B353" s="177">
        <v>14.7</v>
      </c>
      <c r="C353" s="361">
        <v>4.5567129629629631E-2</v>
      </c>
      <c r="D353" s="181">
        <f t="shared" si="46"/>
        <v>3.0998047367094988E-3</v>
      </c>
      <c r="E353" s="66">
        <v>143</v>
      </c>
      <c r="F353" s="66">
        <v>157</v>
      </c>
      <c r="I353" s="49">
        <f t="shared" ref="I353:I358" si="47">IF(D353&gt;0,(1/(D353*24)))</f>
        <v>13.441706883413765</v>
      </c>
      <c r="J353" s="149">
        <f>1/((182/(ConditieGetal!$B$2*(E353/(I353*ConditieGetal!$B$2))))*24)*10</f>
        <v>2.4355608645574629E-2</v>
      </c>
    </row>
    <row r="354" spans="1:12" ht="13.5" customHeight="1">
      <c r="A354" s="395">
        <v>37868</v>
      </c>
      <c r="B354" s="177">
        <v>15</v>
      </c>
      <c r="C354" s="361">
        <v>4.7847222222222228E-2</v>
      </c>
      <c r="D354" s="181">
        <f t="shared" si="46"/>
        <v>3.189814814814815E-3</v>
      </c>
      <c r="E354" s="66">
        <v>143</v>
      </c>
      <c r="F354" s="66">
        <v>153</v>
      </c>
      <c r="I354" s="49">
        <f t="shared" si="47"/>
        <v>13.062409288824384</v>
      </c>
      <c r="J354" s="149">
        <f>1/((182/(ConditieGetal!$B$2*(E354/(I354*ConditieGetal!$B$2))))*24)*10</f>
        <v>2.5062830687830689E-2</v>
      </c>
    </row>
    <row r="355" spans="1:12" ht="13.5" customHeight="1">
      <c r="A355" s="395">
        <v>37869</v>
      </c>
      <c r="B355" s="177">
        <v>16.61</v>
      </c>
      <c r="C355" s="361">
        <v>5.6770833333333333E-2</v>
      </c>
      <c r="D355" s="181">
        <f t="shared" si="46"/>
        <v>3.4178707605859926E-3</v>
      </c>
      <c r="E355" s="66">
        <v>139</v>
      </c>
      <c r="F355" s="66">
        <v>169</v>
      </c>
      <c r="I355" s="49">
        <f t="shared" si="47"/>
        <v>12.190825688073394</v>
      </c>
      <c r="J355" s="149">
        <f>1/((182/(ConditieGetal!$B$2*(E355/(I355*ConditieGetal!$B$2))))*24)*10</f>
        <v>2.6103518446233681E-2</v>
      </c>
    </row>
    <row r="356" spans="1:12" ht="13.5" customHeight="1">
      <c r="A356" s="395">
        <v>37870</v>
      </c>
      <c r="B356" s="177">
        <v>16.61</v>
      </c>
      <c r="C356" s="361">
        <v>5.0821759259259254E-2</v>
      </c>
      <c r="D356" s="181">
        <f t="shared" si="46"/>
        <v>3.0597085646754518E-3</v>
      </c>
      <c r="E356" s="66">
        <v>150</v>
      </c>
      <c r="F356" s="66">
        <v>176</v>
      </c>
      <c r="I356" s="49">
        <f t="shared" si="47"/>
        <v>13.617854702801186</v>
      </c>
      <c r="J356" s="149">
        <f>1/((182/(ConditieGetal!$B$2*(E356/(I356*ConditieGetal!$B$2))))*24)*10</f>
        <v>2.5217378280292191E-2</v>
      </c>
    </row>
    <row r="357" spans="1:12" ht="13.5" customHeight="1">
      <c r="A357" s="395">
        <v>37871</v>
      </c>
      <c r="B357" s="177">
        <v>24.66</v>
      </c>
      <c r="C357" s="361">
        <v>8.0787037037037032E-2</v>
      </c>
      <c r="D357" s="181">
        <f t="shared" si="46"/>
        <v>3.2760355651677629E-3</v>
      </c>
      <c r="E357" s="66">
        <v>140</v>
      </c>
      <c r="F357" s="66">
        <v>148</v>
      </c>
      <c r="I357" s="49">
        <f t="shared" si="47"/>
        <v>12.718624641833813</v>
      </c>
      <c r="J357" s="149">
        <f>1/((182/(ConditieGetal!$B$2*(E357/(I357*ConditieGetal!$B$2))))*24)*10</f>
        <v>2.5200273578213552E-2</v>
      </c>
    </row>
    <row r="358" spans="1:12" ht="13.5" customHeight="1">
      <c r="A358" s="395">
        <v>37872</v>
      </c>
      <c r="B358" s="177">
        <v>16.61</v>
      </c>
      <c r="C358" s="361">
        <v>5.0474537037037033E-2</v>
      </c>
      <c r="D358" s="181">
        <f t="shared" si="46"/>
        <v>3.0388041563538253E-3</v>
      </c>
      <c r="E358" s="66">
        <v>147</v>
      </c>
      <c r="F358" s="66">
        <v>177</v>
      </c>
      <c r="I358" s="49">
        <f t="shared" si="47"/>
        <v>13.711534051822975</v>
      </c>
      <c r="J358" s="149">
        <f>1/((182/(ConditieGetal!$B$2*(E358/(I358*ConditieGetal!$B$2))))*24)*10</f>
        <v>2.4544187416703972E-2</v>
      </c>
    </row>
    <row r="359" spans="1:12" ht="13.5" customHeight="1">
      <c r="A359" s="395">
        <v>37873</v>
      </c>
      <c r="B359" s="177">
        <v>6</v>
      </c>
      <c r="D359" s="181"/>
      <c r="F359" s="66">
        <v>179</v>
      </c>
      <c r="H359" s="28" t="s">
        <v>234</v>
      </c>
    </row>
    <row r="360" spans="1:12" ht="13.5" customHeight="1">
      <c r="A360" s="395">
        <v>37875</v>
      </c>
      <c r="B360" s="177">
        <v>22</v>
      </c>
      <c r="C360" s="361">
        <v>7.5659722222222225E-2</v>
      </c>
      <c r="D360" s="181">
        <f t="shared" si="46"/>
        <v>3.4390782828282829E-3</v>
      </c>
      <c r="E360" s="67" t="s">
        <v>233</v>
      </c>
      <c r="F360" s="67" t="s">
        <v>233</v>
      </c>
      <c r="G360" s="67"/>
    </row>
    <row r="361" spans="1:12" ht="13.5" customHeight="1">
      <c r="A361" s="395">
        <v>37876</v>
      </c>
      <c r="B361" s="177">
        <v>10.27</v>
      </c>
      <c r="C361" s="361">
        <v>2.4763888888888887E-2</v>
      </c>
      <c r="D361" s="191">
        <f t="shared" si="46"/>
        <v>2.4112842150816834E-3</v>
      </c>
      <c r="E361" s="66">
        <v>174</v>
      </c>
      <c r="F361" s="66">
        <v>181</v>
      </c>
      <c r="I361" s="49">
        <f>IF(D361&gt;0,(1/(D361*24)))</f>
        <v>17.279865395401007</v>
      </c>
      <c r="J361" s="149">
        <f>1/((182/(ConditieGetal!$B$2*(E361/(I361*ConditieGetal!$B$2))))*24)*10</f>
        <v>2.3052937001330383E-2</v>
      </c>
    </row>
    <row r="362" spans="1:12" ht="13.5" customHeight="1">
      <c r="A362" s="395">
        <v>37876</v>
      </c>
      <c r="B362" s="177">
        <v>6.35</v>
      </c>
      <c r="C362" s="361">
        <v>2.1957175925925925E-2</v>
      </c>
      <c r="D362" s="181">
        <f t="shared" si="46"/>
        <v>3.4578229804607757E-3</v>
      </c>
      <c r="E362" s="66">
        <v>142</v>
      </c>
      <c r="F362" s="66">
        <v>157</v>
      </c>
      <c r="I362" s="49">
        <f>IF(D362&gt;0,(1/(D362*24)))</f>
        <v>12.049971008381215</v>
      </c>
      <c r="J362" s="149">
        <f>1/((182/(ConditieGetal!$B$2*(E362/(I362*ConditieGetal!$B$2))))*24)*10</f>
        <v>2.6978618858540113E-2</v>
      </c>
    </row>
    <row r="363" spans="1:12" ht="13.5" customHeight="1">
      <c r="A363" s="395">
        <v>37877</v>
      </c>
      <c r="B363" s="177">
        <v>20.54</v>
      </c>
      <c r="C363" s="361">
        <v>7.075231481481481E-2</v>
      </c>
      <c r="D363" s="181">
        <f t="shared" si="46"/>
        <v>3.4446112373327561E-3</v>
      </c>
      <c r="E363" s="66">
        <v>138</v>
      </c>
      <c r="F363" s="66">
        <v>154</v>
      </c>
      <c r="I363" s="49">
        <f>IF(D363&gt;0,(1/(D363*24)))</f>
        <v>12.096188450842467</v>
      </c>
      <c r="J363" s="149">
        <f>1/((182/(ConditieGetal!$B$2*(E363/(I363*ConditieGetal!$B$2))))*24)*10</f>
        <v>2.6118480810545072E-2</v>
      </c>
    </row>
    <row r="364" spans="1:12" ht="13.5" customHeight="1">
      <c r="A364" s="395">
        <v>37880</v>
      </c>
      <c r="B364" s="177">
        <v>6</v>
      </c>
      <c r="D364" s="181"/>
      <c r="F364" s="66">
        <v>179</v>
      </c>
      <c r="H364" s="28" t="s">
        <v>235</v>
      </c>
    </row>
    <row r="365" spans="1:12" ht="13.5" customHeight="1">
      <c r="A365" s="395">
        <v>37881</v>
      </c>
      <c r="B365" s="177">
        <v>20.54</v>
      </c>
      <c r="C365" s="361">
        <v>6.0069444444444446E-2</v>
      </c>
      <c r="D365" s="181">
        <f t="shared" si="46"/>
        <v>2.9245104403332251E-3</v>
      </c>
      <c r="E365" s="66">
        <v>150</v>
      </c>
      <c r="F365" s="66">
        <v>157</v>
      </c>
      <c r="I365" s="49">
        <f>IF(D365&gt;0,(1/(D365*24)))</f>
        <v>14.247398843930636</v>
      </c>
      <c r="J365" s="149">
        <f>1/((182/(ConditieGetal!$B$2*(E365/(I365*ConditieGetal!$B$2))))*24)*10</f>
        <v>2.410310802472438E-2</v>
      </c>
      <c r="K365" s="149">
        <f t="shared" ref="K365:K380" si="48">$J365*POWER(21.1/10,1.06)</f>
        <v>5.3187851776197295E-2</v>
      </c>
      <c r="L365" s="149">
        <f t="shared" ref="L365:L380" si="49">$J365*POWER(16.1/10,1.06)</f>
        <v>3.9930842712537502E-2</v>
      </c>
    </row>
    <row r="366" spans="1:12" ht="13.5" customHeight="1">
      <c r="A366" s="395">
        <v>37882</v>
      </c>
      <c r="B366" s="177">
        <v>15.2</v>
      </c>
      <c r="C366" s="361">
        <v>4.880787037037037E-2</v>
      </c>
      <c r="D366" s="181">
        <f t="shared" si="46"/>
        <v>3.2110441033138403E-3</v>
      </c>
      <c r="E366" s="66">
        <v>140</v>
      </c>
      <c r="F366" s="66">
        <v>154</v>
      </c>
      <c r="I366" s="49">
        <f t="shared" ref="I366:I372" si="50">IF(D366&gt;0,(1/(D366*24)))</f>
        <v>12.976049324164096</v>
      </c>
      <c r="J366" s="149">
        <f>1/((182/(ConditieGetal!$B$2*(E366/(I366*ConditieGetal!$B$2))))*24)*10</f>
        <v>2.4700339256260306E-2</v>
      </c>
      <c r="K366" s="149">
        <f t="shared" si="48"/>
        <v>5.4505750123018969E-2</v>
      </c>
      <c r="L366" s="149">
        <f t="shared" si="49"/>
        <v>4.0920256457230235E-2</v>
      </c>
    </row>
    <row r="367" spans="1:12" ht="13.5" customHeight="1">
      <c r="A367" s="395">
        <v>37883</v>
      </c>
      <c r="B367" s="177">
        <v>16.61</v>
      </c>
      <c r="C367" s="361">
        <v>5.6585648148148149E-2</v>
      </c>
      <c r="D367" s="181">
        <f t="shared" si="46"/>
        <v>3.4067217428144581E-3</v>
      </c>
      <c r="E367" s="66">
        <v>145</v>
      </c>
      <c r="F367" s="66">
        <v>151</v>
      </c>
      <c r="I367" s="49">
        <f t="shared" si="50"/>
        <v>12.230722029044793</v>
      </c>
      <c r="J367" s="149">
        <f>1/((182/(ConditieGetal!$B$2*(E367/(I367*ConditieGetal!$B$2))))*24)*10</f>
        <v>2.7141464434510792E-2</v>
      </c>
      <c r="K367" s="149">
        <f t="shared" si="48"/>
        <v>5.9892532774233294E-2</v>
      </c>
      <c r="L367" s="149">
        <f t="shared" si="49"/>
        <v>4.496438991231605E-2</v>
      </c>
    </row>
    <row r="368" spans="1:12" ht="13.5" customHeight="1">
      <c r="A368" s="395">
        <v>37884</v>
      </c>
      <c r="B368" s="177">
        <v>10</v>
      </c>
      <c r="C368" s="361">
        <v>2.5457175925925921E-2</v>
      </c>
      <c r="D368" s="181">
        <f t="shared" si="46"/>
        <v>2.545717592592592E-3</v>
      </c>
      <c r="E368" s="66">
        <v>180</v>
      </c>
      <c r="F368" s="66">
        <v>188</v>
      </c>
      <c r="I368" s="49">
        <f t="shared" si="50"/>
        <v>16.367356217322122</v>
      </c>
      <c r="J368" s="149">
        <f>1/((182/(ConditieGetal!$B$2*(E368/(I368*ConditieGetal!$B$2))))*24)*10</f>
        <v>2.5177426739926734E-2</v>
      </c>
      <c r="K368" s="149">
        <f t="shared" si="48"/>
        <v>5.5558529637573677E-2</v>
      </c>
      <c r="L368" s="149">
        <f t="shared" si="49"/>
        <v>4.1710631924612405E-2</v>
      </c>
    </row>
    <row r="369" spans="1:12" ht="13.5" customHeight="1">
      <c r="A369" s="395">
        <v>37886</v>
      </c>
      <c r="B369" s="177">
        <v>16.61</v>
      </c>
      <c r="C369" s="361">
        <v>5.3715277777777772E-2</v>
      </c>
      <c r="D369" s="181">
        <f t="shared" si="46"/>
        <v>3.2339119673556755E-3</v>
      </c>
      <c r="E369" s="66">
        <v>140</v>
      </c>
      <c r="F369" s="66">
        <v>146</v>
      </c>
      <c r="I369" s="49">
        <f t="shared" si="50"/>
        <v>12.884292178409828</v>
      </c>
      <c r="J369" s="149">
        <f>1/((182/(ConditieGetal!$B$2*(E369/(I369*ConditieGetal!$B$2))))*24)*10</f>
        <v>2.4876245902735964E-2</v>
      </c>
      <c r="K369" s="149">
        <f t="shared" si="48"/>
        <v>5.4893919840783088E-2</v>
      </c>
      <c r="L369" s="149">
        <f t="shared" si="49"/>
        <v>4.1211675332559684E-2</v>
      </c>
    </row>
    <row r="370" spans="1:12" ht="13.5" customHeight="1">
      <c r="A370" s="395">
        <v>37887</v>
      </c>
      <c r="B370" s="177">
        <v>16</v>
      </c>
      <c r="C370" s="361">
        <v>5.1921296296296299E-2</v>
      </c>
      <c r="D370" s="181">
        <f t="shared" si="46"/>
        <v>3.2450810185185187E-3</v>
      </c>
      <c r="E370" s="66">
        <v>140</v>
      </c>
      <c r="F370" s="66">
        <v>149</v>
      </c>
      <c r="I370" s="49">
        <f t="shared" si="50"/>
        <v>12.839946500222915</v>
      </c>
      <c r="J370" s="149">
        <f>1/((182/(ConditieGetal!$B$2*(E370/(I370*ConditieGetal!$B$2))))*24)*10</f>
        <v>2.4962161680911685E-2</v>
      </c>
      <c r="K370" s="149">
        <f t="shared" si="48"/>
        <v>5.5083508489274367E-2</v>
      </c>
      <c r="L370" s="149">
        <f t="shared" si="49"/>
        <v>4.1354009234948579E-2</v>
      </c>
    </row>
    <row r="371" spans="1:12" ht="13.5" customHeight="1">
      <c r="A371" s="395">
        <v>37889</v>
      </c>
      <c r="B371" s="177">
        <v>15.2</v>
      </c>
      <c r="C371" s="361">
        <v>4.7534722222222221E-2</v>
      </c>
      <c r="D371" s="181">
        <f t="shared" si="46"/>
        <v>3.1272843567251461E-3</v>
      </c>
      <c r="E371" s="66">
        <v>142</v>
      </c>
      <c r="F371" s="66">
        <v>154</v>
      </c>
      <c r="I371" s="49">
        <f t="shared" si="50"/>
        <v>13.323593864134406</v>
      </c>
      <c r="J371" s="149">
        <f>1/((182/(ConditieGetal!$B$2*(E371/(I371*ConditieGetal!$B$2))))*24)*10</f>
        <v>2.4399691134888501E-2</v>
      </c>
      <c r="K371" s="149">
        <f t="shared" si="48"/>
        <v>5.3842315859690244E-2</v>
      </c>
      <c r="L371" s="149">
        <f t="shared" si="49"/>
        <v>4.0422182398316221E-2</v>
      </c>
    </row>
    <row r="372" spans="1:12" ht="13.5" customHeight="1">
      <c r="A372" s="395">
        <v>37891</v>
      </c>
      <c r="B372" s="177">
        <v>15</v>
      </c>
      <c r="C372" s="361">
        <v>3.7918981481481477E-2</v>
      </c>
      <c r="D372" s="181">
        <f t="shared" si="46"/>
        <v>2.5279320987654317E-3</v>
      </c>
      <c r="E372" s="66">
        <v>179</v>
      </c>
      <c r="F372" s="66">
        <v>187</v>
      </c>
      <c r="H372" s="28" t="s">
        <v>236</v>
      </c>
      <c r="I372" s="49">
        <f t="shared" si="50"/>
        <v>16.482510225260977</v>
      </c>
      <c r="J372" s="149">
        <f>1/((182/(ConditieGetal!$B$2*(E372/(I372*ConditieGetal!$B$2))))*24)*10</f>
        <v>2.4862628883462211E-2</v>
      </c>
      <c r="K372" s="149">
        <f t="shared" si="48"/>
        <v>5.4863871433663843E-2</v>
      </c>
      <c r="L372" s="149">
        <f t="shared" si="49"/>
        <v>4.1189116455327919E-2</v>
      </c>
    </row>
    <row r="373" spans="1:12" ht="13.5" customHeight="1">
      <c r="A373" s="395">
        <v>37894</v>
      </c>
      <c r="B373" s="177">
        <v>10</v>
      </c>
      <c r="C373" s="361">
        <v>2.4467592592592593E-2</v>
      </c>
      <c r="D373" s="181">
        <f t="shared" si="46"/>
        <v>2.4467592592592592E-3</v>
      </c>
      <c r="E373" s="66">
        <v>177</v>
      </c>
      <c r="F373" s="66">
        <v>186</v>
      </c>
      <c r="I373" s="49">
        <f>IF(D373&gt;0,(1/(D373*24)))</f>
        <v>17.029328287606436</v>
      </c>
      <c r="J373" s="149">
        <f>1/((182/(ConditieGetal!$B$2*(E373/(I373*ConditieGetal!$B$2))))*24)*10</f>
        <v>2.3795405982905977E-2</v>
      </c>
      <c r="K373" s="149">
        <f t="shared" si="48"/>
        <v>5.2508851766128774E-2</v>
      </c>
      <c r="L373" s="149">
        <f t="shared" si="49"/>
        <v>3.9421082650823724E-2</v>
      </c>
    </row>
    <row r="374" spans="1:12" ht="13.5" customHeight="1">
      <c r="A374" s="395">
        <v>37895</v>
      </c>
      <c r="B374" s="177">
        <v>10.27</v>
      </c>
      <c r="C374" s="361">
        <v>3.5960648148148151E-2</v>
      </c>
      <c r="D374" s="181">
        <f t="shared" si="46"/>
        <v>3.501523675574309E-3</v>
      </c>
      <c r="E374" s="66">
        <v>137</v>
      </c>
      <c r="F374" s="66">
        <v>143</v>
      </c>
      <c r="I374" s="49">
        <f>IF(D374&gt;0,(1/(D374*24)))</f>
        <v>11.899581589958158</v>
      </c>
      <c r="J374" s="149">
        <f>1/((182/(ConditieGetal!$B$2*(E374/(I374*ConditieGetal!$B$2))))*24)*10</f>
        <v>2.6357623272180237E-2</v>
      </c>
      <c r="K374" s="149">
        <f t="shared" si="48"/>
        <v>5.8162845983826254E-2</v>
      </c>
      <c r="L374" s="149">
        <f t="shared" si="49"/>
        <v>4.3665825505911374E-2</v>
      </c>
    </row>
    <row r="375" spans="1:12" ht="13.5" customHeight="1">
      <c r="A375" s="395">
        <v>37896</v>
      </c>
      <c r="B375" s="177">
        <v>15.2</v>
      </c>
      <c r="C375" s="361">
        <v>4.7337962962962964E-2</v>
      </c>
      <c r="D375" s="181">
        <f t="shared" si="46"/>
        <v>3.1143396686159844E-3</v>
      </c>
      <c r="E375" s="66">
        <v>143</v>
      </c>
      <c r="F375" s="66">
        <v>152</v>
      </c>
      <c r="I375" s="49">
        <f>IF(D375&gt;0,(1/(D375*24)))</f>
        <v>13.378973105134474</v>
      </c>
      <c r="J375" s="149">
        <f>1/((182/(ConditieGetal!$B$2*(E375/(I375*ConditieGetal!$B$2))))*24)*10</f>
        <v>2.4469811681982735E-2</v>
      </c>
      <c r="K375" s="149">
        <f t="shared" si="48"/>
        <v>5.3997049484145992E-2</v>
      </c>
      <c r="L375" s="149">
        <f t="shared" si="49"/>
        <v>4.0538348850130849E-2</v>
      </c>
    </row>
    <row r="376" spans="1:12" ht="13.5" customHeight="1">
      <c r="A376" s="395">
        <v>37897</v>
      </c>
      <c r="B376" s="177">
        <v>12.7</v>
      </c>
      <c r="C376" s="361">
        <v>3.7383101851851848E-2</v>
      </c>
      <c r="D376" s="181">
        <f t="shared" si="46"/>
        <v>2.9435513269174683E-3</v>
      </c>
      <c r="E376" s="66">
        <v>153</v>
      </c>
      <c r="F376" s="66">
        <v>157</v>
      </c>
      <c r="I376" s="49">
        <f>IF(D376&gt;0,(1/(D376*24)))</f>
        <v>14.155237004241618</v>
      </c>
      <c r="J376" s="149">
        <f>1/((182/(ConditieGetal!$B$2*(E376/(I376*ConditieGetal!$B$2))))*24)*10</f>
        <v>2.4745239176833665E-2</v>
      </c>
      <c r="K376" s="149">
        <f t="shared" si="48"/>
        <v>5.4604829889734911E-2</v>
      </c>
      <c r="L376" s="149">
        <f t="shared" si="49"/>
        <v>4.09946407094346E-2</v>
      </c>
    </row>
    <row r="377" spans="1:12" ht="13.5" customHeight="1">
      <c r="A377" s="395">
        <v>37898</v>
      </c>
      <c r="B377" s="177">
        <v>24.54</v>
      </c>
      <c r="C377" s="361">
        <v>7.4398148148148144E-2</v>
      </c>
      <c r="D377" s="181">
        <f t="shared" si="46"/>
        <v>3.0317093784901447E-3</v>
      </c>
      <c r="E377" s="66">
        <v>146</v>
      </c>
      <c r="F377" s="66">
        <v>152</v>
      </c>
      <c r="I377" s="49">
        <f t="shared" ref="I377:I382" si="51">IF(D377&gt;0,(1/(D377*24)))</f>
        <v>13.743621655258243</v>
      </c>
      <c r="J377" s="149">
        <f>1/((182/(ConditieGetal!$B$2*(E377/(I377*ConditieGetal!$B$2))))*24)*10</f>
        <v>2.432030600327259E-2</v>
      </c>
      <c r="K377" s="149">
        <f t="shared" si="48"/>
        <v>5.3667138259801891E-2</v>
      </c>
      <c r="L377" s="149">
        <f t="shared" si="49"/>
        <v>4.0290667607733303E-2</v>
      </c>
    </row>
    <row r="378" spans="1:12" ht="13.5" customHeight="1">
      <c r="A378" s="395">
        <v>37899</v>
      </c>
      <c r="B378" s="177">
        <v>16.62</v>
      </c>
      <c r="C378" s="361">
        <v>5.3993055555555558E-2</v>
      </c>
      <c r="D378" s="181">
        <f t="shared" si="46"/>
        <v>3.2486796363150154E-3</v>
      </c>
      <c r="E378" s="66">
        <v>139</v>
      </c>
      <c r="F378" s="66">
        <v>167</v>
      </c>
      <c r="I378" s="49">
        <f t="shared" si="51"/>
        <v>12.825723472668811</v>
      </c>
      <c r="J378" s="149">
        <f>1/((182/(ConditieGetal!$B$2*(E378/(I378*ConditieGetal!$B$2))))*24)*10</f>
        <v>2.4811344475153138E-2</v>
      </c>
      <c r="K378" s="149">
        <f t="shared" si="48"/>
        <v>5.4750703144131434E-2</v>
      </c>
      <c r="L378" s="149">
        <f t="shared" si="49"/>
        <v>4.1104155227933738E-2</v>
      </c>
    </row>
    <row r="379" spans="1:12" ht="13.5" customHeight="1">
      <c r="A379" s="395">
        <v>37901</v>
      </c>
      <c r="B379" s="177">
        <v>12</v>
      </c>
      <c r="C379" s="361">
        <v>3.2589120370370372E-2</v>
      </c>
      <c r="D379" s="181">
        <f t="shared" si="46"/>
        <v>2.7157600308641977E-3</v>
      </c>
      <c r="E379" s="66">
        <v>160</v>
      </c>
      <c r="F379" s="66">
        <v>180</v>
      </c>
      <c r="I379" s="49">
        <f t="shared" si="51"/>
        <v>15.3425435948432</v>
      </c>
      <c r="J379" s="149">
        <f>1/((182/(ConditieGetal!$B$2*(E379/(I379*ConditieGetal!$B$2))))*24)*10</f>
        <v>2.3874813458146793E-2</v>
      </c>
      <c r="K379" s="149">
        <f t="shared" si="48"/>
        <v>5.2684078671252299E-2</v>
      </c>
      <c r="L379" s="149">
        <f t="shared" si="49"/>
        <v>3.9552634457370339E-2</v>
      </c>
    </row>
    <row r="380" spans="1:12" ht="13.5" customHeight="1">
      <c r="A380" s="395">
        <v>37903</v>
      </c>
      <c r="B380" s="177">
        <v>12.7</v>
      </c>
      <c r="C380" s="361">
        <v>3.7577546296296296E-2</v>
      </c>
      <c r="D380" s="181">
        <f t="shared" si="46"/>
        <v>2.9588619130941967E-3</v>
      </c>
      <c r="E380" s="66">
        <v>148</v>
      </c>
      <c r="F380" s="66">
        <v>157</v>
      </c>
      <c r="I380" s="49">
        <f t="shared" si="51"/>
        <v>14.081990944651492</v>
      </c>
      <c r="J380" s="149">
        <f>1/((182/(ConditieGetal!$B$2*(E380/(I380*ConditieGetal!$B$2))))*24)*10</f>
        <v>2.4061074897689071E-2</v>
      </c>
      <c r="K380" s="149">
        <f t="shared" si="48"/>
        <v>5.3095098106083427E-2</v>
      </c>
      <c r="L380" s="149">
        <f t="shared" si="49"/>
        <v>3.9861207784849279E-2</v>
      </c>
    </row>
    <row r="381" spans="1:12" ht="13.5" customHeight="1">
      <c r="A381" s="395">
        <v>37904</v>
      </c>
      <c r="B381" s="177">
        <v>16.62</v>
      </c>
      <c r="C381" s="361">
        <v>4.8935185185185186E-2</v>
      </c>
      <c r="D381" s="181">
        <f t="shared" si="46"/>
        <v>2.944355305967821E-3</v>
      </c>
      <c r="E381" s="66">
        <v>149</v>
      </c>
      <c r="F381" s="66">
        <v>159</v>
      </c>
      <c r="I381" s="49">
        <f t="shared" si="51"/>
        <v>14.151371807000947</v>
      </c>
    </row>
    <row r="382" spans="1:12" ht="13.5" customHeight="1">
      <c r="A382" s="395">
        <v>37905</v>
      </c>
      <c r="B382" s="177">
        <v>16.62</v>
      </c>
      <c r="C382" s="361">
        <v>4.6898148148148154E-2</v>
      </c>
      <c r="D382" s="181">
        <f t="shared" si="46"/>
        <v>2.8217899006105986E-3</v>
      </c>
      <c r="E382" s="66">
        <v>152</v>
      </c>
      <c r="F382" s="66">
        <v>159</v>
      </c>
      <c r="I382" s="49">
        <f t="shared" si="51"/>
        <v>14.766041461006909</v>
      </c>
    </row>
    <row r="383" spans="1:12" ht="13.5" customHeight="1">
      <c r="A383" s="395">
        <v>37907</v>
      </c>
      <c r="B383" s="177">
        <v>12.7</v>
      </c>
      <c r="C383" s="361">
        <v>3.8358796296296294E-2</v>
      </c>
      <c r="D383" s="181">
        <f t="shared" si="46"/>
        <v>3.0203776611256927E-3</v>
      </c>
      <c r="E383" s="66">
        <v>142</v>
      </c>
      <c r="F383" s="66">
        <v>153</v>
      </c>
      <c r="I383" s="49">
        <f>IF(D383&gt;0,(1/(D383*24)))</f>
        <v>13.795184358216162</v>
      </c>
    </row>
    <row r="384" spans="1:12" ht="13.5" customHeight="1">
      <c r="A384" s="395">
        <v>37908</v>
      </c>
      <c r="B384" s="177">
        <v>5</v>
      </c>
      <c r="D384" s="181"/>
      <c r="F384" s="66">
        <v>182</v>
      </c>
      <c r="H384" s="28" t="s">
        <v>237</v>
      </c>
    </row>
    <row r="385" spans="1:11" ht="13.5" customHeight="1">
      <c r="A385" s="395">
        <v>37909</v>
      </c>
      <c r="B385" s="177">
        <v>16.62</v>
      </c>
      <c r="C385" s="361">
        <v>5.4259259259259257E-2</v>
      </c>
      <c r="D385" s="181">
        <f t="shared" si="46"/>
        <v>3.2646967063332884E-3</v>
      </c>
      <c r="E385" s="66">
        <v>140</v>
      </c>
      <c r="F385" s="66">
        <v>149</v>
      </c>
      <c r="I385" s="49">
        <f>IF(D385&gt;0,(1/(D385*24)))</f>
        <v>12.762798634812288</v>
      </c>
    </row>
    <row r="386" spans="1:11" ht="13.5" customHeight="1">
      <c r="A386" s="395">
        <v>37910</v>
      </c>
      <c r="B386" s="177">
        <v>12</v>
      </c>
      <c r="C386" s="361">
        <v>3.3206018518518517E-2</v>
      </c>
      <c r="D386" s="181">
        <f t="shared" si="46"/>
        <v>2.7671682098765432E-3</v>
      </c>
      <c r="E386" s="66">
        <v>160</v>
      </c>
      <c r="F386" s="66">
        <v>169</v>
      </c>
      <c r="I386" s="49">
        <f>IF(D386&gt;0,(1/(D386*24)))</f>
        <v>15.057511327988847</v>
      </c>
    </row>
    <row r="387" spans="1:11" ht="13.5" customHeight="1">
      <c r="A387" s="395">
        <v>37912</v>
      </c>
      <c r="B387" s="177">
        <v>16.62</v>
      </c>
      <c r="C387" s="361">
        <v>5.0173611111111106E-2</v>
      </c>
      <c r="D387" s="181">
        <f t="shared" si="46"/>
        <v>3.0188695012702228E-3</v>
      </c>
      <c r="E387" s="66">
        <v>148</v>
      </c>
      <c r="F387" s="66">
        <v>154</v>
      </c>
      <c r="I387" s="49">
        <f>IF(D387&gt;0,(1/(D387*24)))</f>
        <v>13.802076124567478</v>
      </c>
    </row>
    <row r="388" spans="1:11" ht="13.5" customHeight="1">
      <c r="A388" s="395">
        <v>37913</v>
      </c>
      <c r="B388" s="177">
        <v>20.54</v>
      </c>
      <c r="C388" s="361">
        <v>6.5219907407407407E-2</v>
      </c>
      <c r="D388" s="181">
        <f t="shared" si="46"/>
        <v>3.1752632622885787E-3</v>
      </c>
      <c r="E388" s="66">
        <v>142</v>
      </c>
      <c r="F388" s="66">
        <v>166</v>
      </c>
      <c r="I388" s="49">
        <f>IF(D388&gt;0,(1/(D388*24)))</f>
        <v>13.122271517302574</v>
      </c>
    </row>
    <row r="389" spans="1:11" ht="13.5" customHeight="1">
      <c r="A389" s="395">
        <v>37914</v>
      </c>
      <c r="B389" s="177">
        <v>16.62</v>
      </c>
      <c r="C389" s="361">
        <v>4.5520833333333337E-2</v>
      </c>
      <c r="D389" s="181">
        <f t="shared" si="46"/>
        <v>2.7389189731247495E-3</v>
      </c>
      <c r="E389" s="66">
        <v>152</v>
      </c>
      <c r="F389" s="66">
        <v>164</v>
      </c>
      <c r="I389" s="49">
        <f>IF(D389&gt;0,(1/(D389*24)))</f>
        <v>15.212814645308923</v>
      </c>
    </row>
    <row r="390" spans="1:11" ht="13.5" customHeight="1">
      <c r="A390" s="395">
        <v>37915</v>
      </c>
      <c r="B390" s="177">
        <v>6</v>
      </c>
      <c r="D390" s="181"/>
      <c r="F390" s="66">
        <v>182</v>
      </c>
      <c r="H390" s="28" t="s">
        <v>239</v>
      </c>
    </row>
    <row r="391" spans="1:11" ht="13.5" customHeight="1">
      <c r="A391" s="395">
        <v>37917</v>
      </c>
      <c r="B391" s="177">
        <v>5</v>
      </c>
      <c r="D391" s="181"/>
    </row>
    <row r="392" spans="1:11" ht="13.5" customHeight="1">
      <c r="A392" s="395">
        <v>37918</v>
      </c>
      <c r="B392" s="177">
        <v>16.62</v>
      </c>
      <c r="C392" s="361">
        <v>5.2604166666666667E-2</v>
      </c>
      <c r="D392" s="181">
        <f t="shared" si="46"/>
        <v>3.1651123144805452E-3</v>
      </c>
      <c r="E392" s="66">
        <v>141</v>
      </c>
      <c r="F392" s="66">
        <v>147</v>
      </c>
      <c r="I392" s="49">
        <f>IF(D392&gt;0,(1/(D392*24)))</f>
        <v>13.164356435643565</v>
      </c>
    </row>
    <row r="393" spans="1:11" ht="13.5" customHeight="1">
      <c r="A393" s="395">
        <v>37919</v>
      </c>
      <c r="B393" s="177">
        <v>11.86</v>
      </c>
      <c r="C393" s="361">
        <v>2.8665509259259262E-2</v>
      </c>
      <c r="D393" s="181">
        <f t="shared" si="46"/>
        <v>2.4169906626694149E-3</v>
      </c>
      <c r="E393" s="66">
        <v>175</v>
      </c>
      <c r="F393" s="66">
        <v>187</v>
      </c>
      <c r="H393" s="28" t="s">
        <v>122</v>
      </c>
      <c r="I393" s="49">
        <f>IF(D393&gt;0,(1/(D393*24)))</f>
        <v>17.239068114830218</v>
      </c>
    </row>
    <row r="394" spans="1:11" ht="13.5" customHeight="1">
      <c r="A394" s="395">
        <v>37920</v>
      </c>
      <c r="B394" s="177">
        <v>20.54</v>
      </c>
      <c r="C394" s="361">
        <v>6.3043981481481479E-2</v>
      </c>
      <c r="D394" s="181">
        <f t="shared" si="46"/>
        <v>3.0693272386310361E-3</v>
      </c>
      <c r="E394" s="66">
        <v>146</v>
      </c>
      <c r="F394" s="66">
        <v>165</v>
      </c>
      <c r="I394" s="49">
        <f>IF(D394&gt;0,(1/(D394*24)))</f>
        <v>13.575178997613364</v>
      </c>
    </row>
    <row r="395" spans="1:11" ht="13.5" customHeight="1">
      <c r="A395" s="395">
        <v>37922</v>
      </c>
      <c r="B395" s="177">
        <v>4</v>
      </c>
      <c r="D395" s="181"/>
      <c r="H395" s="28" t="s">
        <v>240</v>
      </c>
    </row>
    <row r="396" spans="1:11" ht="13.5" customHeight="1">
      <c r="A396" s="395">
        <v>37923</v>
      </c>
      <c r="B396" s="177">
        <v>16.62</v>
      </c>
      <c r="C396" s="361">
        <v>5.0011574074074076E-2</v>
      </c>
      <c r="D396" s="181">
        <f t="shared" si="46"/>
        <v>3.0091199803895349E-3</v>
      </c>
      <c r="E396" s="66">
        <v>144</v>
      </c>
      <c r="F396" s="66">
        <v>153</v>
      </c>
      <c r="I396" s="49">
        <f t="shared" ref="I396:I401" si="52">IF(D396&gt;0,(1/(D396*24)))</f>
        <v>13.846794723443647</v>
      </c>
      <c r="J396" s="149">
        <f>1/((178/(ConditieGetal!$B$2*(E396/(I396*ConditieGetal!$B$2))))*24)*10</f>
        <v>2.4343442537982755E-2</v>
      </c>
      <c r="K396" s="149">
        <f t="shared" ref="K396:K405" si="53">J396*POWER(21.1/10,1.06)</f>
        <v>5.3718193193361359E-2</v>
      </c>
    </row>
    <row r="397" spans="1:11" ht="13.5" customHeight="1">
      <c r="A397" s="395">
        <v>37924</v>
      </c>
      <c r="B397" s="177">
        <v>12</v>
      </c>
      <c r="C397" s="361">
        <v>3.2689814814814817E-2</v>
      </c>
      <c r="D397" s="181">
        <f t="shared" si="46"/>
        <v>2.7241512345679013E-3</v>
      </c>
      <c r="E397" s="66">
        <v>158</v>
      </c>
      <c r="F397" s="66">
        <v>178</v>
      </c>
      <c r="I397" s="49">
        <f t="shared" si="52"/>
        <v>15.295283954114147</v>
      </c>
      <c r="J397" s="149">
        <f>1/((178/(ConditieGetal!$B$2*(E397/(I397*ConditieGetal!$B$2))))*24)*10</f>
        <v>2.4180668261894855E-2</v>
      </c>
      <c r="K397" s="149">
        <f t="shared" si="53"/>
        <v>5.335900241760496E-2</v>
      </c>
    </row>
    <row r="398" spans="1:11" ht="13.5" customHeight="1">
      <c r="A398" s="395">
        <v>37925</v>
      </c>
      <c r="B398" s="177">
        <v>20.54</v>
      </c>
      <c r="C398" s="361">
        <v>6.2141203703703705E-2</v>
      </c>
      <c r="D398" s="181">
        <f t="shared" si="46"/>
        <v>3.0253750586029071E-3</v>
      </c>
      <c r="E398" s="66">
        <v>145</v>
      </c>
      <c r="F398" s="66">
        <v>154</v>
      </c>
      <c r="I398" s="49">
        <f t="shared" si="52"/>
        <v>13.772397094430991</v>
      </c>
      <c r="J398" s="149">
        <f>1/((178/(ConditieGetal!$B$2*(E398/(I398*ConditieGetal!$B$2))))*24)*10</f>
        <v>2.46449091852484E-2</v>
      </c>
      <c r="K398" s="149">
        <f t="shared" si="53"/>
        <v>5.4383433681591535E-2</v>
      </c>
    </row>
    <row r="399" spans="1:11" ht="13.5" customHeight="1">
      <c r="A399" s="395">
        <v>37926</v>
      </c>
      <c r="B399" s="177">
        <v>6.35</v>
      </c>
      <c r="C399" s="361">
        <v>2.0309027777777777E-2</v>
      </c>
      <c r="D399" s="181">
        <f t="shared" si="46"/>
        <v>3.1982720909886262E-3</v>
      </c>
      <c r="E399" s="66">
        <v>140</v>
      </c>
      <c r="F399" s="66">
        <v>145</v>
      </c>
      <c r="I399" s="49">
        <f t="shared" si="52"/>
        <v>13.027868011625921</v>
      </c>
      <c r="J399" s="149">
        <f>1/((178/(ConditieGetal!$B$2*(E399/(I399*ConditieGetal!$B$2))))*24)*10</f>
        <v>2.5154949030247613E-2</v>
      </c>
      <c r="K399" s="149">
        <f t="shared" si="53"/>
        <v>5.5508928520180217E-2</v>
      </c>
    </row>
    <row r="400" spans="1:11" ht="13.5" customHeight="1">
      <c r="A400" s="395">
        <v>37927</v>
      </c>
      <c r="B400" s="177">
        <f>6.35*3</f>
        <v>19.049999999999997</v>
      </c>
      <c r="C400" s="361">
        <v>5.5023148148148147E-2</v>
      </c>
      <c r="D400" s="181">
        <f t="shared" si="46"/>
        <v>2.8883542334985908E-3</v>
      </c>
      <c r="E400" s="66">
        <v>152</v>
      </c>
      <c r="F400" s="66">
        <v>170</v>
      </c>
      <c r="I400" s="49">
        <f t="shared" si="52"/>
        <v>14.425746739587714</v>
      </c>
      <c r="J400" s="149">
        <f>1/((178/(ConditieGetal!$B$2*(E400/(I400*ConditieGetal!$B$2))))*24)*10</f>
        <v>2.4664597948976734E-2</v>
      </c>
      <c r="K400" s="149">
        <f t="shared" si="53"/>
        <v>5.4426880487114082E-2</v>
      </c>
    </row>
    <row r="401" spans="1:11" ht="13.5" customHeight="1">
      <c r="A401" s="395">
        <v>37928</v>
      </c>
      <c r="B401" s="177">
        <v>12.7</v>
      </c>
      <c r="C401" s="361">
        <v>3.9762731481481482E-2</v>
      </c>
      <c r="D401" s="181">
        <f t="shared" si="46"/>
        <v>3.1309237386993294E-3</v>
      </c>
      <c r="E401" s="66">
        <v>142</v>
      </c>
      <c r="F401" s="66">
        <v>148</v>
      </c>
      <c r="I401" s="49">
        <f t="shared" si="52"/>
        <v>13.308106534711104</v>
      </c>
      <c r="J401" s="149">
        <f>1/((178/(ConditieGetal!$B$2*(E401/(I401*ConditieGetal!$B$2))))*24)*10</f>
        <v>2.4977032072769929E-2</v>
      </c>
      <c r="K401" s="149">
        <f t="shared" si="53"/>
        <v>5.5116322688887089E-2</v>
      </c>
    </row>
    <row r="402" spans="1:11" ht="13.5" customHeight="1">
      <c r="A402" s="395">
        <v>37929</v>
      </c>
      <c r="B402" s="177">
        <v>4</v>
      </c>
      <c r="D402" s="181"/>
      <c r="H402" s="28" t="s">
        <v>241</v>
      </c>
    </row>
    <row r="403" spans="1:11" ht="13.5" customHeight="1">
      <c r="A403" s="395">
        <v>37930</v>
      </c>
      <c r="B403" s="177">
        <v>12.7</v>
      </c>
      <c r="C403" s="361">
        <v>3.8914351851851853E-2</v>
      </c>
      <c r="D403" s="181">
        <f t="shared" si="46"/>
        <v>3.0641221930592013E-3</v>
      </c>
      <c r="E403" s="66">
        <v>141</v>
      </c>
      <c r="F403" s="66">
        <v>148</v>
      </c>
      <c r="H403" s="143"/>
      <c r="I403" s="49">
        <f t="shared" ref="I403:I408" si="54">IF(D403&gt;0,(1/(D403*24)))</f>
        <v>13.598239248111353</v>
      </c>
      <c r="J403" s="149">
        <f>1/((178/(ConditieGetal!$B$2*(E403/(I403*ConditieGetal!$B$2))))*24)*10</f>
        <v>2.4271979169738622E-2</v>
      </c>
      <c r="K403" s="149">
        <f t="shared" si="53"/>
        <v>5.3560496392031927E-2</v>
      </c>
    </row>
    <row r="404" spans="1:11" ht="13.5" customHeight="1">
      <c r="A404" s="395">
        <v>37931</v>
      </c>
      <c r="B404" s="177">
        <v>12</v>
      </c>
      <c r="C404" s="361">
        <v>3.3069444444444443E-2</v>
      </c>
      <c r="D404" s="181">
        <f t="shared" si="46"/>
        <v>2.7557870370370371E-3</v>
      </c>
      <c r="E404" s="66">
        <v>160</v>
      </c>
      <c r="F404" s="66">
        <v>181</v>
      </c>
      <c r="I404" s="49">
        <f t="shared" si="54"/>
        <v>15.119697606047879</v>
      </c>
      <c r="J404" s="149">
        <f>1/((178/(ConditieGetal!$B$2*(E404/(I404*ConditieGetal!$B$2))))*24)*10</f>
        <v>2.477111943404078E-2</v>
      </c>
      <c r="K404" s="149">
        <f t="shared" si="53"/>
        <v>5.4661939341464121E-2</v>
      </c>
    </row>
    <row r="405" spans="1:11" ht="13.5" customHeight="1">
      <c r="A405" s="395">
        <v>37932</v>
      </c>
      <c r="B405" s="177">
        <v>6.35</v>
      </c>
      <c r="C405" s="361">
        <v>1.9565972222222224E-2</v>
      </c>
      <c r="D405" s="181">
        <f t="shared" si="46"/>
        <v>3.081255468066492E-3</v>
      </c>
      <c r="E405" s="66">
        <v>141</v>
      </c>
      <c r="F405" s="66">
        <v>159</v>
      </c>
      <c r="I405" s="49">
        <f t="shared" si="54"/>
        <v>13.522626441881098</v>
      </c>
      <c r="J405" s="149">
        <f>1/((178/(ConditieGetal!$B$2*(E405/(I405*ConditieGetal!$B$2))))*24)*10</f>
        <v>2.4407697808841312E-2</v>
      </c>
      <c r="K405" s="149">
        <f t="shared" si="53"/>
        <v>5.385998402874901E-2</v>
      </c>
    </row>
    <row r="406" spans="1:11" ht="13.5" customHeight="1">
      <c r="A406" s="395">
        <v>37933</v>
      </c>
      <c r="B406" s="177">
        <v>9.7200000000000006</v>
      </c>
      <c r="C406" s="361">
        <v>2.2523148148148143E-2</v>
      </c>
      <c r="D406" s="181">
        <f t="shared" si="46"/>
        <v>2.3171963115378746E-3</v>
      </c>
      <c r="E406" s="66">
        <v>178</v>
      </c>
      <c r="F406" s="66">
        <v>187</v>
      </c>
      <c r="H406" s="28" t="s">
        <v>124</v>
      </c>
      <c r="I406" s="49">
        <f t="shared" si="54"/>
        <v>17.981500513874618</v>
      </c>
      <c r="J406" s="149">
        <f>1/((178/(ConditieGetal!$B$2*(E406/(I406*ConditieGetal!$B$2))))*24)*10</f>
        <v>2.3171963115378752E-2</v>
      </c>
      <c r="K406" s="149">
        <f t="shared" ref="K406:K435" si="55">J406*POWER(21.1/10,1.06)</f>
        <v>5.113311272056871E-2</v>
      </c>
    </row>
    <row r="407" spans="1:11" ht="13.5" customHeight="1">
      <c r="A407" s="395">
        <v>37935</v>
      </c>
      <c r="B407" s="177">
        <v>16.62</v>
      </c>
      <c r="C407" s="361">
        <v>4.5509259259259256E-2</v>
      </c>
      <c r="D407" s="181">
        <f t="shared" si="46"/>
        <v>2.7382225787761284E-3</v>
      </c>
      <c r="E407" s="66">
        <v>151</v>
      </c>
      <c r="F407" s="66">
        <v>179</v>
      </c>
      <c r="I407" s="49">
        <f t="shared" si="54"/>
        <v>15.216683621566634</v>
      </c>
      <c r="J407" s="149">
        <f>1/((182/(ConditieGetal!$B$2*(E407/(I407*ConditieGetal!$B$2))))*24)*10</f>
        <v>2.2718220296439311E-2</v>
      </c>
      <c r="K407" s="149">
        <f t="shared" si="55"/>
        <v>5.0131847415965283E-2</v>
      </c>
    </row>
    <row r="408" spans="1:11" ht="13.5" customHeight="1">
      <c r="A408" s="395">
        <v>37936</v>
      </c>
      <c r="B408" s="177">
        <v>12.7</v>
      </c>
      <c r="C408" s="361">
        <v>3.3447916666666667E-2</v>
      </c>
      <c r="D408" s="181">
        <f t="shared" si="46"/>
        <v>2.6336942257217848E-3</v>
      </c>
      <c r="E408" s="66">
        <v>153</v>
      </c>
      <c r="F408" s="66">
        <v>163</v>
      </c>
      <c r="I408" s="49">
        <f t="shared" si="54"/>
        <v>15.820616630333227</v>
      </c>
      <c r="J408" s="149">
        <f>1/((182/(ConditieGetal!$B$2*(E408/(I408*ConditieGetal!$B$2))))*24)*10</f>
        <v>2.2140396512935888E-2</v>
      </c>
      <c r="K408" s="149">
        <f t="shared" si="55"/>
        <v>4.8856775100883917E-2</v>
      </c>
    </row>
    <row r="409" spans="1:11" ht="13.5" customHeight="1">
      <c r="A409" s="395">
        <v>37937</v>
      </c>
      <c r="B409" s="177">
        <v>24.36</v>
      </c>
      <c r="C409" s="361">
        <v>7.3888888888888893E-2</v>
      </c>
      <c r="D409" s="181">
        <f t="shared" si="46"/>
        <v>3.0332056194125163E-3</v>
      </c>
      <c r="E409" s="66">
        <v>146</v>
      </c>
      <c r="F409" s="66">
        <v>155</v>
      </c>
      <c r="I409" s="49">
        <f>IF(D409&gt;0,(1/(D409*24)))</f>
        <v>13.736842105263158</v>
      </c>
      <c r="J409" s="149">
        <f>1/((182/(ConditieGetal!$B$2*(E409/(I409*ConditieGetal!$B$2))))*24)*10</f>
        <v>2.4332308815067438E-2</v>
      </c>
      <c r="K409" s="149">
        <f t="shared" si="55"/>
        <v>5.3693624627202605E-2</v>
      </c>
    </row>
    <row r="410" spans="1:11" ht="13.5" customHeight="1">
      <c r="A410" s="395">
        <v>37938</v>
      </c>
      <c r="B410" s="177">
        <v>5</v>
      </c>
      <c r="D410" s="181">
        <f t="shared" si="46"/>
        <v>0</v>
      </c>
    </row>
    <row r="411" spans="1:11" ht="13.5" customHeight="1">
      <c r="A411" s="395">
        <v>37940</v>
      </c>
      <c r="B411" s="177">
        <v>10</v>
      </c>
      <c r="D411" s="181">
        <f>IF(B411&gt;0,C411/B411,"")</f>
        <v>0</v>
      </c>
      <c r="H411" s="28" t="s">
        <v>242</v>
      </c>
    </row>
    <row r="412" spans="1:11" ht="13.5" customHeight="1">
      <c r="A412" s="395">
        <v>37941</v>
      </c>
      <c r="B412" s="177">
        <v>16.62</v>
      </c>
      <c r="C412" s="361">
        <v>4.9918981481481474E-2</v>
      </c>
      <c r="D412" s="181">
        <f>IF(B412&gt;0,C412/B412,"")</f>
        <v>3.0035488256005697E-3</v>
      </c>
      <c r="E412" s="66">
        <v>147</v>
      </c>
      <c r="F412" s="66">
        <v>156</v>
      </c>
      <c r="I412" s="49">
        <f>IF(D412&gt;0,(1/(D412*24)))</f>
        <v>13.872478553211224</v>
      </c>
      <c r="J412" s="149">
        <f>1/((182/(ConditieGetal!$B$2*(E412/(I412*ConditieGetal!$B$2))))*24)*10</f>
        <v>2.4259432822158446E-2</v>
      </c>
      <c r="K412" s="149">
        <f t="shared" si="55"/>
        <v>5.3532810614963573E-2</v>
      </c>
    </row>
    <row r="413" spans="1:11" ht="13.5" customHeight="1">
      <c r="A413" s="395">
        <v>37942</v>
      </c>
      <c r="B413" s="177">
        <v>16.62</v>
      </c>
      <c r="C413" s="361">
        <v>4.7175925925925927E-2</v>
      </c>
      <c r="D413" s="181">
        <f>IF(B413&gt;0,C413/B413,"")</f>
        <v>2.8385033649774923E-3</v>
      </c>
      <c r="E413" s="66">
        <v>151</v>
      </c>
      <c r="F413" s="66">
        <v>155</v>
      </c>
      <c r="I413" s="49">
        <f>IF(D413&gt;0,(1/(D413*24)))</f>
        <v>14.67909715407262</v>
      </c>
      <c r="J413" s="149">
        <f>1/((182/(ConditieGetal!$B$2*(E413/(I413*ConditieGetal!$B$2))))*24)*10</f>
        <v>2.3550220225912168E-2</v>
      </c>
      <c r="K413" s="149">
        <f t="shared" si="55"/>
        <v>5.1967805205359742E-2</v>
      </c>
    </row>
    <row r="414" spans="1:11" ht="13.5" customHeight="1">
      <c r="A414" s="395">
        <v>37943</v>
      </c>
      <c r="B414" s="177">
        <v>6</v>
      </c>
      <c r="D414" s="181">
        <f>IF(B414&gt;0,C414/B414,"")</f>
        <v>0</v>
      </c>
    </row>
    <row r="415" spans="1:11" ht="13.5" customHeight="1">
      <c r="A415" s="395">
        <v>37945</v>
      </c>
      <c r="B415" s="177">
        <v>8</v>
      </c>
      <c r="D415" s="181">
        <f>IF(B415&gt;0,C415/B415,"")</f>
        <v>0</v>
      </c>
    </row>
    <row r="416" spans="1:11" ht="13.5" customHeight="1">
      <c r="A416" s="395">
        <v>37947</v>
      </c>
      <c r="B416" s="177">
        <f>C416/D416</f>
        <v>17.277777777777775</v>
      </c>
      <c r="C416" s="361">
        <v>5.0393518518518511E-2</v>
      </c>
      <c r="D416" s="181">
        <v>2.9166666666666668E-3</v>
      </c>
      <c r="E416" s="66">
        <v>150</v>
      </c>
      <c r="F416" s="66">
        <v>169</v>
      </c>
      <c r="H416" s="28" t="s">
        <v>245</v>
      </c>
      <c r="I416" s="49">
        <f>IF(D416&gt;0,(1/(D416*24)))</f>
        <v>14.285714285714285</v>
      </c>
      <c r="J416" s="149">
        <f>1/((182/(ConditieGetal!$B$2*(E416/(I416*ConditieGetal!$B$2))))*24)*10</f>
        <v>2.403846153846154E-2</v>
      </c>
      <c r="K416" s="149">
        <f t="shared" si="55"/>
        <v>5.3045197653514321E-2</v>
      </c>
    </row>
    <row r="417" spans="1:11" ht="13.5" customHeight="1">
      <c r="A417" s="395">
        <v>37948</v>
      </c>
      <c r="B417" s="177">
        <f>C417/D417</f>
        <v>24.517857142857146</v>
      </c>
      <c r="C417" s="361">
        <v>7.9456018518518523E-2</v>
      </c>
      <c r="D417" s="181">
        <v>3.2407407407407406E-3</v>
      </c>
      <c r="E417" s="66">
        <v>139</v>
      </c>
      <c r="F417" s="66">
        <v>159</v>
      </c>
      <c r="H417" s="28" t="s">
        <v>245</v>
      </c>
      <c r="I417" s="49">
        <f>IF(D417&gt;0,(1/(D417*24)))</f>
        <v>12.857142857142858</v>
      </c>
      <c r="J417" s="149">
        <f>1/((182/(ConditieGetal!$B$2*(E417/(I417*ConditieGetal!$B$2))))*24)*10</f>
        <v>2.4750712250712251E-2</v>
      </c>
      <c r="K417" s="149">
        <f t="shared" si="55"/>
        <v>5.4616907213618449E-2</v>
      </c>
    </row>
    <row r="418" spans="1:11" ht="13.5" customHeight="1">
      <c r="A418" s="395">
        <v>37949</v>
      </c>
      <c r="B418" s="177">
        <v>12.7</v>
      </c>
      <c r="C418" s="361">
        <v>3.8512731481481481E-2</v>
      </c>
      <c r="D418" s="181">
        <f t="shared" ref="D418:D480" si="56">IF(B418&gt;0,C418/B418,"")</f>
        <v>3.0324985418489357E-3</v>
      </c>
      <c r="E418" s="66">
        <v>141</v>
      </c>
      <c r="F418" s="66">
        <v>152</v>
      </c>
      <c r="I418" s="49">
        <f>IF(D418&gt;0,(1/(D418*24)))</f>
        <v>13.740045078888052</v>
      </c>
      <c r="J418" s="149">
        <f>1/((182/(ConditieGetal!$B$2*(E418/(I418*ConditieGetal!$B$2))))*24)*10</f>
        <v>2.3493532659379118E-2</v>
      </c>
      <c r="K418" s="149">
        <f t="shared" si="55"/>
        <v>5.1842713873436065E-2</v>
      </c>
    </row>
    <row r="419" spans="1:11" ht="13.5" customHeight="1">
      <c r="A419" s="395">
        <v>37950</v>
      </c>
      <c r="B419" s="177">
        <v>4</v>
      </c>
      <c r="D419" s="181"/>
      <c r="H419" s="28" t="s">
        <v>241</v>
      </c>
    </row>
    <row r="420" spans="1:11" ht="13.5" customHeight="1">
      <c r="A420" s="395">
        <v>37951</v>
      </c>
      <c r="B420" s="177">
        <v>10.26</v>
      </c>
      <c r="C420" s="361">
        <v>3.318287037037037E-2</v>
      </c>
      <c r="D420" s="181">
        <f t="shared" si="56"/>
        <v>3.2341978918489639E-3</v>
      </c>
      <c r="E420" s="66">
        <v>141</v>
      </c>
      <c r="F420" s="66">
        <v>145</v>
      </c>
      <c r="H420" s="28" t="s">
        <v>243</v>
      </c>
      <c r="I420" s="49">
        <f>IF(D420&gt;0,(1/(D420*24)))</f>
        <v>12.883153121730032</v>
      </c>
      <c r="J420" s="149">
        <f>1/((182/(ConditieGetal!$B$2*(E420/(I420*ConditieGetal!$B$2))))*24)*10</f>
        <v>2.5056148502785931E-2</v>
      </c>
      <c r="K420" s="149">
        <f t="shared" si="55"/>
        <v>5.5290907350269203E-2</v>
      </c>
    </row>
    <row r="421" spans="1:11" ht="13.5" customHeight="1">
      <c r="A421" s="395">
        <v>37956</v>
      </c>
      <c r="B421" s="177">
        <v>10.26</v>
      </c>
      <c r="C421" s="361">
        <v>3.2385416666666667E-2</v>
      </c>
      <c r="D421" s="181">
        <f t="shared" si="56"/>
        <v>3.1564733593242365E-3</v>
      </c>
      <c r="E421" s="66">
        <v>153</v>
      </c>
      <c r="F421" s="66">
        <v>163</v>
      </c>
      <c r="H421" s="28" t="s">
        <v>244</v>
      </c>
      <c r="I421" s="49">
        <f>IF(D421&gt;0,(1/(D421*24)))</f>
        <v>13.200385976198135</v>
      </c>
      <c r="J421" s="149">
        <f>1/((182/(ConditieGetal!$B$2*(E421/(I421*ConditieGetal!$B$2))))*24)*10</f>
        <v>2.6535188130582872E-2</v>
      </c>
      <c r="K421" s="149">
        <f t="shared" si="55"/>
        <v>5.8554674845054153E-2</v>
      </c>
    </row>
    <row r="422" spans="1:11" ht="13.5" customHeight="1">
      <c r="A422" s="395">
        <v>37957</v>
      </c>
      <c r="B422" s="177">
        <v>12</v>
      </c>
      <c r="C422" s="361">
        <v>3.1600694444444445E-2</v>
      </c>
      <c r="D422" s="181">
        <f t="shared" si="56"/>
        <v>2.6333912037037038E-3</v>
      </c>
      <c r="E422" s="66">
        <v>173</v>
      </c>
      <c r="F422" s="66">
        <v>190</v>
      </c>
      <c r="I422" s="49">
        <f>IF(D422&gt;0,(1/(D422*24)))</f>
        <v>15.822437094824744</v>
      </c>
      <c r="J422" s="149">
        <f>1/((182/(ConditieGetal!$B$2*(E422/(I422*ConditieGetal!$B$2))))*24)*10</f>
        <v>2.5031685617623121E-2</v>
      </c>
      <c r="K422" s="149">
        <f t="shared" si="55"/>
        <v>5.5236925585397924E-2</v>
      </c>
    </row>
    <row r="423" spans="1:11" ht="13.5" customHeight="1">
      <c r="A423" s="395">
        <v>37958</v>
      </c>
      <c r="B423" s="177">
        <v>10.26</v>
      </c>
      <c r="C423" s="361">
        <v>3.37650462962963E-2</v>
      </c>
      <c r="D423" s="181">
        <f t="shared" si="56"/>
        <v>3.2909401848242007E-3</v>
      </c>
      <c r="E423" s="66">
        <v>145</v>
      </c>
      <c r="F423" s="66">
        <v>153</v>
      </c>
      <c r="I423" s="49">
        <f>IF(D423&gt;0,(1/(D423*24)))</f>
        <v>12.661022178041337</v>
      </c>
      <c r="J423" s="149">
        <f>1/((182/(ConditieGetal!$B$2*(E423/(I423*ConditieGetal!$B$2))))*24)*10</f>
        <v>2.6219028945027971E-2</v>
      </c>
      <c r="K423" s="149">
        <f t="shared" si="55"/>
        <v>5.7857012623164422E-2</v>
      </c>
    </row>
    <row r="424" spans="1:11" ht="13.5" customHeight="1">
      <c r="A424" s="395">
        <v>37959</v>
      </c>
      <c r="B424" s="177">
        <v>5</v>
      </c>
      <c r="D424" s="181">
        <f t="shared" si="56"/>
        <v>0</v>
      </c>
    </row>
    <row r="425" spans="1:11" ht="13.5" customHeight="1">
      <c r="A425" s="395">
        <v>37961</v>
      </c>
      <c r="B425" s="177">
        <v>6</v>
      </c>
      <c r="C425" s="361" t="s">
        <v>246</v>
      </c>
      <c r="D425" s="181">
        <f t="shared" si="56"/>
        <v>2.1894290123456793E-3</v>
      </c>
      <c r="E425" s="66">
        <v>184</v>
      </c>
      <c r="F425" s="66">
        <v>194</v>
      </c>
      <c r="H425" s="28" t="s">
        <v>247</v>
      </c>
      <c r="I425" s="49">
        <f>IF(D425&gt;0,(1/(D425*24)))</f>
        <v>19.030837004405285</v>
      </c>
      <c r="K425" s="149">
        <f t="shared" si="55"/>
        <v>0</v>
      </c>
    </row>
    <row r="426" spans="1:11" ht="13.5" customHeight="1">
      <c r="A426" s="395">
        <v>37964</v>
      </c>
      <c r="B426" s="177">
        <v>6</v>
      </c>
      <c r="D426" s="181"/>
    </row>
    <row r="427" spans="1:11" ht="13.5" customHeight="1">
      <c r="A427" s="395">
        <v>37965</v>
      </c>
      <c r="B427" s="177">
        <v>16.62</v>
      </c>
      <c r="C427" s="361">
        <v>5.1944444444444439E-2</v>
      </c>
      <c r="D427" s="181">
        <f t="shared" si="56"/>
        <v>3.1254178366091718E-3</v>
      </c>
      <c r="E427" s="66">
        <v>146</v>
      </c>
      <c r="F427" s="66">
        <v>155</v>
      </c>
      <c r="I427" s="49">
        <f>IF(D427&gt;0,(1/(D427*24)))</f>
        <v>13.331550802139041</v>
      </c>
      <c r="J427" s="149">
        <f>1/((182/(ConditieGetal!$B$2*(E427/(I427*ConditieGetal!$B$2))))*24)*10</f>
        <v>2.5072033194776869E-2</v>
      </c>
      <c r="K427" s="149">
        <f t="shared" si="55"/>
        <v>5.5325959785924299E-2</v>
      </c>
    </row>
    <row r="428" spans="1:11" ht="13.5" customHeight="1">
      <c r="A428" s="395">
        <v>37966</v>
      </c>
      <c r="B428" s="177">
        <v>8</v>
      </c>
      <c r="C428" s="361">
        <v>2.2185185185185183E-2</v>
      </c>
      <c r="D428" s="181">
        <f t="shared" si="56"/>
        <v>2.7731481481481478E-3</v>
      </c>
      <c r="E428" s="66">
        <v>162</v>
      </c>
      <c r="F428" s="66">
        <v>169</v>
      </c>
      <c r="I428" s="49">
        <f>IF(D428&gt;0,(1/(D428*24)))</f>
        <v>15.025041736227047</v>
      </c>
      <c r="J428" s="149">
        <f>1/((182/(ConditieGetal!$B$2*(E428/(I428*ConditieGetal!$B$2))))*24)*10</f>
        <v>2.4684065934065927E-2</v>
      </c>
      <c r="K428" s="149">
        <f t="shared" si="55"/>
        <v>5.4469840104780114E-2</v>
      </c>
    </row>
    <row r="429" spans="1:11" ht="13.5" customHeight="1">
      <c r="A429" s="395">
        <v>37968</v>
      </c>
      <c r="B429" s="177">
        <v>6</v>
      </c>
      <c r="D429" s="181"/>
    </row>
    <row r="430" spans="1:11" ht="13.5" customHeight="1">
      <c r="A430" s="395">
        <v>37969</v>
      </c>
      <c r="B430" s="177">
        <v>9.15</v>
      </c>
      <c r="C430" s="361">
        <v>2.1900462962962965E-2</v>
      </c>
      <c r="D430" s="181">
        <f t="shared" si="56"/>
        <v>2.3934932199959525E-3</v>
      </c>
      <c r="E430" s="66">
        <v>182</v>
      </c>
      <c r="F430" s="66">
        <v>187</v>
      </c>
      <c r="H430" s="28" t="s">
        <v>248</v>
      </c>
      <c r="I430" s="49">
        <f>IF(D430&gt;0,(1/(D430*24)))</f>
        <v>17.408307789874218</v>
      </c>
      <c r="J430" s="149">
        <f>1/((182/(ConditieGetal!$B$2*(E430/(I430*ConditieGetal!$B$2))))*24)*10</f>
        <v>2.3934932199959524E-2</v>
      </c>
      <c r="K430" s="149">
        <f t="shared" si="55"/>
        <v>5.2816741509805198E-2</v>
      </c>
    </row>
    <row r="431" spans="1:11" ht="13.5" customHeight="1">
      <c r="A431" s="395">
        <v>37970</v>
      </c>
      <c r="B431" s="177">
        <v>16.62</v>
      </c>
      <c r="C431" s="361">
        <v>5.1979166666666667E-2</v>
      </c>
      <c r="D431" s="181">
        <f t="shared" si="56"/>
        <v>3.127507019655034E-3</v>
      </c>
      <c r="E431" s="66">
        <v>145</v>
      </c>
      <c r="F431" s="66">
        <v>154</v>
      </c>
      <c r="I431" s="49">
        <f>IF(D431&gt;0,(1/(D431*24)))</f>
        <v>13.322645290581164</v>
      </c>
      <c r="J431" s="149">
        <f>1/((182/(ConditieGetal!$B$2*(E431/(I431*ConditieGetal!$B$2))))*24)*10</f>
        <v>2.4916951530218678E-2</v>
      </c>
      <c r="K431" s="149">
        <f t="shared" si="55"/>
        <v>5.4983744143889013E-2</v>
      </c>
    </row>
    <row r="432" spans="1:11" ht="13.5" customHeight="1">
      <c r="A432" s="395">
        <v>37971</v>
      </c>
      <c r="B432" s="177">
        <v>4</v>
      </c>
      <c r="D432" s="181">
        <f t="shared" si="56"/>
        <v>0</v>
      </c>
      <c r="H432" s="28" t="s">
        <v>241</v>
      </c>
    </row>
    <row r="433" spans="1:11" ht="13.5" customHeight="1">
      <c r="A433" s="395">
        <v>37972</v>
      </c>
      <c r="B433" s="177">
        <v>12.7</v>
      </c>
      <c r="C433" s="361">
        <v>4.0732638888888888E-2</v>
      </c>
      <c r="D433" s="181">
        <f t="shared" si="56"/>
        <v>3.2072944006999128E-3</v>
      </c>
      <c r="E433" s="66">
        <v>141</v>
      </c>
      <c r="F433" s="66">
        <v>145</v>
      </c>
      <c r="I433" s="49">
        <f>IF(D433&gt;0,(1/(D433*24)))</f>
        <v>12.991219844855511</v>
      </c>
      <c r="J433" s="149">
        <f>1/((182/(ConditieGetal!$B$2*(E433/(I433*ConditieGetal!$B$2))))*24)*10</f>
        <v>2.4847720357070745E-2</v>
      </c>
      <c r="K433" s="149">
        <f t="shared" si="55"/>
        <v>5.4830973083330875E-2</v>
      </c>
    </row>
    <row r="434" spans="1:11" ht="13.5" customHeight="1">
      <c r="A434" s="395">
        <v>37973</v>
      </c>
      <c r="B434" s="177">
        <v>8</v>
      </c>
      <c r="C434" s="361">
        <v>2.178009259259259E-2</v>
      </c>
      <c r="D434" s="181">
        <f t="shared" si="56"/>
        <v>2.7225115740740738E-3</v>
      </c>
    </row>
    <row r="435" spans="1:11" ht="13.5" customHeight="1">
      <c r="A435" s="395">
        <v>37975</v>
      </c>
      <c r="B435" s="177">
        <v>10.26</v>
      </c>
      <c r="C435" s="361">
        <v>3.3393518518518517E-2</v>
      </c>
      <c r="D435" s="181">
        <f t="shared" si="56"/>
        <v>3.2547289004404012E-3</v>
      </c>
      <c r="E435" s="66">
        <v>143</v>
      </c>
      <c r="F435" s="66">
        <v>159</v>
      </c>
      <c r="I435" s="49">
        <f t="shared" ref="I435:I440" si="57">IF(D435&gt;0,(1/(D435*24)))</f>
        <v>12.801885484541801</v>
      </c>
      <c r="J435" s="149">
        <f>1/((182/(ConditieGetal!$B$2*(E435/(I435*ConditieGetal!$B$2))))*24)*10</f>
        <v>2.5572869932031728E-2</v>
      </c>
      <c r="K435" s="149">
        <f t="shared" si="55"/>
        <v>5.6431146308669029E-2</v>
      </c>
    </row>
    <row r="436" spans="1:11" ht="13.5" customHeight="1">
      <c r="A436" s="395">
        <v>37976</v>
      </c>
      <c r="B436" s="177">
        <v>9</v>
      </c>
      <c r="C436" s="361">
        <v>2.149537037037037E-2</v>
      </c>
      <c r="D436" s="181">
        <f t="shared" si="56"/>
        <v>2.3883744855967078E-3</v>
      </c>
      <c r="H436" s="28" t="s">
        <v>249</v>
      </c>
      <c r="I436" s="49">
        <f t="shared" si="57"/>
        <v>17.44561705793668</v>
      </c>
    </row>
    <row r="437" spans="1:11" ht="13.5" customHeight="1">
      <c r="A437" s="395">
        <v>37978</v>
      </c>
      <c r="B437" s="177">
        <v>12</v>
      </c>
      <c r="C437" s="361">
        <v>3.1074074074074077E-2</v>
      </c>
      <c r="D437" s="181">
        <f t="shared" si="56"/>
        <v>2.5895061728395063E-3</v>
      </c>
      <c r="E437" s="66">
        <v>168</v>
      </c>
      <c r="F437" s="66">
        <v>188</v>
      </c>
      <c r="I437" s="49">
        <f t="shared" si="57"/>
        <v>16.090584028605484</v>
      </c>
      <c r="J437" s="149">
        <f>1/((182/(ConditieGetal!$B$2*(E437/(I437*ConditieGetal!$B$2))))*24)*10</f>
        <v>2.3903133903133901E-2</v>
      </c>
      <c r="K437" s="149">
        <f t="shared" ref="K437:K475" si="58">J437*POWER(21.1/10,1.06)</f>
        <v>5.2746572837094531E-2</v>
      </c>
    </row>
    <row r="438" spans="1:11" ht="13.5" customHeight="1">
      <c r="A438" s="395">
        <v>37979</v>
      </c>
      <c r="B438" s="177">
        <v>16.62</v>
      </c>
      <c r="C438" s="361">
        <v>5.0034722222222223E-2</v>
      </c>
      <c r="D438" s="181">
        <f t="shared" si="56"/>
        <v>3.0105127690867764E-3</v>
      </c>
      <c r="E438" s="66">
        <v>150</v>
      </c>
      <c r="F438" s="66">
        <v>158</v>
      </c>
      <c r="I438" s="49">
        <f t="shared" si="57"/>
        <v>13.840388619014574</v>
      </c>
      <c r="J438" s="149">
        <f>1/((182/(ConditieGetal!$B$2*(E438/(I438*ConditieGetal!$B$2))))*24)*10</f>
        <v>2.4811918426539369E-2</v>
      </c>
      <c r="K438" s="149">
        <f t="shared" si="58"/>
        <v>5.4751969671304038E-2</v>
      </c>
    </row>
    <row r="439" spans="1:11" ht="13.5" customHeight="1">
      <c r="A439" s="395">
        <v>37981</v>
      </c>
      <c r="B439" s="177">
        <v>16.62</v>
      </c>
      <c r="C439" s="361">
        <v>5.0208333333333334E-2</v>
      </c>
      <c r="D439" s="181">
        <f t="shared" si="56"/>
        <v>3.0209586843160849E-3</v>
      </c>
      <c r="E439" s="66">
        <v>149</v>
      </c>
      <c r="F439" s="66">
        <v>160</v>
      </c>
      <c r="I439" s="49">
        <f t="shared" si="57"/>
        <v>13.792531120331951</v>
      </c>
      <c r="J439" s="149">
        <f>1/((182/(ConditieGetal!$B$2*(E439/(I439*ConditieGetal!$B$2))))*24)*10</f>
        <v>2.4732024393576732E-2</v>
      </c>
      <c r="K439" s="149">
        <f t="shared" si="58"/>
        <v>5.4575669088878717E-2</v>
      </c>
    </row>
    <row r="440" spans="1:11" ht="13.5" customHeight="1">
      <c r="A440" s="395">
        <v>37983</v>
      </c>
      <c r="B440" s="177">
        <v>20.54</v>
      </c>
      <c r="C440" s="361">
        <v>6.267361111111111E-2</v>
      </c>
      <c r="D440" s="181">
        <f t="shared" si="56"/>
        <v>3.0512955750297524E-3</v>
      </c>
      <c r="E440" s="66">
        <v>151</v>
      </c>
      <c r="F440" s="66">
        <v>164</v>
      </c>
      <c r="I440" s="49">
        <f t="shared" si="57"/>
        <v>13.65540166204986</v>
      </c>
      <c r="J440" s="149">
        <f>1/((182/(ConditieGetal!$B$2*(E440/(I440*ConditieGetal!$B$2))))*24)*10</f>
        <v>2.5315694056565537E-2</v>
      </c>
      <c r="K440" s="149">
        <f t="shared" si="58"/>
        <v>5.5863641390602931E-2</v>
      </c>
    </row>
    <row r="441" spans="1:11" ht="13.5" customHeight="1">
      <c r="A441" s="395">
        <v>37982</v>
      </c>
      <c r="B441" s="177">
        <v>4</v>
      </c>
      <c r="C441" s="361">
        <v>1.315972222222222E-2</v>
      </c>
      <c r="D441" s="181">
        <f t="shared" si="56"/>
        <v>3.2899305555555551E-3</v>
      </c>
      <c r="E441" s="66">
        <v>141</v>
      </c>
      <c r="F441" s="66">
        <v>146</v>
      </c>
      <c r="I441" s="49">
        <f t="shared" ref="I441:I457" si="59">IF(D441&gt;0,(1/(D441*24)))</f>
        <v>12.664907651715041</v>
      </c>
      <c r="J441" s="149">
        <f>1/((182/(ConditieGetal!$B$2*(E441/(I441*ConditieGetal!$B$2))))*24)*10</f>
        <v>2.5487923534798534E-2</v>
      </c>
      <c r="K441" s="149">
        <f t="shared" si="58"/>
        <v>5.6243696773931581E-2</v>
      </c>
    </row>
    <row r="442" spans="1:11" ht="13.5" customHeight="1">
      <c r="A442" s="395">
        <v>37982</v>
      </c>
      <c r="B442" s="177">
        <v>2.5</v>
      </c>
      <c r="C442" s="361">
        <v>6.177083333333333E-3</v>
      </c>
      <c r="D442" s="181">
        <f t="shared" si="56"/>
        <v>2.4708333333333331E-3</v>
      </c>
      <c r="E442" s="66">
        <v>167</v>
      </c>
      <c r="F442" s="66">
        <v>175</v>
      </c>
      <c r="I442" s="49">
        <f t="shared" si="59"/>
        <v>16.863406408094438</v>
      </c>
      <c r="J442" s="149">
        <f>1/((182/(ConditieGetal!$B$2*(E442/(I442*ConditieGetal!$B$2))))*24)*10</f>
        <v>2.2671932234432229E-2</v>
      </c>
      <c r="K442" s="149">
        <f t="shared" si="58"/>
        <v>5.002970446500167E-2</v>
      </c>
    </row>
    <row r="443" spans="1:11" ht="13.5" customHeight="1">
      <c r="A443" s="395">
        <v>37982</v>
      </c>
      <c r="B443" s="177">
        <v>2.5</v>
      </c>
      <c r="C443" s="361">
        <v>6.061342592592593E-3</v>
      </c>
      <c r="D443" s="181">
        <f t="shared" si="56"/>
        <v>2.4245370370370371E-3</v>
      </c>
      <c r="E443" s="66">
        <v>169</v>
      </c>
      <c r="F443" s="66">
        <v>175</v>
      </c>
      <c r="I443" s="49">
        <f t="shared" si="59"/>
        <v>17.185411495130801</v>
      </c>
      <c r="J443" s="149">
        <f>1/((182/(ConditieGetal!$B$2*(E443/(I443*ConditieGetal!$B$2))))*24)*10</f>
        <v>2.2513558201058201E-2</v>
      </c>
      <c r="K443" s="149">
        <f t="shared" si="58"/>
        <v>4.9680223617815669E-2</v>
      </c>
    </row>
    <row r="444" spans="1:11" ht="13.5" customHeight="1">
      <c r="A444" s="395">
        <v>37982</v>
      </c>
      <c r="B444" s="177">
        <v>2.5</v>
      </c>
      <c r="C444" s="361">
        <v>6.0486111111111122E-3</v>
      </c>
      <c r="D444" s="181">
        <f t="shared" si="56"/>
        <v>2.419444444444445E-3</v>
      </c>
      <c r="E444" s="66">
        <v>171</v>
      </c>
      <c r="F444" s="66">
        <v>177</v>
      </c>
      <c r="I444" s="49">
        <f t="shared" si="59"/>
        <v>17.221584385763485</v>
      </c>
      <c r="J444" s="149">
        <f>1/((182/(ConditieGetal!$B$2*(E444/(I444*ConditieGetal!$B$2))))*24)*10</f>
        <v>2.2732142857142864E-2</v>
      </c>
      <c r="K444" s="149">
        <f t="shared" si="58"/>
        <v>5.0162570055314784E-2</v>
      </c>
    </row>
    <row r="445" spans="1:11" ht="13.5" customHeight="1">
      <c r="A445" s="395">
        <v>37982</v>
      </c>
      <c r="B445" s="177">
        <v>4</v>
      </c>
      <c r="C445" s="361">
        <v>1.4E-2</v>
      </c>
      <c r="D445" s="181">
        <f t="shared" si="56"/>
        <v>3.5000000000000001E-3</v>
      </c>
      <c r="E445" s="66">
        <v>142</v>
      </c>
      <c r="F445" s="66">
        <v>147</v>
      </c>
      <c r="I445" s="49">
        <f t="shared" si="59"/>
        <v>11.904761904761903</v>
      </c>
      <c r="J445" s="149">
        <f>1/((182/(ConditieGetal!$B$2*(E445/(I445*ConditieGetal!$B$2))))*24)*10</f>
        <v>2.7307692307692314E-2</v>
      </c>
      <c r="K445" s="149">
        <f t="shared" si="58"/>
        <v>6.025934453439228E-2</v>
      </c>
    </row>
    <row r="446" spans="1:11" ht="13.5" customHeight="1">
      <c r="A446" s="395">
        <v>37984</v>
      </c>
      <c r="B446" s="177">
        <v>16.62</v>
      </c>
      <c r="C446" s="361">
        <v>4.6493055555555551E-2</v>
      </c>
      <c r="D446" s="181">
        <f t="shared" si="56"/>
        <v>2.7974160984088779E-3</v>
      </c>
      <c r="E446" s="66">
        <v>155</v>
      </c>
      <c r="F446" s="66">
        <v>162</v>
      </c>
      <c r="I446" s="49">
        <f t="shared" si="59"/>
        <v>14.894697535474238</v>
      </c>
      <c r="J446" s="149">
        <f>1/((182/(ConditieGetal!$B$2*(E446/(I446*ConditieGetal!$B$2))))*24)*10</f>
        <v>2.3824148090844832E-2</v>
      </c>
      <c r="K446" s="149">
        <f t="shared" si="58"/>
        <v>5.2572276407267131E-2</v>
      </c>
    </row>
    <row r="447" spans="1:11" ht="13.5" customHeight="1">
      <c r="A447" s="395">
        <v>37985</v>
      </c>
      <c r="B447" s="177">
        <f>6.35*3</f>
        <v>19.049999999999997</v>
      </c>
      <c r="C447" s="361">
        <v>5.5798611111111111E-2</v>
      </c>
      <c r="D447" s="181">
        <f t="shared" si="56"/>
        <v>2.9290609507144944E-3</v>
      </c>
      <c r="E447" s="66">
        <v>148</v>
      </c>
      <c r="F447" s="66">
        <v>179</v>
      </c>
      <c r="I447" s="49">
        <f t="shared" si="59"/>
        <v>14.225264467952705</v>
      </c>
      <c r="J447" s="149">
        <f>1/((182/(ConditieGetal!$B$2*(E447/(I447*ConditieGetal!$B$2))))*24)*10</f>
        <v>2.3818737401414568E-2</v>
      </c>
      <c r="K447" s="149">
        <f t="shared" si="58"/>
        <v>5.2560336745911894E-2</v>
      </c>
    </row>
    <row r="448" spans="1:11" ht="13.5" customHeight="1">
      <c r="A448" s="395">
        <v>37986</v>
      </c>
      <c r="B448" s="177">
        <v>10.26</v>
      </c>
      <c r="C448" s="361">
        <v>3.2546296296296295E-2</v>
      </c>
      <c r="D448" s="181">
        <f t="shared" si="56"/>
        <v>3.1721536351165982E-3</v>
      </c>
      <c r="E448" s="66">
        <v>141</v>
      </c>
      <c r="F448" s="66">
        <v>148</v>
      </c>
      <c r="I448" s="49">
        <f t="shared" si="59"/>
        <v>13.135135135135135</v>
      </c>
      <c r="J448" s="149">
        <f>1/((182/(ConditieGetal!$B$2*(E448/(I448*ConditieGetal!$B$2))))*24)*10</f>
        <v>2.4575475964364858E-2</v>
      </c>
      <c r="K448" s="149">
        <f t="shared" si="58"/>
        <v>5.423021676629125E-2</v>
      </c>
    </row>
    <row r="449" spans="1:11" ht="13.5" customHeight="1">
      <c r="A449" s="395">
        <v>37989</v>
      </c>
      <c r="B449" s="177">
        <v>4</v>
      </c>
      <c r="C449" s="361">
        <v>1.3572916666666669E-2</v>
      </c>
      <c r="D449" s="181">
        <f t="shared" si="56"/>
        <v>3.3932291666666672E-3</v>
      </c>
      <c r="E449" s="66">
        <v>143</v>
      </c>
      <c r="F449" s="66">
        <v>149</v>
      </c>
      <c r="I449" s="49">
        <f t="shared" si="59"/>
        <v>12.279355333844972</v>
      </c>
      <c r="J449" s="149">
        <f>1/((182/(ConditieGetal!$B$2*(E449/(I449*ConditieGetal!$B$2))))*24)*10</f>
        <v>2.666108630952381E-2</v>
      </c>
      <c r="K449" s="149">
        <f t="shared" si="58"/>
        <v>5.8832491866557556E-2</v>
      </c>
    </row>
    <row r="450" spans="1:11" ht="13.5" customHeight="1">
      <c r="A450" s="395">
        <v>37989</v>
      </c>
      <c r="B450" s="177">
        <v>2.5</v>
      </c>
      <c r="C450" s="361">
        <v>6.0011574074074073E-3</v>
      </c>
      <c r="D450" s="181">
        <f t="shared" si="56"/>
        <v>2.4004629629629627E-3</v>
      </c>
      <c r="E450" s="66">
        <v>173</v>
      </c>
      <c r="F450" s="66">
        <v>181</v>
      </c>
      <c r="I450" s="49">
        <f t="shared" si="59"/>
        <v>17.357762777242044</v>
      </c>
      <c r="J450" s="149">
        <f>1/((182/(ConditieGetal!$B$2*(E450/(I450*ConditieGetal!$B$2))))*24)*10</f>
        <v>2.281758750508751E-2</v>
      </c>
      <c r="K450" s="149">
        <f t="shared" si="58"/>
        <v>5.0351119070042985E-2</v>
      </c>
    </row>
    <row r="451" spans="1:11" ht="13.5" customHeight="1">
      <c r="A451" s="395">
        <v>37989</v>
      </c>
      <c r="B451" s="177">
        <v>2.5</v>
      </c>
      <c r="C451" s="361">
        <v>6.0057870370370378E-3</v>
      </c>
      <c r="D451" s="181">
        <f t="shared" si="56"/>
        <v>2.402314814814815E-3</v>
      </c>
      <c r="E451" s="66">
        <v>175</v>
      </c>
      <c r="F451" s="66">
        <v>180</v>
      </c>
      <c r="I451" s="49">
        <f t="shared" si="59"/>
        <v>17.344382347273076</v>
      </c>
      <c r="J451" s="149">
        <f>1/((182/(ConditieGetal!$B$2*(E451/(I451*ConditieGetal!$B$2))))*24)*10</f>
        <v>2.3099180911680915E-2</v>
      </c>
      <c r="K451" s="149">
        <f t="shared" si="58"/>
        <v>5.0972505671127009E-2</v>
      </c>
    </row>
    <row r="452" spans="1:11" ht="13.5" customHeight="1">
      <c r="A452" s="395">
        <v>37989</v>
      </c>
      <c r="B452" s="177">
        <v>2.5</v>
      </c>
      <c r="C452" s="361">
        <v>5.9675925925925929E-3</v>
      </c>
      <c r="D452" s="181">
        <f t="shared" si="56"/>
        <v>2.3870370370370373E-3</v>
      </c>
      <c r="E452" s="66">
        <v>176</v>
      </c>
      <c r="F452" s="66">
        <v>183</v>
      </c>
      <c r="I452" s="49">
        <f t="shared" si="59"/>
        <v>17.455391776570984</v>
      </c>
      <c r="J452" s="149">
        <f>1/((182/(ConditieGetal!$B$2*(E452/(I452*ConditieGetal!$B$2))))*24)*10</f>
        <v>2.3083435083435088E-2</v>
      </c>
      <c r="K452" s="149">
        <f t="shared" si="58"/>
        <v>5.0937759663351852E-2</v>
      </c>
    </row>
    <row r="453" spans="1:11" ht="13.5" customHeight="1">
      <c r="A453" s="395">
        <v>37989</v>
      </c>
      <c r="B453" s="177">
        <v>4</v>
      </c>
      <c r="C453" s="361">
        <v>1.1821874999999997E-2</v>
      </c>
      <c r="D453" s="181">
        <f t="shared" si="56"/>
        <v>2.9554687499999993E-3</v>
      </c>
      <c r="E453" s="66">
        <v>144</v>
      </c>
      <c r="F453" s="66">
        <v>150</v>
      </c>
      <c r="I453" s="49">
        <f t="shared" si="59"/>
        <v>14.098158428055338</v>
      </c>
      <c r="J453" s="149">
        <f>1/((182/(ConditieGetal!$B$2*(E453/(I453*ConditieGetal!$B$2))))*24)*10</f>
        <v>2.3383928571428569E-2</v>
      </c>
      <c r="K453" s="149">
        <f t="shared" si="58"/>
        <v>5.1600852700262913E-2</v>
      </c>
    </row>
    <row r="454" spans="1:11" ht="13.5" customHeight="1">
      <c r="A454" s="395">
        <v>37990</v>
      </c>
      <c r="B454" s="177">
        <v>20.54</v>
      </c>
      <c r="C454" s="361">
        <v>6.2210648148148147E-2</v>
      </c>
      <c r="D454" s="181">
        <f t="shared" si="56"/>
        <v>3.0287559955281475E-3</v>
      </c>
      <c r="E454" s="66">
        <v>153</v>
      </c>
      <c r="F454" s="66">
        <v>166</v>
      </c>
      <c r="I454" s="49">
        <f t="shared" si="59"/>
        <v>13.757023255813953</v>
      </c>
      <c r="J454" s="149">
        <f>1/((182/(ConditieGetal!$B$2*(E454/(I454*ConditieGetal!$B$2))))*24)*10</f>
        <v>2.5461520182187176E-2</v>
      </c>
      <c r="K454" s="149">
        <f t="shared" si="58"/>
        <v>5.6185433017919409E-2</v>
      </c>
    </row>
    <row r="455" spans="1:11" ht="13.5" customHeight="1">
      <c r="A455" s="395">
        <v>37993</v>
      </c>
      <c r="B455" s="177">
        <v>11.35</v>
      </c>
      <c r="C455" s="361">
        <v>3.5126157407407405E-2</v>
      </c>
      <c r="D455" s="181">
        <f t="shared" si="56"/>
        <v>3.0948156306085822E-3</v>
      </c>
      <c r="E455" s="66">
        <v>150</v>
      </c>
      <c r="F455" s="66">
        <v>158</v>
      </c>
      <c r="I455" s="49">
        <f t="shared" si="59"/>
        <v>13.463376058519225</v>
      </c>
      <c r="J455" s="149">
        <f>1/((182/(ConditieGetal!$B$2*(E455/(I455*ConditieGetal!$B$2))))*24)*10</f>
        <v>2.5506722230290518E-2</v>
      </c>
      <c r="K455" s="149">
        <f t="shared" si="58"/>
        <v>5.6285179483480399E-2</v>
      </c>
    </row>
    <row r="456" spans="1:11" ht="13.5" customHeight="1">
      <c r="A456" s="395">
        <v>37996</v>
      </c>
      <c r="B456" s="177">
        <v>16.62</v>
      </c>
      <c r="C456" s="361">
        <v>4.2604166666666665E-2</v>
      </c>
      <c r="D456" s="181">
        <f t="shared" si="56"/>
        <v>2.5634275972723623E-3</v>
      </c>
      <c r="E456" s="66">
        <v>166</v>
      </c>
      <c r="F456" s="66">
        <v>181</v>
      </c>
      <c r="I456" s="49">
        <f t="shared" si="59"/>
        <v>16.254278728606359</v>
      </c>
      <c r="J456" s="149">
        <f>1/((182/(ConditieGetal!$B$2*(E456/(I456*ConditieGetal!$B$2))))*24)*10</f>
        <v>2.3380713249846818E-2</v>
      </c>
      <c r="K456" s="149">
        <f t="shared" si="58"/>
        <v>5.1593757513719848E-2</v>
      </c>
    </row>
    <row r="457" spans="1:11" ht="13.5" customHeight="1">
      <c r="A457" s="395">
        <v>37997</v>
      </c>
      <c r="B457" s="177">
        <v>20.54</v>
      </c>
      <c r="C457" s="361">
        <v>6.09837962962963E-2</v>
      </c>
      <c r="D457" s="181">
        <f t="shared" si="56"/>
        <v>2.9690261098488948E-3</v>
      </c>
      <c r="E457" s="66">
        <v>149</v>
      </c>
      <c r="F457" s="66">
        <v>167</v>
      </c>
      <c r="I457" s="49">
        <f t="shared" si="59"/>
        <v>14.033782501423421</v>
      </c>
      <c r="J457" s="149">
        <f>1/((182/(ConditieGetal!$B$2*(E457/(I457*ConditieGetal!$B$2))))*24)*10</f>
        <v>2.4306862108103584E-2</v>
      </c>
      <c r="K457" s="149">
        <f t="shared" si="58"/>
        <v>5.3637471882220608E-2</v>
      </c>
    </row>
    <row r="458" spans="1:11" ht="13.5" customHeight="1">
      <c r="A458" s="395">
        <v>37998</v>
      </c>
      <c r="B458" s="177">
        <v>16.62</v>
      </c>
      <c r="C458" s="361">
        <v>4.8159722222222222E-2</v>
      </c>
      <c r="D458" s="181">
        <f t="shared" si="56"/>
        <v>2.8976968846102418E-3</v>
      </c>
      <c r="E458" s="66">
        <v>152</v>
      </c>
      <c r="F458" s="66">
        <v>155</v>
      </c>
      <c r="I458" s="49">
        <f t="shared" ref="I458:I463" si="60">IF(D458&gt;0,(1/(D458*24)))</f>
        <v>14.379235760634463</v>
      </c>
      <c r="J458" s="149">
        <f>1/((182/(ConditieGetal!$B$2*(E458/(I458*ConditieGetal!$B$2))))*24)*10</f>
        <v>2.4200545409931686E-2</v>
      </c>
      <c r="K458" s="149">
        <f t="shared" si="58"/>
        <v>5.3402864927055281E-2</v>
      </c>
    </row>
    <row r="459" spans="1:11" ht="13.5" customHeight="1">
      <c r="A459" s="395">
        <v>37999</v>
      </c>
      <c r="B459" s="177">
        <v>16</v>
      </c>
      <c r="C459" s="361">
        <v>4.3032407407407408E-2</v>
      </c>
      <c r="D459" s="181">
        <f t="shared" si="56"/>
        <v>2.689525462962963E-3</v>
      </c>
      <c r="E459" s="66">
        <v>163</v>
      </c>
      <c r="F459" s="66">
        <v>180</v>
      </c>
      <c r="I459" s="49">
        <f t="shared" si="60"/>
        <v>15.492200107584722</v>
      </c>
      <c r="J459" s="149">
        <f>1/((182/(ConditieGetal!$B$2*(E459/(I459*ConditieGetal!$B$2))))*24)*10</f>
        <v>2.4087508267195773E-2</v>
      </c>
      <c r="K459" s="149">
        <f t="shared" si="58"/>
        <v>5.3153428099784891E-2</v>
      </c>
    </row>
    <row r="460" spans="1:11" ht="13.5" customHeight="1">
      <c r="A460" s="395">
        <v>38000</v>
      </c>
      <c r="B460" s="177">
        <v>10.26</v>
      </c>
      <c r="C460" s="361">
        <v>3.2392361111111115E-2</v>
      </c>
      <c r="D460" s="181">
        <f t="shared" si="56"/>
        <v>3.1571502057613173E-3</v>
      </c>
      <c r="E460" s="66">
        <v>143</v>
      </c>
      <c r="F460" s="66">
        <v>147</v>
      </c>
      <c r="I460" s="49">
        <f t="shared" si="60"/>
        <v>13.197556008146638</v>
      </c>
      <c r="J460" s="149">
        <f>1/((182/(ConditieGetal!$B$2*(E460/(I460*ConditieGetal!$B$2))))*24)*10</f>
        <v>2.4806180188124638E-2</v>
      </c>
      <c r="K460" s="149">
        <f t="shared" si="58"/>
        <v>5.4739307214082919E-2</v>
      </c>
    </row>
    <row r="461" spans="1:11" ht="13.5" customHeight="1">
      <c r="A461" s="395">
        <v>38001</v>
      </c>
      <c r="B461" s="177">
        <v>12</v>
      </c>
      <c r="C461" s="361">
        <v>3.3420138888888888E-2</v>
      </c>
      <c r="D461" s="181">
        <f t="shared" si="56"/>
        <v>2.7850115740740739E-3</v>
      </c>
      <c r="E461" s="66">
        <v>157</v>
      </c>
      <c r="F461" s="66">
        <v>173</v>
      </c>
      <c r="I461" s="49">
        <f t="shared" si="60"/>
        <v>14.961038961038961</v>
      </c>
      <c r="J461" s="149">
        <f>1/((182/(ConditieGetal!$B$2*(E461/(I461*ConditieGetal!$B$2))))*24)*10</f>
        <v>2.4024550391737898E-2</v>
      </c>
      <c r="K461" s="149">
        <f t="shared" si="58"/>
        <v>5.3014500201168546E-2</v>
      </c>
    </row>
    <row r="462" spans="1:11" ht="13.5" customHeight="1">
      <c r="A462" s="395">
        <v>38002</v>
      </c>
      <c r="B462" s="177">
        <v>10.26</v>
      </c>
      <c r="C462" s="361">
        <v>3.2312500000000001E-2</v>
      </c>
      <c r="D462" s="181">
        <f t="shared" si="56"/>
        <v>3.1493664717348931E-3</v>
      </c>
      <c r="E462" s="66">
        <v>143</v>
      </c>
      <c r="F462" s="66">
        <v>147</v>
      </c>
      <c r="I462" s="49">
        <f t="shared" si="60"/>
        <v>13.230174081237909</v>
      </c>
      <c r="J462" s="149">
        <f>1/((182/(ConditieGetal!$B$2*(E462/(I462*ConditieGetal!$B$2))))*24)*10</f>
        <v>2.4745022277917021E-2</v>
      </c>
      <c r="K462" s="149">
        <f t="shared" si="58"/>
        <v>5.4604351263185295E-2</v>
      </c>
    </row>
    <row r="463" spans="1:11" ht="13.5" customHeight="1">
      <c r="A463" s="395">
        <v>38003</v>
      </c>
      <c r="B463" s="177">
        <v>6.35</v>
      </c>
      <c r="C463" s="361">
        <v>2.0362268518518519E-2</v>
      </c>
      <c r="D463" s="181">
        <f t="shared" si="56"/>
        <v>3.2066564596092157E-3</v>
      </c>
      <c r="E463" s="66">
        <v>142</v>
      </c>
      <c r="F463" s="66">
        <v>147</v>
      </c>
      <c r="I463" s="49">
        <f t="shared" si="60"/>
        <v>12.993804354004434</v>
      </c>
      <c r="J463" s="149">
        <f>1/((182/(ConditieGetal!$B$2*(E463/(I463*ConditieGetal!$B$2))))*24)*10</f>
        <v>2.5018967981566408E-2</v>
      </c>
      <c r="K463" s="149">
        <f t="shared" si="58"/>
        <v>5.5208861829436066E-2</v>
      </c>
    </row>
    <row r="464" spans="1:11" ht="13.5" customHeight="1">
      <c r="A464" s="395">
        <v>38004</v>
      </c>
      <c r="B464" s="177">
        <v>9.23</v>
      </c>
      <c r="C464" s="361">
        <v>2.2187499999999999E-2</v>
      </c>
      <c r="D464" s="181">
        <f t="shared" si="56"/>
        <v>2.4038461538461535E-3</v>
      </c>
      <c r="E464" s="66">
        <v>178</v>
      </c>
      <c r="F464" s="66">
        <v>183</v>
      </c>
      <c r="H464" s="28" t="s">
        <v>250</v>
      </c>
      <c r="I464" s="49">
        <f>IF(D464&gt;0,(1/(D464*24)))</f>
        <v>17.333333333333336</v>
      </c>
      <c r="J464" s="149">
        <f>1/((182/(ConditieGetal!$B$2*(E464/(I464*ConditieGetal!$B$2))))*24)*10</f>
        <v>2.3510143702451393E-2</v>
      </c>
      <c r="K464" s="149">
        <f t="shared" si="58"/>
        <v>5.1879369133656858E-2</v>
      </c>
    </row>
    <row r="465" spans="1:11" ht="13.5" customHeight="1">
      <c r="A465" s="395">
        <v>38005</v>
      </c>
      <c r="B465" s="177">
        <v>12.7</v>
      </c>
      <c r="C465" s="361">
        <v>3.9041666666666662E-2</v>
      </c>
      <c r="D465" s="181">
        <f t="shared" si="56"/>
        <v>3.0741469816272962E-3</v>
      </c>
      <c r="E465" s="66">
        <v>143</v>
      </c>
      <c r="F465" s="66">
        <v>149</v>
      </c>
      <c r="I465" s="49">
        <f>IF(D465&gt;0,(1/(D465*24)))</f>
        <v>13.553895410885808</v>
      </c>
      <c r="J465" s="149">
        <f>1/((182/(ConditieGetal!$B$2*(E465/(I465*ConditieGetal!$B$2))))*24)*10</f>
        <v>2.4154011998500181E-2</v>
      </c>
      <c r="K465" s="149">
        <f t="shared" si="58"/>
        <v>5.3300180568369215E-2</v>
      </c>
    </row>
    <row r="466" spans="1:11" ht="13.5" customHeight="1">
      <c r="A466" s="395">
        <v>38006</v>
      </c>
      <c r="B466" s="177">
        <v>4</v>
      </c>
      <c r="D466" s="181"/>
      <c r="H466" s="28" t="s">
        <v>240</v>
      </c>
    </row>
    <row r="467" spans="1:11" ht="13.5" customHeight="1">
      <c r="A467" s="395">
        <v>38007</v>
      </c>
      <c r="B467" s="177">
        <v>16.62</v>
      </c>
      <c r="C467" s="361">
        <v>4.8865740740740737E-2</v>
      </c>
      <c r="D467" s="181">
        <f t="shared" si="56"/>
        <v>2.9401769398760972E-3</v>
      </c>
      <c r="E467" s="66">
        <v>146</v>
      </c>
      <c r="F467" s="66">
        <v>154</v>
      </c>
      <c r="I467" s="49">
        <f t="shared" ref="I467:I472" si="61">IF(D467&gt;0,(1/(D467*24)))</f>
        <v>14.171482709616296</v>
      </c>
      <c r="J467" s="149">
        <f>1/((182/(ConditieGetal!$B$2*(E467/(I467*ConditieGetal!$B$2))))*24)*10</f>
        <v>2.3586034792412648E-2</v>
      </c>
      <c r="K467" s="149">
        <f t="shared" si="58"/>
        <v>5.2046836500929693E-2</v>
      </c>
    </row>
    <row r="468" spans="1:11" ht="13.5" customHeight="1">
      <c r="A468" s="395">
        <v>38008</v>
      </c>
      <c r="B468" s="177">
        <v>8</v>
      </c>
      <c r="C468" s="361">
        <v>2.1739583333333336E-2</v>
      </c>
      <c r="D468" s="181">
        <f t="shared" si="56"/>
        <v>2.7174479166666671E-3</v>
      </c>
      <c r="E468" s="66">
        <v>157</v>
      </c>
      <c r="F468" s="66">
        <v>189</v>
      </c>
      <c r="I468" s="49">
        <f t="shared" si="61"/>
        <v>15.333013895543841</v>
      </c>
      <c r="J468" s="149">
        <f>1/((182/(ConditieGetal!$B$2*(E468/(I468*ConditieGetal!$B$2))))*24)*10</f>
        <v>2.3441721039377292E-2</v>
      </c>
      <c r="K468" s="149">
        <f t="shared" si="58"/>
        <v>5.1728382196288246E-2</v>
      </c>
    </row>
    <row r="469" spans="1:11" ht="13.5" customHeight="1">
      <c r="A469" s="395">
        <v>38010</v>
      </c>
      <c r="B469" s="177">
        <v>16.62</v>
      </c>
      <c r="C469" s="361">
        <v>4.6793981481481478E-2</v>
      </c>
      <c r="D469" s="181">
        <f t="shared" si="56"/>
        <v>2.815522351473013E-3</v>
      </c>
      <c r="E469" s="66">
        <v>160</v>
      </c>
      <c r="F469" s="66">
        <v>181</v>
      </c>
      <c r="H469" s="28" t="s">
        <v>251</v>
      </c>
      <c r="I469" s="49">
        <f t="shared" si="61"/>
        <v>14.798911699233244</v>
      </c>
      <c r="J469" s="149">
        <f>1/((182/(ConditieGetal!$B$2*(E469/(I469*ConditieGetal!$B$2))))*24)*10</f>
        <v>2.47518448481144E-2</v>
      </c>
      <c r="K469" s="149">
        <f t="shared" si="58"/>
        <v>5.4619406493905696E-2</v>
      </c>
    </row>
    <row r="470" spans="1:11" ht="13.5" customHeight="1">
      <c r="A470" s="395">
        <v>38011</v>
      </c>
      <c r="B470" s="177">
        <v>20.54</v>
      </c>
      <c r="C470" s="361">
        <v>6.21875E-2</v>
      </c>
      <c r="D470" s="181">
        <f t="shared" si="56"/>
        <v>3.0276290165530675E-3</v>
      </c>
      <c r="E470" s="66">
        <v>147</v>
      </c>
      <c r="F470" s="66">
        <v>162</v>
      </c>
      <c r="I470" s="49">
        <f t="shared" si="61"/>
        <v>13.76214405360134</v>
      </c>
      <c r="J470" s="149">
        <f>1/((182/(ConditieGetal!$B$2*(E470/(I470*ConditieGetal!$B$2))))*24)*10</f>
        <v>2.4453926672159385E-2</v>
      </c>
      <c r="K470" s="149">
        <f t="shared" si="58"/>
        <v>5.3961996347136394E-2</v>
      </c>
    </row>
    <row r="471" spans="1:11" ht="13.5" customHeight="1">
      <c r="A471" s="395">
        <v>38013</v>
      </c>
      <c r="B471" s="177">
        <v>16</v>
      </c>
      <c r="C471" s="361">
        <v>4.4201388888888887E-2</v>
      </c>
      <c r="D471" s="181">
        <f t="shared" si="56"/>
        <v>2.7625868055555555E-3</v>
      </c>
      <c r="E471" s="66">
        <v>158</v>
      </c>
      <c r="F471" s="66">
        <v>180</v>
      </c>
      <c r="I471" s="49">
        <f t="shared" si="61"/>
        <v>15.082482325216025</v>
      </c>
      <c r="J471" s="149">
        <f>1/((182/(ConditieGetal!$B$2*(E471/(I471*ConditieGetal!$B$2))))*24)*10</f>
        <v>2.3982896443833949E-2</v>
      </c>
      <c r="K471" s="149">
        <f t="shared" si="58"/>
        <v>5.2922583258144598E-2</v>
      </c>
    </row>
    <row r="472" spans="1:11" ht="13.5" customHeight="1">
      <c r="A472" s="395">
        <v>38014</v>
      </c>
      <c r="B472" s="177">
        <v>16.62</v>
      </c>
      <c r="C472" s="361">
        <v>4.7303240740740743E-2</v>
      </c>
      <c r="D472" s="181">
        <f t="shared" si="56"/>
        <v>2.8461637028123188E-3</v>
      </c>
      <c r="E472" s="66">
        <v>152</v>
      </c>
      <c r="F472" s="66">
        <v>165</v>
      </c>
      <c r="I472" s="49">
        <f t="shared" si="61"/>
        <v>14.639588940543186</v>
      </c>
      <c r="J472" s="149">
        <f>1/((182/(ConditieGetal!$B$2*(E472/(I472*ConditieGetal!$B$2))))*24)*10</f>
        <v>2.3770158397113869E-2</v>
      </c>
      <c r="K472" s="149">
        <f t="shared" si="58"/>
        <v>5.245313841789833E-2</v>
      </c>
    </row>
    <row r="473" spans="1:11" ht="13.5" customHeight="1">
      <c r="A473" s="395">
        <v>38015</v>
      </c>
      <c r="B473" s="177">
        <v>12</v>
      </c>
      <c r="C473" s="361">
        <v>3.0752314814814816E-2</v>
      </c>
      <c r="D473" s="181">
        <f t="shared" si="56"/>
        <v>2.562692901234568E-3</v>
      </c>
      <c r="E473" s="66">
        <v>163</v>
      </c>
      <c r="F473" s="66">
        <v>190</v>
      </c>
      <c r="I473" s="49">
        <f>IF(D473&gt;0,(1/(D473*24)))</f>
        <v>16.258938652615733</v>
      </c>
      <c r="J473" s="149">
        <f>1/((182/(ConditieGetal!$B$2*(E473/(I473*ConditieGetal!$B$2))))*24)*10</f>
        <v>2.2951590269298598E-2</v>
      </c>
      <c r="K473" s="149">
        <f t="shared" si="58"/>
        <v>5.0646820319572676E-2</v>
      </c>
    </row>
    <row r="474" spans="1:11" ht="13.5" customHeight="1">
      <c r="A474" s="395">
        <v>38016</v>
      </c>
      <c r="B474" s="177">
        <v>16.62</v>
      </c>
      <c r="C474" s="361">
        <v>5.1898148148148145E-2</v>
      </c>
      <c r="D474" s="181">
        <f t="shared" si="56"/>
        <v>3.1226322592146898E-3</v>
      </c>
      <c r="E474" s="66">
        <v>143</v>
      </c>
      <c r="F474" s="66">
        <v>155</v>
      </c>
      <c r="I474" s="49">
        <f>IF(D474&gt;0,(1/(D474*24)))</f>
        <v>13.343443354148082</v>
      </c>
      <c r="J474" s="149">
        <f>1/((182/(ConditieGetal!$B$2*(E474/(I474*ConditieGetal!$B$2))))*24)*10</f>
        <v>2.4534967750972563E-2</v>
      </c>
      <c r="K474" s="149">
        <f t="shared" si="58"/>
        <v>5.4140828092954271E-2</v>
      </c>
    </row>
    <row r="475" spans="1:11" ht="13.5" customHeight="1">
      <c r="A475" s="395">
        <v>38018</v>
      </c>
      <c r="B475" s="177">
        <v>20.54</v>
      </c>
      <c r="C475" s="361">
        <v>5.9108796296296291E-2</v>
      </c>
      <c r="D475" s="181">
        <f t="shared" si="56"/>
        <v>2.8777408128673951E-3</v>
      </c>
      <c r="E475" s="66">
        <v>153</v>
      </c>
      <c r="F475" s="66">
        <v>173</v>
      </c>
      <c r="I475" s="49">
        <f>IF(D475&gt;0,(1/(D475*24)))</f>
        <v>14.478950460152731</v>
      </c>
      <c r="J475" s="149">
        <f>1/((182/(ConditieGetal!$B$2*(E475/(I475*ConditieGetal!$B$2))))*24)*10</f>
        <v>2.4191996943335788E-2</v>
      </c>
      <c r="K475" s="149">
        <f t="shared" si="58"/>
        <v>5.3384001194886385E-2</v>
      </c>
    </row>
    <row r="476" spans="1:11" ht="13.5" customHeight="1">
      <c r="A476" s="395">
        <v>38019</v>
      </c>
      <c r="B476" s="177">
        <v>12.7</v>
      </c>
      <c r="C476" s="361">
        <v>3.607847222222222E-2</v>
      </c>
      <c r="D476" s="181">
        <f t="shared" si="56"/>
        <v>2.8408245844269465E-3</v>
      </c>
      <c r="E476" s="66">
        <v>150</v>
      </c>
      <c r="F476" s="66">
        <v>179</v>
      </c>
      <c r="I476" s="49">
        <f>IF(D476&gt;0,(1/(D476*24)))</f>
        <v>14.667102958443209</v>
      </c>
      <c r="J476" s="149">
        <f>1/((182/(ConditieGetal!$B$2*(E476/(I476*ConditieGetal!$B$2))))*24)*10</f>
        <v>2.3413389432090214E-2</v>
      </c>
      <c r="K476" s="149">
        <f>J476*POWER(21.1/10,1.06)</f>
        <v>5.1665863398819435E-2</v>
      </c>
    </row>
    <row r="477" spans="1:11" ht="13.5" customHeight="1">
      <c r="A477" s="395">
        <v>38020</v>
      </c>
      <c r="B477" s="177">
        <f>(5*300+5*250+5*200)/1000</f>
        <v>3.75</v>
      </c>
      <c r="D477" s="181">
        <f t="shared" si="56"/>
        <v>0</v>
      </c>
      <c r="H477" s="28" t="s">
        <v>258</v>
      </c>
    </row>
    <row r="478" spans="1:11" ht="13.5" customHeight="1">
      <c r="A478" s="395">
        <v>38021</v>
      </c>
      <c r="B478" s="177">
        <v>6.35</v>
      </c>
      <c r="C478" s="361">
        <v>1.849189814814815E-2</v>
      </c>
      <c r="D478" s="181">
        <f t="shared" si="56"/>
        <v>2.9121099445902601E-3</v>
      </c>
      <c r="E478" s="66">
        <v>149</v>
      </c>
      <c r="F478" s="66">
        <v>168</v>
      </c>
      <c r="I478" s="49">
        <f>IF(D478&gt;0,(1/(D478*24)))</f>
        <v>14.308067847530822</v>
      </c>
      <c r="J478" s="149">
        <f>1/((182/(ConditieGetal!$B$2*(E478/(I478*ConditieGetal!$B$2))))*24)*10</f>
        <v>2.3840900095821363E-2</v>
      </c>
      <c r="K478" s="149">
        <f>J478*POWER(21.1/10,1.06)</f>
        <v>5.2609242725334161E-2</v>
      </c>
    </row>
    <row r="479" spans="1:11" ht="13.5" customHeight="1">
      <c r="A479" s="395">
        <v>38022</v>
      </c>
      <c r="B479" s="177">
        <v>8</v>
      </c>
      <c r="C479" s="361">
        <v>2.1068287037037035E-2</v>
      </c>
      <c r="D479" s="181">
        <f t="shared" si="56"/>
        <v>2.6335358796296293E-3</v>
      </c>
      <c r="E479" s="66">
        <v>164</v>
      </c>
      <c r="F479" s="66">
        <v>176</v>
      </c>
      <c r="I479" s="49">
        <f>IF(D479&gt;0,(1/(D479*24)))</f>
        <v>15.821567873427458</v>
      </c>
      <c r="J479" s="149">
        <f>1/((182/(ConditieGetal!$B$2*(E479/(I479*ConditieGetal!$B$2))))*24)*10</f>
        <v>2.3730762871387871E-2</v>
      </c>
      <c r="K479" s="149">
        <f>J479*POWER(21.1/10,1.06)</f>
        <v>5.2366205090428261E-2</v>
      </c>
    </row>
    <row r="480" spans="1:11" ht="13.5" customHeight="1">
      <c r="A480" s="395">
        <v>38024</v>
      </c>
      <c r="B480" s="177">
        <v>8</v>
      </c>
      <c r="C480" s="361">
        <v>2.5008101851851847E-2</v>
      </c>
      <c r="D480" s="181">
        <f t="shared" si="56"/>
        <v>3.1260127314814809E-3</v>
      </c>
      <c r="E480" s="66">
        <v>143</v>
      </c>
      <c r="F480" s="66">
        <v>159</v>
      </c>
      <c r="I480" s="49">
        <f>IF(D480&gt;0,(1/(D480*24)))</f>
        <v>13.329013745545426</v>
      </c>
      <c r="J480" s="149">
        <f>1/((182/(ConditieGetal!$B$2*(E480/(I480*ConditieGetal!$B$2))))*24)*10</f>
        <v>2.4561528604497354E-2</v>
      </c>
      <c r="K480" s="149">
        <f>J480*POWER(21.1/10,1.06)</f>
        <v>5.4199439403117125E-2</v>
      </c>
    </row>
    <row r="481" spans="1:11" ht="13.5" customHeight="1">
      <c r="A481" s="395">
        <v>38025</v>
      </c>
      <c r="B481" s="177">
        <v>9.32</v>
      </c>
      <c r="C481" s="361">
        <v>2.3021990740740739E-2</v>
      </c>
      <c r="D481" s="181">
        <f t="shared" ref="D481:D546" si="62">IF(B481&gt;0,C481/B481,"")</f>
        <v>2.4701706803369893E-3</v>
      </c>
      <c r="E481" s="66">
        <v>183</v>
      </c>
      <c r="F481" s="66">
        <v>188</v>
      </c>
      <c r="H481" s="28" t="s">
        <v>259</v>
      </c>
    </row>
    <row r="482" spans="1:11" ht="13.5" customHeight="1">
      <c r="A482" s="395">
        <v>38027</v>
      </c>
      <c r="B482" s="177">
        <v>12</v>
      </c>
      <c r="C482" s="361">
        <v>3.0281249999999996E-2</v>
      </c>
      <c r="D482" s="181">
        <f t="shared" si="62"/>
        <v>2.5234374999999996E-3</v>
      </c>
      <c r="E482" s="66">
        <v>168</v>
      </c>
      <c r="F482" s="66">
        <v>182</v>
      </c>
      <c r="I482" s="49">
        <f t="shared" ref="I482:I487" si="63">IF(D482&gt;0,(1/(D482*24)))</f>
        <v>16.511867905056761</v>
      </c>
      <c r="J482" s="149">
        <f>1/((182/(ConditieGetal!$B$2*(E482/(I482*ConditieGetal!$B$2))))*24)*10</f>
        <v>2.3293269230769232E-2</v>
      </c>
      <c r="K482" s="149">
        <f t="shared" ref="K482:K488" si="64">J482*POWER(21.1/10,1.06)</f>
        <v>5.1400796526255378E-2</v>
      </c>
    </row>
    <row r="483" spans="1:11" ht="13.5" customHeight="1">
      <c r="A483" s="395">
        <v>38028.004967476852</v>
      </c>
      <c r="B483" s="177">
        <v>8</v>
      </c>
      <c r="C483" s="361">
        <v>2.7083333333333334E-2</v>
      </c>
      <c r="D483" s="181">
        <f t="shared" si="62"/>
        <v>3.3854166666666668E-3</v>
      </c>
      <c r="E483" s="66">
        <v>142</v>
      </c>
      <c r="F483" s="66">
        <v>158</v>
      </c>
      <c r="I483" s="49">
        <f t="shared" si="63"/>
        <v>12.307692307692307</v>
      </c>
      <c r="J483" s="149">
        <f>1/((182/(ConditieGetal!$B$2*(E483/(I483*ConditieGetal!$B$2))))*24)*10</f>
        <v>2.6413690476190479E-2</v>
      </c>
      <c r="K483" s="149">
        <f t="shared" si="64"/>
        <v>5.8286568374040143E-2</v>
      </c>
    </row>
    <row r="484" spans="1:11" ht="13.5" customHeight="1">
      <c r="A484" s="395">
        <v>38028.855555555558</v>
      </c>
      <c r="B484" s="177">
        <v>16.62</v>
      </c>
      <c r="C484" s="361">
        <v>5.1631944444444446E-2</v>
      </c>
      <c r="D484" s="181">
        <f t="shared" si="62"/>
        <v>3.1066151891964164E-3</v>
      </c>
      <c r="E484" s="66">
        <v>143</v>
      </c>
      <c r="F484" s="66">
        <v>151</v>
      </c>
      <c r="I484" s="49">
        <f t="shared" si="63"/>
        <v>13.412239408204439</v>
      </c>
      <c r="J484" s="149">
        <f>1/((182/(ConditieGetal!$B$2*(E484/(I484*ConditieGetal!$B$2))))*24)*10</f>
        <v>2.4409119343686128E-2</v>
      </c>
      <c r="K484" s="149">
        <f t="shared" si="64"/>
        <v>5.3863120901576494E-2</v>
      </c>
    </row>
    <row r="485" spans="1:11" ht="13.5" customHeight="1">
      <c r="A485" s="395">
        <v>38029</v>
      </c>
      <c r="B485" s="177">
        <v>8</v>
      </c>
      <c r="C485" s="361">
        <v>2.0324074074074074E-2</v>
      </c>
      <c r="D485" s="181">
        <f t="shared" si="62"/>
        <v>2.5405092592592593E-3</v>
      </c>
      <c r="E485" s="66">
        <v>164</v>
      </c>
      <c r="F485" s="66">
        <v>190</v>
      </c>
      <c r="I485" s="49">
        <f t="shared" si="63"/>
        <v>16.400911161731209</v>
      </c>
      <c r="J485" s="149">
        <f>1/((182/(ConditieGetal!$B$2*(E485/(I485*ConditieGetal!$B$2))))*24)*10</f>
        <v>2.2892501017501017E-2</v>
      </c>
      <c r="K485" s="149">
        <f t="shared" si="64"/>
        <v>5.0516429236275355E-2</v>
      </c>
    </row>
    <row r="486" spans="1:11" ht="13.5" customHeight="1">
      <c r="A486" s="395">
        <v>38031</v>
      </c>
      <c r="B486" s="177">
        <v>24.66</v>
      </c>
      <c r="C486" s="361">
        <v>7.6365740740740748E-2</v>
      </c>
      <c r="D486" s="181">
        <f t="shared" si="62"/>
        <v>3.0967453666156022E-3</v>
      </c>
      <c r="E486" s="66">
        <v>146</v>
      </c>
      <c r="F486" s="66">
        <v>154</v>
      </c>
      <c r="I486" s="49">
        <f t="shared" si="63"/>
        <v>13.454986359502879</v>
      </c>
      <c r="J486" s="149">
        <f>1/((182/(ConditieGetal!$B$2*(E486/(I486*ConditieGetal!$B$2))))*24)*10</f>
        <v>2.4842023270652634E-2</v>
      </c>
      <c r="K486" s="149">
        <f t="shared" si="64"/>
        <v>5.4818401435406804E-2</v>
      </c>
    </row>
    <row r="487" spans="1:11" ht="13.5" customHeight="1">
      <c r="A487" s="395">
        <v>38033</v>
      </c>
      <c r="B487" s="177">
        <v>20.54</v>
      </c>
      <c r="C487" s="361">
        <v>5.6562500000000002E-2</v>
      </c>
      <c r="D487" s="181">
        <f t="shared" si="62"/>
        <v>2.7537731256085688E-3</v>
      </c>
      <c r="E487" s="66">
        <v>156</v>
      </c>
      <c r="F487" s="66">
        <v>165</v>
      </c>
      <c r="I487" s="49">
        <f t="shared" si="63"/>
        <v>15.130755064456723</v>
      </c>
      <c r="J487" s="149">
        <f>1/((182/(ConditieGetal!$B$2*(E487/(I487*ConditieGetal!$B$2))))*24)*10</f>
        <v>2.3603769648073442E-2</v>
      </c>
      <c r="K487" s="149">
        <f t="shared" si="64"/>
        <v>5.2085971656163237E-2</v>
      </c>
    </row>
    <row r="488" spans="1:11" ht="13.5" customHeight="1">
      <c r="A488" s="395">
        <v>38034</v>
      </c>
      <c r="B488" s="177">
        <v>6.35</v>
      </c>
      <c r="C488" s="361">
        <v>1.59375E-2</v>
      </c>
      <c r="D488" s="181">
        <f t="shared" si="62"/>
        <v>2.5098425196850398E-3</v>
      </c>
      <c r="E488" s="66">
        <v>165</v>
      </c>
      <c r="F488" s="66">
        <v>171</v>
      </c>
      <c r="I488" s="49">
        <f>IF(D488&gt;0,(1/(D488*24)))</f>
        <v>16.601307189542482</v>
      </c>
      <c r="J488" s="149">
        <f>1/((182/(ConditieGetal!$B$2*(E488/(I488*ConditieGetal!$B$2))))*24)*10</f>
        <v>2.2754066799342394E-2</v>
      </c>
      <c r="K488" s="149">
        <f t="shared" si="64"/>
        <v>5.0210949184963223E-2</v>
      </c>
    </row>
    <row r="489" spans="1:11" ht="13.5" customHeight="1">
      <c r="A489" s="395">
        <v>38036</v>
      </c>
      <c r="B489" s="177">
        <f>2*0.4+5*0.3+5*0.25+5*0.2</f>
        <v>4.55</v>
      </c>
      <c r="D489" s="181"/>
      <c r="H489" s="28" t="s">
        <v>260</v>
      </c>
    </row>
    <row r="490" spans="1:11" ht="13.5" customHeight="1">
      <c r="A490" s="395">
        <v>38037</v>
      </c>
      <c r="B490" s="177">
        <v>16.62</v>
      </c>
      <c r="C490" s="361">
        <v>4.8495370370370376E-2</v>
      </c>
      <c r="D490" s="181">
        <f t="shared" si="62"/>
        <v>2.9178923207202391E-3</v>
      </c>
      <c r="E490" s="66">
        <v>150</v>
      </c>
      <c r="F490" s="66">
        <v>179</v>
      </c>
      <c r="I490" s="49">
        <f>IF(D490&gt;0,(1/(D490*24)))</f>
        <v>14.279713603818614</v>
      </c>
      <c r="J490" s="149">
        <f>1/((182/(ConditieGetal!$B$2*(E490/(I490*ConditieGetal!$B$2))))*24)*10</f>
        <v>2.4048563082859117E-2</v>
      </c>
      <c r="K490" s="149">
        <f>J490*POWER(21.1/10,1.06)</f>
        <v>5.3067488531752013E-2</v>
      </c>
    </row>
    <row r="491" spans="1:11" ht="13.5" customHeight="1">
      <c r="A491" s="395">
        <v>38038</v>
      </c>
      <c r="B491" s="177">
        <f>5*3.17</f>
        <v>15.85</v>
      </c>
      <c r="C491" s="361">
        <v>4.6851851851851846E-2</v>
      </c>
      <c r="D491" s="181">
        <f t="shared" si="62"/>
        <v>2.9559527982240914E-3</v>
      </c>
      <c r="E491" s="66">
        <v>153</v>
      </c>
      <c r="F491" s="66">
        <v>184</v>
      </c>
      <c r="H491" s="28" t="s">
        <v>262</v>
      </c>
      <c r="I491" s="49">
        <f>IF(D491&gt;0,(1/(D491*24)))</f>
        <v>14.095849802371545</v>
      </c>
      <c r="J491" s="149">
        <f>1/((182/(ConditieGetal!$B$2*(E491/(I491*ConditieGetal!$B$2))))*24)*10</f>
        <v>2.4849493303751975E-2</v>
      </c>
      <c r="K491" s="149">
        <f>J491*POWER(21.1/10,1.06)</f>
        <v>5.4834885409707691E-2</v>
      </c>
    </row>
    <row r="492" spans="1:11" ht="13.5" customHeight="1">
      <c r="A492" s="395">
        <v>38039</v>
      </c>
      <c r="B492" s="177">
        <v>24.66</v>
      </c>
      <c r="C492" s="361">
        <v>7.289351851851851E-2</v>
      </c>
      <c r="D492" s="181">
        <f t="shared" si="62"/>
        <v>2.9559415457631188E-3</v>
      </c>
      <c r="E492" s="66">
        <v>149</v>
      </c>
      <c r="F492" s="66">
        <v>157</v>
      </c>
      <c r="I492" s="49">
        <f>IF(D492&gt;0,(1/(D492*24)))</f>
        <v>14.095903461416324</v>
      </c>
      <c r="J492" s="149">
        <f>1/((182/(ConditieGetal!$B$2*(E492/(I492*ConditieGetal!$B$2))))*24)*10</f>
        <v>2.4199741226302453E-2</v>
      </c>
      <c r="K492" s="149">
        <f>J492*POWER(21.1/10,1.06)</f>
        <v>5.3401090350945486E-2</v>
      </c>
    </row>
    <row r="493" spans="1:11" ht="13.5" customHeight="1">
      <c r="D493" s="181" t="str">
        <f t="shared" si="62"/>
        <v/>
      </c>
    </row>
    <row r="494" spans="1:11" ht="13.5" customHeight="1">
      <c r="A494" s="395">
        <v>38047</v>
      </c>
      <c r="D494" s="181"/>
    </row>
    <row r="495" spans="1:11" ht="13.5" customHeight="1">
      <c r="A495" s="395">
        <v>38048</v>
      </c>
      <c r="B495" s="177">
        <v>4</v>
      </c>
      <c r="D495" s="181"/>
      <c r="H495" s="28" t="s">
        <v>240</v>
      </c>
    </row>
    <row r="496" spans="1:11" ht="13.5" customHeight="1">
      <c r="A496" s="395">
        <v>38049</v>
      </c>
      <c r="B496" s="177">
        <f>3*6.35</f>
        <v>19.049999999999997</v>
      </c>
      <c r="C496" s="361">
        <v>5.3645833333333337E-2</v>
      </c>
      <c r="D496" s="181">
        <f t="shared" si="62"/>
        <v>2.8160542432195982E-3</v>
      </c>
      <c r="E496" s="66">
        <v>155</v>
      </c>
      <c r="F496" s="66">
        <v>182</v>
      </c>
      <c r="I496" s="49">
        <f t="shared" ref="I496:I502" si="65">IF(D496&gt;0,(1/(D496*24)))</f>
        <v>14.796116504854368</v>
      </c>
      <c r="J496" s="149">
        <f>1/((182/(ConditieGetal!$B$2*(E496/(I496*ConditieGetal!$B$2))))*24)*10</f>
        <v>2.3982879543903164E-2</v>
      </c>
      <c r="K496" s="149">
        <f>J496*POWER(21.1/10,1.06)</f>
        <v>5.292254596540158E-2</v>
      </c>
    </row>
    <row r="497" spans="1:11" ht="13.5" customHeight="1">
      <c r="A497" s="395">
        <v>38050</v>
      </c>
      <c r="B497" s="177">
        <v>8</v>
      </c>
      <c r="C497" s="361">
        <v>2.2355324074074076E-2</v>
      </c>
      <c r="D497" s="181">
        <f t="shared" si="62"/>
        <v>2.7944155092592595E-3</v>
      </c>
      <c r="E497" s="66">
        <v>158</v>
      </c>
      <c r="F497" s="66">
        <v>167</v>
      </c>
      <c r="I497" s="49">
        <f t="shared" si="65"/>
        <v>14.910691172663732</v>
      </c>
      <c r="J497" s="149">
        <f>1/((182/(ConditieGetal!$B$2*(E497/(I497*ConditieGetal!$B$2))))*24)*10</f>
        <v>2.4259211563899069E-2</v>
      </c>
      <c r="K497" s="149">
        <f>J497*POWER(21.1/10,1.06)</f>
        <v>5.3532322368738568E-2</v>
      </c>
    </row>
    <row r="498" spans="1:11" ht="13.5" customHeight="1">
      <c r="A498" s="395">
        <v>38051</v>
      </c>
      <c r="B498" s="177">
        <v>12.7</v>
      </c>
      <c r="C498" s="361">
        <v>3.9597222222222221E-2</v>
      </c>
      <c r="D498" s="181">
        <f t="shared" si="62"/>
        <v>3.1178915135608048E-3</v>
      </c>
      <c r="E498" s="66">
        <v>145</v>
      </c>
      <c r="F498" s="66">
        <v>167</v>
      </c>
      <c r="I498" s="49">
        <f t="shared" si="65"/>
        <v>13.363732023851281</v>
      </c>
      <c r="J498" s="149">
        <f>1/((182/(ConditieGetal!$B$2*(E498/(I498*ConditieGetal!$B$2))))*24)*10</f>
        <v>2.4840344476171249E-2</v>
      </c>
      <c r="K498" s="149">
        <f>J498*POWER(21.1/10,1.06)</f>
        <v>5.4814696872827279E-2</v>
      </c>
    </row>
    <row r="499" spans="1:11" ht="13.5" customHeight="1">
      <c r="A499" s="395">
        <v>38052</v>
      </c>
      <c r="B499" s="177">
        <v>8.6999999999999993</v>
      </c>
      <c r="C499" s="361">
        <v>2.486574074074074E-2</v>
      </c>
      <c r="D499" s="181">
        <f t="shared" si="62"/>
        <v>2.8581311196253728E-3</v>
      </c>
      <c r="E499" s="66">
        <v>150</v>
      </c>
      <c r="F499" s="66">
        <v>165</v>
      </c>
      <c r="I499" s="49">
        <f t="shared" si="65"/>
        <v>14.578290821076147</v>
      </c>
      <c r="J499" s="149">
        <f>1/((182/(ConditieGetal!$B$2*(E499/(I499*ConditieGetal!$B$2))))*24)*10</f>
        <v>2.3556025711198133E-2</v>
      </c>
      <c r="K499" s="149">
        <f>J499*POWER(21.1/10,1.06)</f>
        <v>5.1980616054921637E-2</v>
      </c>
    </row>
    <row r="500" spans="1:11" ht="13.5" customHeight="1">
      <c r="A500" s="395">
        <v>38052</v>
      </c>
      <c r="B500" s="177">
        <v>3</v>
      </c>
      <c r="C500" s="361">
        <v>6.3749999999999996E-3</v>
      </c>
      <c r="D500" s="181">
        <f t="shared" si="62"/>
        <v>2.1249999999999997E-3</v>
      </c>
      <c r="E500" s="66">
        <v>178</v>
      </c>
      <c r="F500" s="66">
        <v>185</v>
      </c>
    </row>
    <row r="501" spans="1:11" ht="13.5" customHeight="1">
      <c r="A501" s="395">
        <v>38052</v>
      </c>
      <c r="B501" s="177">
        <v>8</v>
      </c>
      <c r="C501" s="361">
        <v>2.6508101851851849E-2</v>
      </c>
      <c r="D501" s="181">
        <f t="shared" si="62"/>
        <v>3.3135127314814811E-3</v>
      </c>
      <c r="E501" s="66">
        <v>143</v>
      </c>
      <c r="F501" s="66">
        <v>151</v>
      </c>
      <c r="I501" s="49">
        <f t="shared" si="65"/>
        <v>12.574771863947955</v>
      </c>
      <c r="J501" s="149">
        <f>1/((182/(ConditieGetal!$B$2*(E501/(I501*ConditieGetal!$B$2))))*24)*10</f>
        <v>2.603474289021164E-2</v>
      </c>
      <c r="K501" s="149">
        <f>J501*POWER(21.1/10,1.06)</f>
        <v>5.7450352230739646E-2</v>
      </c>
    </row>
    <row r="502" spans="1:11" ht="13.5" customHeight="1">
      <c r="A502" s="395">
        <v>38053</v>
      </c>
      <c r="B502" s="177">
        <v>24.66</v>
      </c>
      <c r="C502" s="361">
        <v>7.3356481481481481E-2</v>
      </c>
      <c r="D502" s="181">
        <f t="shared" si="62"/>
        <v>2.9747153885434502E-3</v>
      </c>
      <c r="E502" s="66">
        <v>149</v>
      </c>
      <c r="F502" s="66">
        <v>154</v>
      </c>
      <c r="I502" s="49">
        <f t="shared" si="65"/>
        <v>14.00694225307668</v>
      </c>
      <c r="J502" s="149">
        <f>1/((182/(ConditieGetal!$B$2*(E502/(I502*ConditieGetal!$B$2))))*24)*10</f>
        <v>2.4353439169943637E-2</v>
      </c>
      <c r="K502" s="149">
        <f>J502*POWER(21.1/10,1.06)</f>
        <v>5.3740252563399912E-2</v>
      </c>
    </row>
    <row r="503" spans="1:11" ht="13.5" customHeight="1">
      <c r="A503" s="395">
        <v>38054</v>
      </c>
      <c r="B503" s="288" t="s">
        <v>86</v>
      </c>
      <c r="C503" s="366" t="s">
        <v>86</v>
      </c>
      <c r="D503" s="178" t="s">
        <v>86</v>
      </c>
      <c r="E503" s="67" t="s">
        <v>86</v>
      </c>
      <c r="F503" s="67" t="s">
        <v>86</v>
      </c>
      <c r="G503" s="67"/>
    </row>
    <row r="504" spans="1:11" ht="13.5" customHeight="1">
      <c r="A504" s="395">
        <v>38055</v>
      </c>
      <c r="B504" s="177">
        <v>8</v>
      </c>
      <c r="C504" s="361">
        <v>2.2221064814814815E-2</v>
      </c>
      <c r="D504" s="181">
        <f t="shared" si="62"/>
        <v>2.7776331018518519E-3</v>
      </c>
      <c r="E504" s="66">
        <v>156</v>
      </c>
      <c r="F504" s="66">
        <v>164</v>
      </c>
      <c r="I504" s="49">
        <f>IF(D504&gt;0,(1/(D504*24)))</f>
        <v>15.000781290692222</v>
      </c>
      <c r="J504" s="149">
        <f>1/((182/(ConditieGetal!$B$2*(E504/(I504*ConditieGetal!$B$2))))*24)*10</f>
        <v>2.3808283730158732E-2</v>
      </c>
      <c r="K504" s="149">
        <f>J504*POWER(21.1/10,1.06)</f>
        <v>5.2537268836300312E-2</v>
      </c>
    </row>
    <row r="505" spans="1:11" ht="13.5" customHeight="1">
      <c r="A505" s="395">
        <v>38056</v>
      </c>
      <c r="B505" s="288" t="s">
        <v>86</v>
      </c>
      <c r="C505" s="366" t="s">
        <v>86</v>
      </c>
      <c r="D505" s="178" t="s">
        <v>86</v>
      </c>
      <c r="E505" s="67" t="s">
        <v>86</v>
      </c>
      <c r="F505" s="67" t="s">
        <v>86</v>
      </c>
      <c r="G505" s="67"/>
    </row>
    <row r="506" spans="1:11" ht="13.5" customHeight="1">
      <c r="A506" s="395">
        <v>38057</v>
      </c>
      <c r="B506" s="177">
        <v>8</v>
      </c>
      <c r="C506" s="361">
        <f>B506*D506</f>
        <v>2.1296296296296299E-2</v>
      </c>
      <c r="D506" s="181">
        <v>2.6620370370370374E-3</v>
      </c>
    </row>
    <row r="507" spans="1:11" ht="13.5" customHeight="1">
      <c r="A507" s="395">
        <v>38058</v>
      </c>
      <c r="B507" s="177">
        <v>12.7</v>
      </c>
      <c r="C507" s="361">
        <v>3.7655092592592594E-2</v>
      </c>
      <c r="D507" s="181">
        <f t="shared" si="62"/>
        <v>2.9649679206765825E-3</v>
      </c>
      <c r="E507" s="66">
        <v>150</v>
      </c>
      <c r="F507" s="66">
        <v>183</v>
      </c>
      <c r="I507" s="49">
        <f>IF(D507&gt;0,(1/(D507*24)))</f>
        <v>14.052990717403331</v>
      </c>
      <c r="J507" s="149">
        <f>1/((182/(ConditieGetal!$B$2*(E507/(I507*ConditieGetal!$B$2))))*24)*10</f>
        <v>2.4436548796785022E-2</v>
      </c>
      <c r="K507" s="149">
        <f>J507*POWER(21.1/10,1.06)</f>
        <v>5.3923648933240698E-2</v>
      </c>
    </row>
    <row r="508" spans="1:11" ht="13.5" customHeight="1">
      <c r="A508" s="395">
        <v>38059</v>
      </c>
      <c r="B508" s="177">
        <v>10.26</v>
      </c>
      <c r="C508" s="361">
        <v>3.15625E-2</v>
      </c>
      <c r="D508" s="181">
        <f t="shared" si="62"/>
        <v>3.0762670565302147E-3</v>
      </c>
      <c r="E508" s="66">
        <v>145</v>
      </c>
      <c r="F508" s="66">
        <v>157</v>
      </c>
      <c r="I508" s="49">
        <f>IF(D508&gt;0,(1/(D508*24)))</f>
        <v>13.544554455445544</v>
      </c>
      <c r="J508" s="149">
        <f>1/((182/(ConditieGetal!$B$2*(E508/(I508*ConditieGetal!$B$2))))*24)*10</f>
        <v>2.4508721054773693E-2</v>
      </c>
      <c r="K508" s="149">
        <f>J508*POWER(21.1/10,1.06)</f>
        <v>5.4082910027549252E-2</v>
      </c>
    </row>
    <row r="509" spans="1:11" ht="13.5" customHeight="1">
      <c r="A509" s="395">
        <v>38060</v>
      </c>
      <c r="B509" s="177">
        <v>6</v>
      </c>
      <c r="D509" s="181"/>
      <c r="F509" s="66">
        <v>190</v>
      </c>
      <c r="H509" s="28" t="s">
        <v>261</v>
      </c>
    </row>
    <row r="510" spans="1:11" ht="13.5" customHeight="1">
      <c r="A510" s="395">
        <v>38061</v>
      </c>
      <c r="B510" s="177">
        <v>20.54</v>
      </c>
      <c r="C510" s="361">
        <v>6.5000000000000002E-2</v>
      </c>
      <c r="D510" s="181">
        <f t="shared" si="62"/>
        <v>3.1645569620253168E-3</v>
      </c>
      <c r="E510" s="66">
        <v>143</v>
      </c>
      <c r="F510" s="66">
        <v>150</v>
      </c>
      <c r="I510" s="49">
        <f t="shared" ref="I510:I515" si="66">IF(D510&gt;0,(1/(D510*24)))</f>
        <v>13.166666666666664</v>
      </c>
      <c r="J510" s="149">
        <f>1/((182/(ConditieGetal!$B$2*(E510/(I510*ConditieGetal!$B$2))))*24)*10</f>
        <v>2.4864376130198922E-2</v>
      </c>
      <c r="K510" s="149">
        <f t="shared" ref="K510:K515" si="67">J510*POWER(21.1/10,1.06)</f>
        <v>5.486772704848137E-2</v>
      </c>
    </row>
    <row r="511" spans="1:11" ht="13.5" customHeight="1">
      <c r="A511" s="395">
        <v>38062</v>
      </c>
      <c r="B511" s="177">
        <v>8</v>
      </c>
      <c r="C511" s="361">
        <v>2.0975694444444443E-2</v>
      </c>
      <c r="D511" s="181">
        <f t="shared" si="62"/>
        <v>2.6219618055555553E-3</v>
      </c>
      <c r="E511" s="66">
        <v>162</v>
      </c>
      <c r="F511" s="66">
        <v>173</v>
      </c>
      <c r="I511" s="49">
        <f t="shared" si="66"/>
        <v>15.891408707167688</v>
      </c>
      <c r="J511" s="149">
        <f>1/((182/(ConditieGetal!$B$2*(E511/(I511*ConditieGetal!$B$2))))*24)*10</f>
        <v>2.3338341346153847E-2</v>
      </c>
      <c r="K511" s="149">
        <f t="shared" si="67"/>
        <v>5.150025627185572E-2</v>
      </c>
    </row>
    <row r="512" spans="1:11" ht="13.5" customHeight="1">
      <c r="A512" s="395">
        <v>38063</v>
      </c>
      <c r="B512" s="177">
        <v>24.66</v>
      </c>
      <c r="C512" s="361">
        <v>7.7511574074074066E-2</v>
      </c>
      <c r="D512" s="181">
        <f t="shared" si="62"/>
        <v>3.1432106274969208E-3</v>
      </c>
      <c r="E512" s="66">
        <v>142</v>
      </c>
      <c r="F512" s="66">
        <v>148</v>
      </c>
      <c r="I512" s="49">
        <f t="shared" si="66"/>
        <v>13.256084814095866</v>
      </c>
      <c r="J512" s="149">
        <f>1/((182/(ConditieGetal!$B$2*(E512/(I512*ConditieGetal!$B$2))))*24)*10</f>
        <v>2.4523951049701252E-2</v>
      </c>
      <c r="K512" s="149">
        <f t="shared" si="67"/>
        <v>5.4116517756142936E-2</v>
      </c>
    </row>
    <row r="513" spans="1:14" ht="13.5" customHeight="1">
      <c r="A513" s="395">
        <v>38064</v>
      </c>
      <c r="B513" s="177">
        <v>8</v>
      </c>
      <c r="C513" s="361">
        <v>2.0571759259259258E-2</v>
      </c>
      <c r="D513" s="181">
        <f t="shared" si="62"/>
        <v>2.5714699074074073E-3</v>
      </c>
      <c r="E513" s="66">
        <v>163</v>
      </c>
      <c r="F513" s="66">
        <v>170</v>
      </c>
      <c r="I513" s="49">
        <f t="shared" si="66"/>
        <v>16.203443231686734</v>
      </c>
      <c r="J513" s="149">
        <f>1/((182/(ConditieGetal!$B$2*(E513/(I513*ConditieGetal!$B$2))))*24)*10</f>
        <v>2.3030197522385019E-2</v>
      </c>
      <c r="K513" s="149">
        <f t="shared" si="67"/>
        <v>5.082028139029459E-2</v>
      </c>
    </row>
    <row r="514" spans="1:14" ht="13.5" customHeight="1">
      <c r="A514" s="395">
        <v>38065</v>
      </c>
      <c r="B514" s="177">
        <v>20.54</v>
      </c>
      <c r="C514" s="361">
        <v>5.9606481481481483E-2</v>
      </c>
      <c r="D514" s="181">
        <f t="shared" si="62"/>
        <v>2.9019708608316206E-3</v>
      </c>
      <c r="E514" s="66">
        <v>146</v>
      </c>
      <c r="F514" s="66">
        <v>155</v>
      </c>
      <c r="I514" s="49">
        <f t="shared" si="66"/>
        <v>14.358058252427185</v>
      </c>
      <c r="J514" s="149">
        <f>1/((182/(ConditieGetal!$B$2*(E514/(I514*ConditieGetal!$B$2))))*24)*10</f>
        <v>2.3279546466011897E-2</v>
      </c>
      <c r="K514" s="149">
        <f t="shared" si="67"/>
        <v>5.1370514772668907E-2</v>
      </c>
    </row>
    <row r="515" spans="1:14" ht="13.5" customHeight="1">
      <c r="A515" s="395">
        <v>38066</v>
      </c>
      <c r="B515" s="177">
        <v>12.7</v>
      </c>
      <c r="C515" s="361">
        <v>3.8305555555555551E-2</v>
      </c>
      <c r="D515" s="181">
        <f t="shared" si="62"/>
        <v>3.0161854768153977E-3</v>
      </c>
      <c r="E515" s="66">
        <v>152</v>
      </c>
      <c r="F515" s="66">
        <v>145</v>
      </c>
      <c r="I515" s="49">
        <f t="shared" si="66"/>
        <v>13.814358230601886</v>
      </c>
      <c r="J515" s="149">
        <f>1/((182/(ConditieGetal!$B$2*(E515/(I515*ConditieGetal!$B$2))))*24)*10</f>
        <v>2.5190120465711015E-2</v>
      </c>
      <c r="K515" s="149">
        <f t="shared" si="67"/>
        <v>5.5586540631210241E-2</v>
      </c>
    </row>
    <row r="516" spans="1:14" ht="13.5" customHeight="1">
      <c r="A516" s="395">
        <v>38067</v>
      </c>
      <c r="B516" s="288" t="s">
        <v>86</v>
      </c>
      <c r="C516" s="366" t="s">
        <v>86</v>
      </c>
      <c r="D516" s="178" t="s">
        <v>86</v>
      </c>
      <c r="E516" s="67" t="s">
        <v>86</v>
      </c>
      <c r="F516" s="67" t="s">
        <v>86</v>
      </c>
      <c r="G516" s="67"/>
      <c r="N516" s="427"/>
    </row>
    <row r="517" spans="1:14" ht="13.5" customHeight="1">
      <c r="A517" s="395">
        <v>38068</v>
      </c>
      <c r="B517" s="177">
        <v>20.54</v>
      </c>
      <c r="C517" s="361">
        <v>6.236111111111111E-2</v>
      </c>
      <c r="D517" s="181">
        <f>IF(B517&gt;0,C517/B517,"")</f>
        <v>3.0360813588661689E-3</v>
      </c>
      <c r="E517" s="66">
        <v>145</v>
      </c>
      <c r="F517" s="66">
        <v>166</v>
      </c>
      <c r="I517" s="49">
        <f>IF(D517&gt;0,(1/(D517*24)))</f>
        <v>13.723830734966592</v>
      </c>
      <c r="J517" s="149">
        <f>1/((182/(ConditieGetal!$B$2*(E517/(I517*ConditieGetal!$B$2))))*24)*10</f>
        <v>2.4188560276681023E-2</v>
      </c>
      <c r="K517" s="149">
        <f>J517*POWER(21.1/10,1.06)</f>
        <v>5.3376417570548382E-2</v>
      </c>
    </row>
    <row r="518" spans="1:14" ht="13.5" customHeight="1">
      <c r="A518" s="395">
        <v>38069</v>
      </c>
      <c r="B518" s="177">
        <v>5.5</v>
      </c>
      <c r="D518" s="181"/>
      <c r="F518" s="66">
        <v>187</v>
      </c>
      <c r="H518" s="28" t="s">
        <v>269</v>
      </c>
    </row>
    <row r="519" spans="1:14" ht="13.5" customHeight="1">
      <c r="A519" s="395">
        <v>38070</v>
      </c>
      <c r="B519" s="177">
        <v>16.62</v>
      </c>
      <c r="C519" s="361">
        <v>4.8310185185185185E-2</v>
      </c>
      <c r="D519" s="181">
        <f t="shared" si="62"/>
        <v>2.9067500111423093E-3</v>
      </c>
      <c r="E519" s="66">
        <v>146</v>
      </c>
      <c r="F519" s="66">
        <v>171</v>
      </c>
      <c r="I519" s="49">
        <f>IF(D519&gt;0,(1/(D519*24)))</f>
        <v>14.33445136559655</v>
      </c>
      <c r="J519" s="149">
        <f>1/((182/(ConditieGetal!$B$2*(E519/(I519*ConditieGetal!$B$2))))*24)*10</f>
        <v>2.3317884704767977E-2</v>
      </c>
      <c r="K519" s="149">
        <f>J519*POWER(21.1/10,1.06)</f>
        <v>5.1455115005893073E-2</v>
      </c>
    </row>
    <row r="520" spans="1:14" ht="13.5" customHeight="1">
      <c r="A520" s="395">
        <v>38071</v>
      </c>
      <c r="B520" s="177">
        <v>12</v>
      </c>
      <c r="C520" s="361">
        <v>3.1100694444444441E-2</v>
      </c>
      <c r="D520" s="181">
        <f t="shared" si="62"/>
        <v>2.5917245370370369E-3</v>
      </c>
      <c r="E520" s="66">
        <v>164</v>
      </c>
      <c r="F520" s="66">
        <v>177</v>
      </c>
      <c r="I520" s="49">
        <f>IF(D520&gt;0,(1/(D520*24)))</f>
        <v>16.076811432399239</v>
      </c>
      <c r="J520" s="149">
        <f>1/((182/(ConditieGetal!$B$2*(E520/(I520*ConditieGetal!$B$2))))*24)*10</f>
        <v>2.3354001322751318E-2</v>
      </c>
      <c r="K520" s="149">
        <f>J520*POWER(21.1/10,1.06)</f>
        <v>5.1534812832496384E-2</v>
      </c>
    </row>
    <row r="521" spans="1:14" ht="13.5" customHeight="1">
      <c r="A521" s="395">
        <v>38072</v>
      </c>
      <c r="B521" s="288" t="s">
        <v>86</v>
      </c>
      <c r="C521" s="366" t="s">
        <v>86</v>
      </c>
      <c r="D521" s="178" t="s">
        <v>86</v>
      </c>
      <c r="E521" s="67" t="s">
        <v>86</v>
      </c>
      <c r="F521" s="67" t="s">
        <v>86</v>
      </c>
      <c r="G521" s="67"/>
    </row>
    <row r="522" spans="1:14" ht="13.5" customHeight="1">
      <c r="A522" s="395">
        <v>38073</v>
      </c>
      <c r="B522" s="177">
        <v>10.26</v>
      </c>
      <c r="C522" s="361">
        <v>2.9427083333333336E-2</v>
      </c>
      <c r="D522" s="181">
        <f t="shared" si="62"/>
        <v>2.8681367771280055E-3</v>
      </c>
      <c r="E522" s="66">
        <v>151</v>
      </c>
      <c r="F522" s="66">
        <v>157</v>
      </c>
      <c r="I522" s="49">
        <f>IF(D522&gt;0,(1/(D522*24)))</f>
        <v>14.527433628318581</v>
      </c>
      <c r="J522" s="149">
        <f>1/((182/(ConditieGetal!$B$2*(E522/(I522*ConditieGetal!$B$2))))*24)*10</f>
        <v>2.379607985419389E-2</v>
      </c>
      <c r="K522" s="149">
        <f>J522*POWER(21.1/10,1.06)</f>
        <v>5.2510338784572244E-2</v>
      </c>
    </row>
    <row r="523" spans="1:14" ht="13.5" customHeight="1">
      <c r="A523" s="395">
        <v>38074</v>
      </c>
      <c r="B523" s="177">
        <v>21.1</v>
      </c>
      <c r="C523" s="361">
        <v>4.9560185185185186E-2</v>
      </c>
      <c r="D523" s="181">
        <f t="shared" si="62"/>
        <v>2.3488239424258382E-3</v>
      </c>
      <c r="E523" s="66">
        <v>176</v>
      </c>
      <c r="F523" s="66">
        <v>181</v>
      </c>
      <c r="H523" s="145" t="s">
        <v>264</v>
      </c>
      <c r="I523" s="49">
        <f>IF(D523&gt;0,(1/(D523*24)))</f>
        <v>17.73937412424101</v>
      </c>
      <c r="J523" s="149">
        <f>1/((182/(ConditieGetal!$B$2*(E523/(I523*ConditieGetal!$B$2))))*24)*10</f>
        <v>2.2713901860821287E-2</v>
      </c>
      <c r="K523" s="149">
        <f>J523*POWER(21.1/10,1.06)</f>
        <v>5.0122318009495341E-2</v>
      </c>
    </row>
    <row r="524" spans="1:14" ht="13.5" customHeight="1">
      <c r="A524" s="395">
        <v>38075</v>
      </c>
      <c r="B524" s="177">
        <v>20.54</v>
      </c>
      <c r="C524" s="361">
        <v>6.1261574074074072E-2</v>
      </c>
      <c r="D524" s="181">
        <f t="shared" si="62"/>
        <v>2.9825498575498577E-3</v>
      </c>
      <c r="E524" s="66">
        <v>146</v>
      </c>
      <c r="F524" s="66">
        <v>154</v>
      </c>
      <c r="I524" s="49">
        <f>IF(D524&gt;0,(1/(D524*24)))</f>
        <v>13.970149253731345</v>
      </c>
      <c r="J524" s="149">
        <f>1/((182/(ConditieGetal!$B$2*(E524/(I524*ConditieGetal!$B$2))))*24)*10</f>
        <v>2.3925949406718633E-2</v>
      </c>
      <c r="K524" s="149">
        <f>J524*POWER(21.1/10,1.06)</f>
        <v>5.2796919357618738E-2</v>
      </c>
    </row>
    <row r="525" spans="1:14" ht="13.5" customHeight="1">
      <c r="A525" s="395">
        <v>38076</v>
      </c>
      <c r="B525" s="177">
        <v>5</v>
      </c>
      <c r="D525" s="181"/>
      <c r="F525" s="66">
        <v>182</v>
      </c>
      <c r="H525" s="28" t="s">
        <v>269</v>
      </c>
    </row>
    <row r="526" spans="1:14" ht="13.5" customHeight="1">
      <c r="A526" s="395">
        <v>38077</v>
      </c>
      <c r="B526" s="177">
        <v>24.66</v>
      </c>
      <c r="C526" s="361">
        <v>7.1736111111111112E-2</v>
      </c>
      <c r="D526" s="181">
        <f t="shared" si="62"/>
        <v>2.9090069388122918E-3</v>
      </c>
      <c r="E526" s="66">
        <v>148</v>
      </c>
      <c r="F526" s="66">
        <v>169</v>
      </c>
      <c r="I526" s="49">
        <f>IF(D526&gt;0,(1/(D526*24)))</f>
        <v>14.323330106485963</v>
      </c>
      <c r="J526" s="149">
        <f>1/((182/(ConditieGetal!$B$2*(E526/(I526*ConditieGetal!$B$2))))*24)*10</f>
        <v>2.3655660821110945E-2</v>
      </c>
      <c r="K526" s="149">
        <f>J526*POWER(21.1/10,1.06)</f>
        <v>5.2200478881421514E-2</v>
      </c>
    </row>
    <row r="527" spans="1:14" ht="13.5" customHeight="1">
      <c r="A527" s="395">
        <v>38078</v>
      </c>
      <c r="B527" s="177">
        <v>16</v>
      </c>
      <c r="C527" s="361">
        <v>4.6458333333333331E-2</v>
      </c>
      <c r="D527" s="181">
        <f t="shared" si="62"/>
        <v>2.9036458333333332E-3</v>
      </c>
      <c r="E527" s="66">
        <v>152</v>
      </c>
      <c r="F527" s="66">
        <v>166</v>
      </c>
      <c r="I527" s="49">
        <f>IF(D527&gt;0,(1/(D527*24)))</f>
        <v>14.349775784753364</v>
      </c>
      <c r="J527" s="149">
        <f>1/((182/(ConditieGetal!$B$2*(E527/(I527*ConditieGetal!$B$2))))*24)*10</f>
        <v>2.4250228937728935E-2</v>
      </c>
      <c r="K527" s="149">
        <f>J527*POWER(21.1/10,1.06)</f>
        <v>5.3512500585223846E-2</v>
      </c>
    </row>
    <row r="528" spans="1:14" ht="13.5" customHeight="1">
      <c r="A528" s="395">
        <v>38079</v>
      </c>
      <c r="B528" s="288" t="s">
        <v>86</v>
      </c>
      <c r="C528" s="366" t="s">
        <v>86</v>
      </c>
      <c r="D528" s="185" t="s">
        <v>86</v>
      </c>
      <c r="E528" s="67" t="s">
        <v>86</v>
      </c>
      <c r="F528" s="67" t="s">
        <v>86</v>
      </c>
      <c r="G528" s="67"/>
    </row>
    <row r="529" spans="1:11" ht="13.5" customHeight="1">
      <c r="A529" s="395">
        <v>38080</v>
      </c>
      <c r="B529" s="177">
        <v>20.54</v>
      </c>
      <c r="C529" s="361">
        <v>5.5925925925925928E-2</v>
      </c>
      <c r="D529" s="181">
        <f>IF(B529&gt;0,C529/B529,"")</f>
        <v>2.7227812037938621E-3</v>
      </c>
      <c r="E529" s="66">
        <v>157</v>
      </c>
      <c r="F529" s="66">
        <v>175</v>
      </c>
      <c r="I529" s="49">
        <f>IF(D529&gt;0,(1/(D529*24)))</f>
        <v>15.302980132450331</v>
      </c>
      <c r="J529" s="149">
        <f>1/((182/(ConditieGetal!$B$2*(E529/(I529*ConditieGetal!$B$2))))*24)*10</f>
        <v>2.3487727966793204E-2</v>
      </c>
      <c r="K529" s="149">
        <f>J529*POWER(21.1/10,1.06)</f>
        <v>5.1829904773109697E-2</v>
      </c>
    </row>
    <row r="530" spans="1:11" ht="13.5" customHeight="1">
      <c r="A530" s="395">
        <v>38081</v>
      </c>
      <c r="B530" s="177">
        <v>24.66</v>
      </c>
      <c r="C530" s="361">
        <v>7.5231481481481483E-2</v>
      </c>
      <c r="D530" s="181">
        <f t="shared" si="62"/>
        <v>3.0507494518037907E-3</v>
      </c>
      <c r="E530" s="66">
        <v>143</v>
      </c>
      <c r="F530" s="66">
        <v>162</v>
      </c>
      <c r="I530" s="49">
        <f>IF(D530&gt;0,(1/(D530*24)))</f>
        <v>13.657846153846155</v>
      </c>
      <c r="J530" s="149">
        <f>1/((182/(ConditieGetal!$B$2*(E530/(I530*ConditieGetal!$B$2))))*24)*10</f>
        <v>2.3970174264172639E-2</v>
      </c>
      <c r="K530" s="149">
        <f>J530*POWER(21.1/10,1.06)</f>
        <v>5.2894509475900346E-2</v>
      </c>
    </row>
    <row r="531" spans="1:11" ht="13.5" customHeight="1">
      <c r="A531" s="395">
        <v>38082</v>
      </c>
      <c r="B531" s="177">
        <v>16.62</v>
      </c>
      <c r="C531" s="361">
        <v>4.5254629629629624E-2</v>
      </c>
      <c r="D531" s="181">
        <f t="shared" si="62"/>
        <v>2.7229019031064752E-3</v>
      </c>
      <c r="E531" s="66">
        <v>153</v>
      </c>
      <c r="F531" s="66">
        <v>159</v>
      </c>
      <c r="I531" s="49">
        <f>IF(D531&gt;0,(1/(D531*24)))</f>
        <v>15.302301790281334</v>
      </c>
      <c r="J531" s="149">
        <f>1/((182/(ConditieGetal!$B$2*(E531/(I531*ConditieGetal!$B$2))))*24)*10</f>
        <v>2.2890329185455537E-2</v>
      </c>
      <c r="K531" s="149">
        <f>J531*POWER(21.1/10,1.06)</f>
        <v>5.0511636697454253E-2</v>
      </c>
    </row>
    <row r="532" spans="1:11" ht="13.5" customHeight="1">
      <c r="A532" s="395">
        <v>38083</v>
      </c>
      <c r="B532" s="177">
        <v>8</v>
      </c>
      <c r="D532" s="181"/>
      <c r="H532" s="28" t="s">
        <v>269</v>
      </c>
    </row>
    <row r="533" spans="1:11" ht="13.5" customHeight="1">
      <c r="A533" s="395">
        <v>38084</v>
      </c>
      <c r="B533" s="177">
        <v>19.05</v>
      </c>
      <c r="C533" s="361">
        <v>5.3379629629629631E-2</v>
      </c>
      <c r="D533" s="181">
        <f t="shared" si="62"/>
        <v>2.8020802955186159E-3</v>
      </c>
      <c r="E533" s="66">
        <v>148</v>
      </c>
      <c r="F533" s="66">
        <v>171</v>
      </c>
      <c r="I533" s="49">
        <f>IF(D533&gt;0,(1/(D533*24)))</f>
        <v>14.869904596704247</v>
      </c>
      <c r="J533" s="149">
        <f>1/((182/(ConditieGetal!$B$2*(E533/(I533*ConditieGetal!$B$2))))*24)*10</f>
        <v>2.2786147458063472E-2</v>
      </c>
      <c r="K533" s="149">
        <f>J533*POWER(21.1/10,1.06)</f>
        <v>5.0281740940084148E-2</v>
      </c>
    </row>
    <row r="534" spans="1:11" ht="13.5" customHeight="1">
      <c r="A534" s="395">
        <v>38085</v>
      </c>
      <c r="B534" s="177">
        <v>15</v>
      </c>
      <c r="C534" s="361">
        <v>3.8614583333333334E-2</v>
      </c>
      <c r="D534" s="181">
        <f t="shared" si="62"/>
        <v>2.5743055555555558E-3</v>
      </c>
      <c r="E534" s="66">
        <v>160</v>
      </c>
      <c r="F534" s="66">
        <v>175</v>
      </c>
      <c r="I534" s="49">
        <f>IF(D534&gt;0,(1/(D534*24)))</f>
        <v>16.185594820609655</v>
      </c>
      <c r="J534" s="149">
        <f>1/((182/(ConditieGetal!$B$2*(E534/(I534*ConditieGetal!$B$2))))*24)*10</f>
        <v>2.2631257631257631E-2</v>
      </c>
      <c r="K534" s="149">
        <f>J534*POWER(21.1/10,1.06)</f>
        <v>4.9939948622622875E-2</v>
      </c>
    </row>
    <row r="535" spans="1:11" ht="13.5" customHeight="1">
      <c r="A535" s="395">
        <v>38086</v>
      </c>
      <c r="B535" s="288" t="s">
        <v>86</v>
      </c>
      <c r="C535" s="366" t="s">
        <v>86</v>
      </c>
      <c r="D535" s="178" t="s">
        <v>86</v>
      </c>
      <c r="E535" s="67" t="s">
        <v>86</v>
      </c>
      <c r="F535" s="67" t="s">
        <v>86</v>
      </c>
      <c r="G535" s="67"/>
    </row>
    <row r="536" spans="1:11" ht="13.5" customHeight="1">
      <c r="A536" s="395">
        <v>38087</v>
      </c>
      <c r="B536" s="177">
        <v>24.66</v>
      </c>
      <c r="C536" s="361">
        <v>7.2407407407407406E-2</v>
      </c>
      <c r="D536" s="181">
        <f t="shared" si="62"/>
        <v>2.9362290108437715E-3</v>
      </c>
      <c r="E536" s="66">
        <v>144</v>
      </c>
      <c r="F536" s="66">
        <v>157</v>
      </c>
      <c r="I536" s="49">
        <f>IF(D536&gt;0,(1/(D536*24)))</f>
        <v>14.190537084398979</v>
      </c>
      <c r="J536" s="149">
        <f>1/((182/(ConditieGetal!$B$2*(E536/(I536*ConditieGetal!$B$2))))*24)*10</f>
        <v>2.3231702063818853E-2</v>
      </c>
      <c r="K536" s="149">
        <f>J536*POWER(21.1/10,1.06)</f>
        <v>5.1264937476597626E-2</v>
      </c>
    </row>
    <row r="537" spans="1:11" ht="13.5" customHeight="1">
      <c r="A537" s="395">
        <v>38088</v>
      </c>
      <c r="B537" s="177">
        <v>8</v>
      </c>
      <c r="C537" s="361">
        <v>2.1560185185185186E-2</v>
      </c>
      <c r="D537" s="181">
        <f t="shared" si="62"/>
        <v>2.6950231481481482E-3</v>
      </c>
      <c r="E537" s="66">
        <v>150</v>
      </c>
      <c r="F537" s="66">
        <v>168</v>
      </c>
      <c r="I537" s="49">
        <f>IF(D537&gt;0,(1/(D537*24)))</f>
        <v>15.46059695082671</v>
      </c>
      <c r="J537" s="149">
        <f>1/((182/(ConditieGetal!$B$2*(E537/(I537*ConditieGetal!$B$2))))*24)*10</f>
        <v>2.2211729242979247E-2</v>
      </c>
      <c r="K537" s="149">
        <f>J537*POWER(21.1/10,1.06)</f>
        <v>4.9014183625479414E-2</v>
      </c>
    </row>
    <row r="538" spans="1:11" ht="13.5" customHeight="1">
      <c r="A538" s="395">
        <v>38089</v>
      </c>
      <c r="B538" s="177">
        <f>C538/D538</f>
        <v>15.89609756097561</v>
      </c>
      <c r="C538" s="361">
        <v>3.7716435185185186E-2</v>
      </c>
      <c r="D538" s="181">
        <v>2.3726851851851851E-3</v>
      </c>
      <c r="E538" s="66">
        <v>174</v>
      </c>
      <c r="F538" s="66">
        <v>179</v>
      </c>
      <c r="H538" s="28" t="s">
        <v>265</v>
      </c>
    </row>
    <row r="539" spans="1:11" ht="13.5" customHeight="1">
      <c r="A539" s="395">
        <v>38090</v>
      </c>
      <c r="B539" s="177">
        <f>3*1.2</f>
        <v>3.5999999999999996</v>
      </c>
      <c r="D539" s="181"/>
      <c r="H539" s="28" t="s">
        <v>269</v>
      </c>
    </row>
    <row r="540" spans="1:11" ht="13.5" customHeight="1">
      <c r="A540" s="395">
        <v>38091</v>
      </c>
      <c r="B540" s="288" t="s">
        <v>86</v>
      </c>
      <c r="C540" s="366" t="s">
        <v>86</v>
      </c>
      <c r="D540" s="178" t="s">
        <v>86</v>
      </c>
      <c r="E540" s="67" t="s">
        <v>86</v>
      </c>
      <c r="F540" s="67" t="s">
        <v>86</v>
      </c>
      <c r="G540" s="67"/>
    </row>
    <row r="541" spans="1:11" ht="13.5" customHeight="1">
      <c r="A541" s="395">
        <v>38092</v>
      </c>
      <c r="B541" s="177">
        <v>15</v>
      </c>
      <c r="C541" s="361">
        <v>3.95E-2</v>
      </c>
      <c r="D541" s="181">
        <f t="shared" si="62"/>
        <v>2.6333333333333334E-3</v>
      </c>
      <c r="E541" s="66">
        <v>155</v>
      </c>
      <c r="F541" s="66">
        <v>170</v>
      </c>
      <c r="I541" s="49">
        <f t="shared" ref="I541:I546" si="68">IF(D541&gt;0,(1/(D541*24)))</f>
        <v>15.822784810126581</v>
      </c>
      <c r="J541" s="149">
        <f>1/((182/(ConditieGetal!$B$2*(E541/(I541*ConditieGetal!$B$2))))*24)*10</f>
        <v>2.2426739926739929E-2</v>
      </c>
      <c r="K541" s="149">
        <f t="shared" ref="K541:K546" si="69">J541*POWER(21.1/10,1.06)</f>
        <v>4.9488643448935839E-2</v>
      </c>
    </row>
    <row r="542" spans="1:11" ht="13.5" customHeight="1">
      <c r="A542" s="395">
        <v>38093</v>
      </c>
      <c r="B542" s="177">
        <v>19.05</v>
      </c>
      <c r="C542" s="361">
        <v>5.077546296296296E-2</v>
      </c>
      <c r="D542" s="181">
        <f t="shared" si="62"/>
        <v>2.6653786332264018E-3</v>
      </c>
      <c r="E542" s="66">
        <v>154</v>
      </c>
      <c r="F542" s="66">
        <v>176</v>
      </c>
      <c r="I542" s="49">
        <f t="shared" si="68"/>
        <v>15.632550718030547</v>
      </c>
      <c r="J542" s="149">
        <f>1/((182/(ConditieGetal!$B$2*(E542/(I542*ConditieGetal!$B$2))))*24)*10</f>
        <v>2.2553203819608018E-2</v>
      </c>
      <c r="K542" s="149">
        <f t="shared" si="69"/>
        <v>4.9767708820173819E-2</v>
      </c>
    </row>
    <row r="543" spans="1:11" ht="13.5" customHeight="1">
      <c r="A543" s="395">
        <v>38094</v>
      </c>
      <c r="B543" s="177">
        <v>16.62</v>
      </c>
      <c r="C543" s="361">
        <v>4.9062500000000002E-2</v>
      </c>
      <c r="D543" s="181">
        <f t="shared" si="62"/>
        <v>2.9520156438026472E-3</v>
      </c>
      <c r="E543" s="66">
        <v>144</v>
      </c>
      <c r="F543" s="66">
        <v>152</v>
      </c>
      <c r="I543" s="49">
        <f t="shared" si="68"/>
        <v>14.114649681528663</v>
      </c>
      <c r="J543" s="149">
        <f>1/((182/(ConditieGetal!$B$2*(E543/(I543*ConditieGetal!$B$2))))*24)*10</f>
        <v>2.3356607291625343E-2</v>
      </c>
      <c r="K543" s="149">
        <f t="shared" si="69"/>
        <v>5.154056337247085E-2</v>
      </c>
    </row>
    <row r="544" spans="1:11" ht="13.5" customHeight="1">
      <c r="A544" s="395">
        <v>38095</v>
      </c>
      <c r="B544" s="177">
        <v>24.66</v>
      </c>
      <c r="C544" s="361">
        <v>6.9953703703703699E-2</v>
      </c>
      <c r="D544" s="181">
        <f t="shared" si="62"/>
        <v>2.8367276441080167E-3</v>
      </c>
      <c r="E544" s="66">
        <v>146</v>
      </c>
      <c r="F544" s="66">
        <v>155</v>
      </c>
      <c r="I544" s="49">
        <f t="shared" si="68"/>
        <v>14.688285903375252</v>
      </c>
      <c r="J544" s="149">
        <f>1/((182/(ConditieGetal!$B$2*(E544/(I544*ConditieGetal!$B$2))))*24)*10</f>
        <v>2.2756166815372E-2</v>
      </c>
      <c r="K544" s="149">
        <f t="shared" si="69"/>
        <v>5.0215583248802452E-2</v>
      </c>
    </row>
    <row r="545" spans="1:11" ht="13.5" customHeight="1">
      <c r="A545" s="395">
        <v>38096</v>
      </c>
      <c r="B545" s="177">
        <v>16.62</v>
      </c>
      <c r="C545" s="361">
        <v>4.4884259259259263E-2</v>
      </c>
      <c r="D545" s="181">
        <f t="shared" si="62"/>
        <v>2.7006172839506171E-3</v>
      </c>
      <c r="E545" s="66">
        <v>153</v>
      </c>
      <c r="F545" s="66">
        <v>169</v>
      </c>
      <c r="I545" s="49">
        <f t="shared" si="68"/>
        <v>15.428571428571429</v>
      </c>
      <c r="J545" s="149">
        <f>1/((182/(ConditieGetal!$B$2*(E545/(I545*ConditieGetal!$B$2))))*24)*10</f>
        <v>2.2702991452991449E-2</v>
      </c>
      <c r="K545" s="149">
        <f t="shared" si="69"/>
        <v>5.0098242228319066E-2</v>
      </c>
    </row>
    <row r="546" spans="1:11" ht="13.5" customHeight="1">
      <c r="A546" s="395">
        <v>38097</v>
      </c>
      <c r="B546" s="177">
        <v>15</v>
      </c>
      <c r="C546" s="361">
        <v>4.1645833333333333E-2</v>
      </c>
      <c r="D546" s="181">
        <f t="shared" si="62"/>
        <v>2.776388888888889E-3</v>
      </c>
      <c r="E546" s="66">
        <v>150</v>
      </c>
      <c r="F546" s="66">
        <v>164</v>
      </c>
      <c r="I546" s="49">
        <f t="shared" si="68"/>
        <v>15.007503751875937</v>
      </c>
      <c r="J546" s="149">
        <f>1/((182/(ConditieGetal!$B$2*(E546/(I546*ConditieGetal!$B$2))))*24)*10</f>
        <v>2.2882326007326006E-2</v>
      </c>
      <c r="K546" s="149">
        <f t="shared" si="69"/>
        <v>5.049397624255958E-2</v>
      </c>
    </row>
    <row r="547" spans="1:11" ht="13.5" customHeight="1">
      <c r="A547" s="395">
        <v>38098</v>
      </c>
      <c r="B547" s="288" t="s">
        <v>86</v>
      </c>
      <c r="C547" s="366" t="s">
        <v>86</v>
      </c>
      <c r="D547" s="178" t="s">
        <v>86</v>
      </c>
      <c r="E547" s="67" t="s">
        <v>86</v>
      </c>
      <c r="F547" s="67" t="s">
        <v>86</v>
      </c>
      <c r="G547" s="67"/>
    </row>
    <row r="548" spans="1:11" ht="13.5" customHeight="1">
      <c r="A548" s="395">
        <v>38099</v>
      </c>
      <c r="B548" s="177">
        <v>8</v>
      </c>
      <c r="D548" s="181"/>
      <c r="F548" s="66">
        <v>186</v>
      </c>
      <c r="H548" s="28" t="s">
        <v>269</v>
      </c>
    </row>
    <row r="549" spans="1:11" ht="13.5" customHeight="1">
      <c r="A549" s="395">
        <v>38100</v>
      </c>
      <c r="B549" s="177">
        <v>10.26</v>
      </c>
      <c r="C549" s="361">
        <v>3.0925925925925926E-2</v>
      </c>
      <c r="D549" s="181">
        <f t="shared" ref="D549:D613" si="70">IF(B549&gt;0,C549/B549,"")</f>
        <v>3.0142227997978486E-3</v>
      </c>
      <c r="E549" s="66">
        <v>143</v>
      </c>
      <c r="F549" s="66">
        <v>161</v>
      </c>
      <c r="I549" s="49">
        <f>IF(D549&gt;0,(1/(D549*24)))</f>
        <v>13.823353293413172</v>
      </c>
      <c r="J549" s="149">
        <f>1/((182/(ConditieGetal!$B$2*(E549/(I549*ConditieGetal!$B$2))))*24)*10</f>
        <v>2.3683179141268815E-2</v>
      </c>
      <c r="K549" s="149">
        <f>J549*POWER(21.1/10,1.06)</f>
        <v>5.2261203014267177E-2</v>
      </c>
    </row>
    <row r="550" spans="1:11" ht="13.5" customHeight="1">
      <c r="A550" s="395">
        <v>38101</v>
      </c>
      <c r="B550" s="288" t="s">
        <v>86</v>
      </c>
      <c r="C550" s="366" t="s">
        <v>86</v>
      </c>
      <c r="D550" s="178" t="s">
        <v>86</v>
      </c>
      <c r="E550" s="67" t="s">
        <v>86</v>
      </c>
      <c r="F550" s="67" t="s">
        <v>86</v>
      </c>
      <c r="G550" s="67"/>
    </row>
    <row r="551" spans="1:11" ht="13.5" customHeight="1">
      <c r="A551" s="395">
        <v>38102</v>
      </c>
      <c r="B551" s="177">
        <v>24.66</v>
      </c>
      <c r="C551" s="361">
        <v>6.6678240740740746E-2</v>
      </c>
      <c r="D551" s="181">
        <f t="shared" si="70"/>
        <v>2.7039027064371755E-3</v>
      </c>
      <c r="E551" s="66">
        <v>151</v>
      </c>
      <c r="F551" s="66">
        <v>166</v>
      </c>
      <c r="I551" s="49">
        <f>IF(D551&gt;0,(1/(D551*24)))</f>
        <v>15.409824683214719</v>
      </c>
      <c r="J551" s="149">
        <f>1/((182/(ConditieGetal!$B$2*(E551/(I551*ConditieGetal!$B$2))))*24)*10</f>
        <v>2.2433478498462278E-2</v>
      </c>
      <c r="K551" s="149">
        <f>J551*POWER(21.1/10,1.06)</f>
        <v>4.9503513321882679E-2</v>
      </c>
    </row>
    <row r="552" spans="1:11" ht="13.5" customHeight="1">
      <c r="A552" s="395">
        <v>38103</v>
      </c>
      <c r="B552" s="177">
        <v>10.26</v>
      </c>
      <c r="C552" s="361">
        <v>3.1221064814814816E-2</v>
      </c>
      <c r="D552" s="181">
        <f t="shared" si="70"/>
        <v>3.0429887733737638E-3</v>
      </c>
      <c r="E552" s="66">
        <v>142</v>
      </c>
      <c r="F552" s="66">
        <v>164</v>
      </c>
      <c r="I552" s="49">
        <f>IF(D552&gt;0,(1/(D552*24)))</f>
        <v>13.692678405931417</v>
      </c>
      <c r="J552" s="149">
        <f>1/((182/(ConditieGetal!$B$2*(E552/(I552*ConditieGetal!$B$2))))*24)*10</f>
        <v>2.3742000319729364E-2</v>
      </c>
      <c r="K552" s="149">
        <f>J552*POWER(21.1/10,1.06)</f>
        <v>5.2391002545433524E-2</v>
      </c>
    </row>
    <row r="553" spans="1:11" ht="13.5" customHeight="1">
      <c r="A553" s="395">
        <v>38104</v>
      </c>
      <c r="B553" s="177">
        <v>7.4</v>
      </c>
      <c r="D553" s="181"/>
      <c r="H553" s="28" t="s">
        <v>272</v>
      </c>
    </row>
    <row r="554" spans="1:11" ht="13.5" customHeight="1">
      <c r="A554" s="395">
        <v>38105</v>
      </c>
      <c r="B554" s="177">
        <v>12.7</v>
      </c>
      <c r="C554" s="361">
        <v>3.6570601851851854E-2</v>
      </c>
      <c r="D554" s="181">
        <f t="shared" si="70"/>
        <v>2.879574948964713E-3</v>
      </c>
      <c r="E554" s="66">
        <v>147</v>
      </c>
      <c r="F554" s="66">
        <v>156</v>
      </c>
      <c r="I554" s="49">
        <f>IF(D554&gt;0,(1/(D554*24)))</f>
        <v>14.46972813874735</v>
      </c>
      <c r="J554" s="149">
        <f>1/((182/(ConditieGetal!$B$2*(E554/(I554*ConditieGetal!$B$2))))*24)*10</f>
        <v>2.3258105357022683E-2</v>
      </c>
      <c r="K554" s="149">
        <f>J554*POWER(21.1/10,1.06)</f>
        <v>5.1323201101516384E-2</v>
      </c>
    </row>
    <row r="555" spans="1:11" ht="13.5" customHeight="1">
      <c r="A555" s="395">
        <v>38106</v>
      </c>
      <c r="B555" s="177">
        <v>15</v>
      </c>
      <c r="C555" s="361">
        <v>4.0142361111111115E-2</v>
      </c>
      <c r="D555" s="181">
        <f t="shared" si="70"/>
        <v>2.6761574074074075E-3</v>
      </c>
      <c r="E555" s="66">
        <v>154</v>
      </c>
      <c r="F555" s="66">
        <v>164</v>
      </c>
      <c r="I555" s="49">
        <f>IF(D555&gt;0,(1/(D555*24)))</f>
        <v>15.569587405933744</v>
      </c>
      <c r="J555" s="149">
        <f>1/((182/(ConditieGetal!$B$2*(E555/(I555*ConditieGetal!$B$2))))*24)*10</f>
        <v>2.2644408831908824E-2</v>
      </c>
      <c r="K555" s="149">
        <f>J555*POWER(21.1/10,1.06)</f>
        <v>4.9968969117000495E-2</v>
      </c>
    </row>
    <row r="556" spans="1:11" ht="13.5" customHeight="1">
      <c r="A556" s="395">
        <v>38107</v>
      </c>
      <c r="B556" s="177">
        <v>9.6999999999999993</v>
      </c>
      <c r="C556" s="361">
        <v>2.2077546296296297E-2</v>
      </c>
      <c r="D556" s="181">
        <f t="shared" si="70"/>
        <v>2.276035700649103E-3</v>
      </c>
      <c r="E556" s="66">
        <v>179</v>
      </c>
      <c r="F556" s="66">
        <v>183</v>
      </c>
      <c r="H556" s="28" t="s">
        <v>270</v>
      </c>
    </row>
    <row r="557" spans="1:11" ht="13.5" customHeight="1">
      <c r="A557" s="395">
        <v>38108</v>
      </c>
      <c r="B557" s="288" t="s">
        <v>86</v>
      </c>
      <c r="C557" s="366" t="s">
        <v>86</v>
      </c>
      <c r="D557" s="178" t="s">
        <v>86</v>
      </c>
      <c r="E557" s="67" t="s">
        <v>86</v>
      </c>
      <c r="F557" s="67" t="s">
        <v>86</v>
      </c>
      <c r="G557" s="67"/>
    </row>
    <row r="558" spans="1:11" ht="13.5" customHeight="1">
      <c r="A558" s="395">
        <v>38109</v>
      </c>
      <c r="B558" s="288" t="s">
        <v>86</v>
      </c>
      <c r="C558" s="366" t="s">
        <v>86</v>
      </c>
      <c r="D558" s="178" t="s">
        <v>86</v>
      </c>
      <c r="E558" s="67" t="s">
        <v>86</v>
      </c>
      <c r="F558" s="67" t="s">
        <v>86</v>
      </c>
      <c r="G558" s="67"/>
    </row>
    <row r="559" spans="1:11" ht="13.5" customHeight="1">
      <c r="A559" s="395">
        <v>38110</v>
      </c>
      <c r="B559" s="288" t="s">
        <v>86</v>
      </c>
      <c r="C559" s="366" t="s">
        <v>86</v>
      </c>
      <c r="D559" s="178" t="s">
        <v>86</v>
      </c>
      <c r="E559" s="67" t="s">
        <v>86</v>
      </c>
      <c r="F559" s="67" t="s">
        <v>86</v>
      </c>
      <c r="G559" s="67"/>
    </row>
    <row r="560" spans="1:11" ht="13.5" customHeight="1">
      <c r="A560" s="395">
        <v>38111</v>
      </c>
      <c r="B560" s="177">
        <v>6</v>
      </c>
      <c r="D560" s="181"/>
      <c r="F560" s="66">
        <v>185</v>
      </c>
      <c r="H560" s="28" t="s">
        <v>269</v>
      </c>
    </row>
    <row r="561" spans="1:11" ht="13.5" customHeight="1">
      <c r="A561" s="395">
        <v>38112</v>
      </c>
      <c r="B561" s="177">
        <v>16.62</v>
      </c>
      <c r="C561" s="361">
        <v>4.6817129629629632E-2</v>
      </c>
      <c r="D561" s="181">
        <f t="shared" si="70"/>
        <v>2.8169151401702544E-3</v>
      </c>
      <c r="E561" s="66">
        <v>148</v>
      </c>
      <c r="F561" s="66">
        <v>157</v>
      </c>
      <c r="I561" s="49">
        <f>IF(D561&gt;0,(1/(D561*24)))</f>
        <v>14.791594561186649</v>
      </c>
      <c r="J561" s="149">
        <f>1/((182/(ConditieGetal!$B$2*(E561/(I561*ConditieGetal!$B$2))))*24)*10</f>
        <v>2.2906782458527349E-2</v>
      </c>
      <c r="K561" s="149">
        <f>J561*POWER(21.1/10,1.06)</f>
        <v>5.0547943809735332E-2</v>
      </c>
    </row>
    <row r="562" spans="1:11" ht="13.5" customHeight="1">
      <c r="A562" s="395">
        <v>38113</v>
      </c>
      <c r="B562" s="177">
        <v>8</v>
      </c>
      <c r="D562" s="181"/>
      <c r="F562" s="66">
        <v>189</v>
      </c>
      <c r="H562" s="28" t="s">
        <v>269</v>
      </c>
    </row>
    <row r="563" spans="1:11" ht="13.5" customHeight="1">
      <c r="A563" s="395">
        <v>38114</v>
      </c>
      <c r="B563" s="288" t="s">
        <v>86</v>
      </c>
      <c r="C563" s="366" t="s">
        <v>86</v>
      </c>
      <c r="D563" s="178" t="s">
        <v>86</v>
      </c>
      <c r="E563" s="67" t="s">
        <v>86</v>
      </c>
      <c r="F563" s="67" t="s">
        <v>86</v>
      </c>
      <c r="G563" s="67"/>
    </row>
    <row r="564" spans="1:11" ht="13.5" customHeight="1">
      <c r="A564" s="395">
        <v>38115</v>
      </c>
      <c r="B564" s="177">
        <v>16.61</v>
      </c>
      <c r="C564" s="361">
        <v>4.5185185185185189E-2</v>
      </c>
      <c r="D564" s="181">
        <f t="shared" si="70"/>
        <v>2.7203603362543761E-3</v>
      </c>
      <c r="E564" s="66">
        <v>152</v>
      </c>
      <c r="F564" s="66">
        <v>170</v>
      </c>
      <c r="I564" s="49">
        <f>IF(D564&gt;0,(1/(D564*24)))</f>
        <v>15.316598360655737</v>
      </c>
      <c r="J564" s="149">
        <f>1/((182/(ConditieGetal!$B$2*(E564/(I564*ConditieGetal!$B$2))))*24)*10</f>
        <v>2.271949291816841E-2</v>
      </c>
      <c r="K564" s="149">
        <f>J564*POWER(21.1/10,1.06)</f>
        <v>5.0134655685165466E-2</v>
      </c>
    </row>
    <row r="565" spans="1:11" ht="13.5" customHeight="1">
      <c r="A565" s="395">
        <v>38116</v>
      </c>
      <c r="B565" s="177">
        <v>16.61</v>
      </c>
      <c r="C565" s="361">
        <v>4.7615740740740743E-2</v>
      </c>
      <c r="D565" s="181">
        <f t="shared" si="70"/>
        <v>2.8666911945057641E-3</v>
      </c>
      <c r="E565" s="66">
        <v>148</v>
      </c>
      <c r="F565" s="66">
        <v>154</v>
      </c>
      <c r="I565" s="49">
        <f>IF(D565&gt;0,(1/(D565*24)))</f>
        <v>14.534759358288769</v>
      </c>
      <c r="J565" s="149">
        <f>1/((182/(ConditieGetal!$B$2*(E565/(I565*ConditieGetal!$B$2))))*24)*10</f>
        <v>2.3311554768508411E-2</v>
      </c>
      <c r="K565" s="149">
        <f>J565*POWER(21.1/10,1.06)</f>
        <v>5.1441146860740118E-2</v>
      </c>
    </row>
    <row r="566" spans="1:11" ht="13.5" customHeight="1">
      <c r="A566" s="395">
        <v>38117</v>
      </c>
      <c r="B566" s="177">
        <v>12.7</v>
      </c>
      <c r="C566" s="361">
        <v>3.4928240740740739E-2</v>
      </c>
      <c r="D566" s="181">
        <f t="shared" si="70"/>
        <v>2.7502551764362788E-3</v>
      </c>
      <c r="E566" s="66">
        <v>149</v>
      </c>
      <c r="F566" s="66">
        <v>158</v>
      </c>
      <c r="I566" s="49">
        <f>IF(D566&gt;0,(1/(D566*24)))</f>
        <v>15.15010935118298</v>
      </c>
      <c r="J566" s="149">
        <f>1/((182/(ConditieGetal!$B$2*(E566/(I566*ConditieGetal!$B$2))))*24)*10</f>
        <v>2.2515825345549755E-2</v>
      </c>
      <c r="K566" s="149">
        <f>J566*POWER(21.1/10,1.06)</f>
        <v>4.9685226480726472E-2</v>
      </c>
    </row>
    <row r="567" spans="1:11" ht="13.5" customHeight="1">
      <c r="A567" s="395">
        <v>38118</v>
      </c>
      <c r="B567" s="177">
        <f>3*1.8</f>
        <v>5.4</v>
      </c>
      <c r="D567" s="181"/>
      <c r="H567" s="28" t="s">
        <v>269</v>
      </c>
    </row>
    <row r="568" spans="1:11" ht="13.5" customHeight="1">
      <c r="A568" s="395">
        <v>38119</v>
      </c>
      <c r="B568" s="177">
        <v>16.61</v>
      </c>
      <c r="C568" s="361">
        <v>4.7847222222222228E-2</v>
      </c>
      <c r="D568" s="181">
        <f t="shared" si="70"/>
        <v>2.8806274667201822E-3</v>
      </c>
      <c r="E568" s="66">
        <v>145</v>
      </c>
      <c r="F568" s="66">
        <v>158</v>
      </c>
      <c r="I568" s="49">
        <f>IF(D568&gt;0,(1/(D568*24)))</f>
        <v>14.464441219158198</v>
      </c>
      <c r="J568" s="149">
        <f>1/((182/(ConditieGetal!$B$2*(E568/(I568*ConditieGetal!$B$2))))*24)*10</f>
        <v>2.2950053993100357E-2</v>
      </c>
      <c r="K568" s="149">
        <f>J568*POWER(21.1/10,1.06)</f>
        <v>5.0643430249269893E-2</v>
      </c>
    </row>
    <row r="569" spans="1:11" ht="13.5" customHeight="1">
      <c r="A569" s="395">
        <v>38120</v>
      </c>
      <c r="B569" s="177">
        <v>15</v>
      </c>
      <c r="C569" s="361">
        <v>4.2847222222222224E-2</v>
      </c>
      <c r="D569" s="181">
        <f t="shared" si="70"/>
        <v>2.8564814814814815E-3</v>
      </c>
      <c r="E569" s="66">
        <v>146</v>
      </c>
      <c r="F569" s="66">
        <v>153</v>
      </c>
      <c r="I569" s="49">
        <f>IF(D569&gt;0,(1/(D569*24)))</f>
        <v>14.58670988654781</v>
      </c>
      <c r="J569" s="149">
        <f>1/((182/(ConditieGetal!$B$2*(E569/(I569*ConditieGetal!$B$2))))*24)*10</f>
        <v>2.2914631664631667E-2</v>
      </c>
      <c r="K569" s="149">
        <f>J569*POWER(21.1/10,1.06)</f>
        <v>5.0565264497607169E-2</v>
      </c>
    </row>
    <row r="570" spans="1:11" ht="13.5" customHeight="1">
      <c r="A570" s="395">
        <v>38121</v>
      </c>
      <c r="B570" s="177">
        <f>4.18*3</f>
        <v>12.54</v>
      </c>
      <c r="C570" s="361">
        <v>2.8890046296296296E-2</v>
      </c>
      <c r="D570" s="181">
        <f t="shared" si="70"/>
        <v>2.303831443085829E-3</v>
      </c>
      <c r="E570" s="66">
        <v>176</v>
      </c>
      <c r="F570" s="66">
        <v>181</v>
      </c>
      <c r="H570" s="28" t="s">
        <v>286</v>
      </c>
      <c r="I570" s="155">
        <f>IF(D570&gt;0,(1/(D570*24)))</f>
        <v>18.085813869636635</v>
      </c>
      <c r="J570" s="270">
        <f>1/((182/(ConditieGetal!$B$2*(E570/(I570*ConditieGetal!$B$2))))*24)*10</f>
        <v>2.2278809559511309E-2</v>
      </c>
      <c r="K570" s="270">
        <f>$J570*POWER(21.1/10,1.06)</f>
        <v>4.9162208433282117E-2</v>
      </c>
    </row>
    <row r="571" spans="1:11" ht="13.5" customHeight="1">
      <c r="A571" s="395">
        <v>38122</v>
      </c>
      <c r="B571" s="288" t="s">
        <v>86</v>
      </c>
      <c r="C571" s="366" t="s">
        <v>86</v>
      </c>
      <c r="D571" s="178" t="s">
        <v>86</v>
      </c>
      <c r="E571" s="67" t="s">
        <v>86</v>
      </c>
      <c r="F571" s="67" t="s">
        <v>86</v>
      </c>
      <c r="G571" s="67"/>
    </row>
    <row r="572" spans="1:11" ht="13.5" customHeight="1">
      <c r="A572" s="395">
        <v>38123</v>
      </c>
      <c r="B572" s="177">
        <v>1.5</v>
      </c>
      <c r="C572" s="361">
        <v>2.8935185185185188E-3</v>
      </c>
      <c r="D572" s="181">
        <f t="shared" si="70"/>
        <v>1.9290123456790125E-3</v>
      </c>
      <c r="H572" s="28" t="s">
        <v>271</v>
      </c>
    </row>
    <row r="573" spans="1:11" ht="13.5" customHeight="1">
      <c r="A573" s="395">
        <v>38124</v>
      </c>
      <c r="B573" s="177">
        <v>16.62</v>
      </c>
      <c r="C573" s="361">
        <v>5.0729166666666665E-2</v>
      </c>
      <c r="D573" s="181">
        <f t="shared" si="70"/>
        <v>3.052296430004011E-3</v>
      </c>
      <c r="E573" s="66">
        <v>144</v>
      </c>
      <c r="F573" s="66">
        <v>149</v>
      </c>
      <c r="I573" s="49">
        <f>IF(D573&gt;0,(1/(D573*24)))</f>
        <v>13.650924024640657</v>
      </c>
      <c r="J573" s="149">
        <f>1/((182/(ConditieGetal!$B$2*(E573/(I573*ConditieGetal!$B$2))))*24)*10</f>
        <v>2.4150037687943819E-2</v>
      </c>
      <c r="K573" s="149">
        <f>J573*POWER(21.1/10,1.06)</f>
        <v>5.3291410535866876E-2</v>
      </c>
    </row>
    <row r="574" spans="1:11" ht="13.5" customHeight="1">
      <c r="A574" s="395">
        <v>38125</v>
      </c>
      <c r="B574" s="288" t="s">
        <v>86</v>
      </c>
      <c r="C574" s="366" t="s">
        <v>86</v>
      </c>
      <c r="D574" s="178" t="s">
        <v>86</v>
      </c>
      <c r="E574" s="67" t="s">
        <v>86</v>
      </c>
      <c r="F574" s="67" t="s">
        <v>86</v>
      </c>
      <c r="G574" s="67"/>
    </row>
    <row r="575" spans="1:11" ht="13.5" customHeight="1">
      <c r="A575" s="395">
        <v>38126</v>
      </c>
      <c r="B575" s="288" t="s">
        <v>86</v>
      </c>
      <c r="C575" s="366" t="s">
        <v>86</v>
      </c>
      <c r="D575" s="178" t="s">
        <v>86</v>
      </c>
      <c r="E575" s="67" t="s">
        <v>86</v>
      </c>
      <c r="F575" s="67" t="s">
        <v>86</v>
      </c>
      <c r="G575" s="67"/>
    </row>
    <row r="576" spans="1:11" ht="13.5" customHeight="1">
      <c r="A576" s="395">
        <v>38127</v>
      </c>
      <c r="B576" s="288" t="s">
        <v>86</v>
      </c>
      <c r="C576" s="366" t="s">
        <v>86</v>
      </c>
      <c r="D576" s="178" t="s">
        <v>86</v>
      </c>
      <c r="E576" s="67" t="s">
        <v>86</v>
      </c>
      <c r="F576" s="67" t="s">
        <v>86</v>
      </c>
      <c r="G576" s="67"/>
    </row>
    <row r="577" spans="1:16" ht="13.5" customHeight="1">
      <c r="A577" s="395">
        <v>38128</v>
      </c>
      <c r="B577" s="288" t="s">
        <v>86</v>
      </c>
      <c r="C577" s="366" t="s">
        <v>86</v>
      </c>
      <c r="D577" s="178" t="s">
        <v>86</v>
      </c>
      <c r="E577" s="67" t="s">
        <v>86</v>
      </c>
      <c r="F577" s="67" t="s">
        <v>86</v>
      </c>
      <c r="G577" s="67"/>
    </row>
    <row r="578" spans="1:16" ht="13.5" customHeight="1">
      <c r="A578" s="395">
        <v>38129</v>
      </c>
      <c r="B578" s="177">
        <v>20.54</v>
      </c>
      <c r="C578" s="361">
        <v>5.9166666666666666E-2</v>
      </c>
      <c r="D578" s="181">
        <f t="shared" si="70"/>
        <v>2.8805582603050957E-3</v>
      </c>
      <c r="E578" s="66">
        <v>145</v>
      </c>
      <c r="F578" s="66">
        <v>166</v>
      </c>
      <c r="I578" s="49">
        <f>IF(D578&gt;0,(1/(D578*24)))</f>
        <v>14.464788732394366</v>
      </c>
      <c r="J578" s="149">
        <f>1/((182/(ConditieGetal!$B$2*(E578/(I578*ConditieGetal!$B$2))))*24)*10</f>
        <v>2.2949502623309831E-2</v>
      </c>
      <c r="K578" s="149">
        <f>J578*POWER(21.1/10,1.06)</f>
        <v>5.0642213552457918E-2</v>
      </c>
    </row>
    <row r="579" spans="1:16" ht="13.5" customHeight="1">
      <c r="A579" s="395">
        <v>38130</v>
      </c>
      <c r="B579" s="177">
        <v>19.05</v>
      </c>
      <c r="C579" s="361">
        <v>5.4363425925925933E-2</v>
      </c>
      <c r="D579" s="181">
        <f t="shared" si="70"/>
        <v>2.8537231457178968E-3</v>
      </c>
      <c r="E579" s="66">
        <v>148</v>
      </c>
      <c r="F579" s="66">
        <v>171</v>
      </c>
      <c r="I579" s="49">
        <f>IF(D579&gt;0,(1/(D579*24)))</f>
        <v>14.600809027038533</v>
      </c>
      <c r="J579" s="149">
        <f>1/((182/(ConditieGetal!$B$2*(E579/(I579*ConditieGetal!$B$2))))*24)*10</f>
        <v>2.3206100305837842E-2</v>
      </c>
      <c r="K579" s="149">
        <f>J579*POWER(21.1/10,1.06)</f>
        <v>5.1208442583602611E-2</v>
      </c>
    </row>
    <row r="580" spans="1:16" ht="13.5" customHeight="1">
      <c r="A580" s="395">
        <v>38131</v>
      </c>
      <c r="B580" s="177">
        <v>16.62</v>
      </c>
      <c r="C580" s="361">
        <v>4.7650462962962964E-2</v>
      </c>
      <c r="D580" s="181">
        <f t="shared" si="70"/>
        <v>2.8670555332709364E-3</v>
      </c>
      <c r="E580" s="66">
        <v>148</v>
      </c>
      <c r="F580" s="66">
        <v>154</v>
      </c>
      <c r="I580" s="49">
        <f>IF(D580&gt;0,(1/(D580*24)))</f>
        <v>14.532912314792325</v>
      </c>
      <c r="J580" s="149">
        <f>1/((182/(ConditieGetal!$B$2*(E580/(I580*ConditieGetal!$B$2))))*24)*10</f>
        <v>2.3314517523302124E-2</v>
      </c>
      <c r="K580" s="149">
        <f>J580*POWER(21.1/10,1.06)</f>
        <v>5.1447684713147188E-2</v>
      </c>
    </row>
    <row r="581" spans="1:16" ht="13.5" customHeight="1">
      <c r="A581" s="395">
        <v>38132</v>
      </c>
      <c r="B581" s="177">
        <v>7</v>
      </c>
      <c r="C581" s="361">
        <v>2.0480324074074074E-2</v>
      </c>
      <c r="D581" s="181">
        <f t="shared" si="70"/>
        <v>2.925760582010582E-3</v>
      </c>
      <c r="E581" s="66">
        <v>152</v>
      </c>
      <c r="F581" s="66">
        <v>161</v>
      </c>
      <c r="H581" s="28" t="s">
        <v>269</v>
      </c>
    </row>
    <row r="582" spans="1:16" ht="13.5" customHeight="1">
      <c r="A582" s="395">
        <v>38133</v>
      </c>
      <c r="B582" s="177">
        <v>19.05</v>
      </c>
      <c r="C582" s="361">
        <v>4.8761574074074075E-2</v>
      </c>
      <c r="D582" s="181">
        <f t="shared" si="70"/>
        <v>2.5596626810537571E-3</v>
      </c>
      <c r="E582" s="66">
        <v>158</v>
      </c>
      <c r="F582" s="66">
        <v>174</v>
      </c>
      <c r="I582" s="49">
        <f>IF(D582&gt;0,(1/(D582*24)))</f>
        <v>16.278186565392833</v>
      </c>
      <c r="J582" s="149">
        <f>1/((182/(ConditieGetal!$B$2*(E582/(I582*ConditieGetal!$B$2))))*24)*10</f>
        <v>2.2221247450906242E-2</v>
      </c>
      <c r="K582" s="149">
        <f>J582*POWER(21.1/10,1.06)</f>
        <v>4.9035187266664469E-2</v>
      </c>
      <c r="L582" s="149">
        <f>$J582*POWER(16.1/10,1.06)</f>
        <v>3.6813224913912673E-2</v>
      </c>
    </row>
    <row r="583" spans="1:16" ht="13.5" customHeight="1">
      <c r="A583" s="395">
        <v>38134</v>
      </c>
      <c r="B583" s="177">
        <v>11</v>
      </c>
      <c r="C583" s="361">
        <v>2.8362268518518519E-2</v>
      </c>
      <c r="D583" s="181">
        <f t="shared" si="70"/>
        <v>2.5783880471380474E-3</v>
      </c>
      <c r="E583" s="66">
        <v>151</v>
      </c>
      <c r="F583" s="66">
        <v>156</v>
      </c>
    </row>
    <row r="584" spans="1:16" ht="13.5" customHeight="1">
      <c r="A584" s="395">
        <v>38135</v>
      </c>
      <c r="B584" s="288" t="s">
        <v>86</v>
      </c>
      <c r="C584" s="366" t="s">
        <v>86</v>
      </c>
      <c r="D584" s="178" t="s">
        <v>86</v>
      </c>
      <c r="E584" s="67" t="s">
        <v>86</v>
      </c>
      <c r="F584" s="67" t="s">
        <v>86</v>
      </c>
      <c r="G584" s="67"/>
      <c r="M584" s="28"/>
      <c r="N584" s="149"/>
      <c r="O584" s="150"/>
      <c r="P584" s="28"/>
    </row>
    <row r="585" spans="1:16" ht="13.5" customHeight="1">
      <c r="A585" s="395">
        <v>38136</v>
      </c>
      <c r="B585" s="288" t="s">
        <v>86</v>
      </c>
      <c r="C585" s="366" t="s">
        <v>86</v>
      </c>
      <c r="D585" s="178" t="s">
        <v>86</v>
      </c>
      <c r="E585" s="67" t="s">
        <v>86</v>
      </c>
      <c r="F585" s="67" t="s">
        <v>86</v>
      </c>
      <c r="G585" s="67"/>
      <c r="M585" s="28"/>
      <c r="N585" s="149"/>
      <c r="O585" s="150"/>
      <c r="P585" s="28"/>
    </row>
    <row r="586" spans="1:16" ht="13.5" customHeight="1">
      <c r="A586" s="395">
        <v>38137</v>
      </c>
      <c r="B586" s="177">
        <v>24.66</v>
      </c>
      <c r="C586" s="361">
        <v>7.2303240740740737E-2</v>
      </c>
      <c r="D586" s="181">
        <f t="shared" si="70"/>
        <v>2.9320048962181971E-3</v>
      </c>
      <c r="E586" s="66">
        <v>147</v>
      </c>
      <c r="F586" s="66">
        <v>169</v>
      </c>
      <c r="I586" s="49">
        <f>IF(D586&gt;0,(1/(D586*24)))</f>
        <v>14.210981271010086</v>
      </c>
      <c r="J586" s="149">
        <f>1/((182/(ConditieGetal!$B$2*(E586/(I586*ConditieGetal!$B$2))))*24)*10</f>
        <v>2.3681578007916204E-2</v>
      </c>
      <c r="K586" s="149">
        <f>J586*POWER(21.1/10,1.06)</f>
        <v>5.2257669824964569E-2</v>
      </c>
      <c r="M586" s="28"/>
      <c r="N586" s="149"/>
      <c r="O586" s="150"/>
      <c r="P586" s="28"/>
    </row>
    <row r="587" spans="1:16" ht="13.5" customHeight="1">
      <c r="A587" s="395">
        <v>38138</v>
      </c>
      <c r="B587" s="177">
        <v>16.62</v>
      </c>
      <c r="C587" s="361">
        <v>4.5902777777777772E-2</v>
      </c>
      <c r="D587" s="181">
        <f t="shared" si="70"/>
        <v>2.7618999866292279E-3</v>
      </c>
      <c r="E587" s="66">
        <v>152</v>
      </c>
      <c r="F587" s="66">
        <v>185</v>
      </c>
      <c r="I587" s="49">
        <f>IF(D587&gt;0,(1/(D587*24)))</f>
        <v>15.086232980332833</v>
      </c>
      <c r="J587" s="149">
        <f>1/((182/(ConditieGetal!$B$2*(E587/(I587*ConditieGetal!$B$2))))*24)*10</f>
        <v>2.3066417470749594E-2</v>
      </c>
      <c r="K587" s="149">
        <f>J587*POWER(21.1/10,1.06)</f>
        <v>5.0900207234006546E-2</v>
      </c>
      <c r="M587" s="28"/>
      <c r="N587" s="149"/>
      <c r="O587" s="150"/>
      <c r="P587" s="28"/>
    </row>
    <row r="588" spans="1:16" ht="13.5" customHeight="1">
      <c r="A588" s="395">
        <v>38139</v>
      </c>
      <c r="B588" s="177">
        <v>8</v>
      </c>
      <c r="D588" s="181"/>
      <c r="H588" s="28" t="s">
        <v>269</v>
      </c>
      <c r="M588" s="28"/>
      <c r="N588" s="149"/>
      <c r="O588" s="150"/>
      <c r="P588" s="28"/>
    </row>
    <row r="589" spans="1:16" ht="13.5" customHeight="1">
      <c r="A589" s="395">
        <v>38140</v>
      </c>
      <c r="B589" s="288" t="s">
        <v>86</v>
      </c>
      <c r="C589" s="366" t="s">
        <v>86</v>
      </c>
      <c r="D589" s="178" t="s">
        <v>86</v>
      </c>
      <c r="E589" s="67" t="s">
        <v>86</v>
      </c>
      <c r="F589" s="67" t="s">
        <v>86</v>
      </c>
      <c r="G589" s="67"/>
      <c r="M589" s="28"/>
      <c r="N589" s="149"/>
      <c r="O589" s="150"/>
      <c r="P589" s="28"/>
    </row>
    <row r="590" spans="1:16" ht="13.5" customHeight="1">
      <c r="A590" s="395">
        <v>38141</v>
      </c>
      <c r="B590" s="177">
        <v>10.5</v>
      </c>
      <c r="C590" s="361">
        <v>3.7245370370370366E-2</v>
      </c>
      <c r="D590" s="181">
        <f t="shared" si="70"/>
        <v>3.5471781305114634E-3</v>
      </c>
      <c r="E590" s="66">
        <v>131</v>
      </c>
      <c r="F590" s="66">
        <v>147</v>
      </c>
      <c r="M590" s="28"/>
      <c r="N590" s="149"/>
      <c r="O590" s="150"/>
      <c r="P590" s="28"/>
    </row>
    <row r="591" spans="1:16" ht="13.5" customHeight="1">
      <c r="A591" s="395">
        <v>38142</v>
      </c>
      <c r="B591" s="177">
        <v>10.26</v>
      </c>
      <c r="C591" s="361">
        <v>2.8699074074074075E-2</v>
      </c>
      <c r="D591" s="181">
        <f t="shared" si="70"/>
        <v>2.7971807089740815E-3</v>
      </c>
      <c r="E591" s="66">
        <v>149</v>
      </c>
      <c r="F591" s="66">
        <v>159</v>
      </c>
      <c r="I591" s="49">
        <f>IF(D591&gt;0,(1/(D591*24)))</f>
        <v>14.895950959832229</v>
      </c>
      <c r="J591" s="149">
        <f>1/((182/(ConditieGetal!$B$2*(E591/(I591*ConditieGetal!$B$2))))*24)*10</f>
        <v>2.289999591412847E-2</v>
      </c>
      <c r="K591" s="149">
        <f>J591*POWER(21.1/10,1.06)</f>
        <v>5.0532968076431983E-2</v>
      </c>
      <c r="M591" s="28"/>
      <c r="N591" s="149"/>
      <c r="O591" s="150"/>
      <c r="P591" s="28"/>
    </row>
    <row r="592" spans="1:16" ht="13.5" customHeight="1">
      <c r="A592" s="395">
        <v>38143</v>
      </c>
      <c r="B592" s="177">
        <v>18.73</v>
      </c>
      <c r="C592" s="361">
        <v>4.5324074074074072E-2</v>
      </c>
      <c r="D592" s="181">
        <f t="shared" si="70"/>
        <v>2.4198651401000572E-3</v>
      </c>
      <c r="E592" s="66">
        <v>175</v>
      </c>
      <c r="F592" s="66">
        <v>182</v>
      </c>
      <c r="H592" s="28" t="s">
        <v>285</v>
      </c>
      <c r="M592" s="28"/>
      <c r="N592" s="149"/>
      <c r="O592" s="150"/>
      <c r="P592" s="28"/>
    </row>
    <row r="593" spans="1:16" ht="13.5" customHeight="1">
      <c r="A593" s="395">
        <v>38144</v>
      </c>
      <c r="B593" s="177">
        <v>10.26</v>
      </c>
      <c r="C593" s="361">
        <v>3.1350694444444445E-2</v>
      </c>
      <c r="D593" s="181">
        <f t="shared" si="70"/>
        <v>3.0556232401992636E-3</v>
      </c>
      <c r="E593" s="66">
        <v>140</v>
      </c>
      <c r="F593" s="66">
        <v>150</v>
      </c>
      <c r="I593" s="49">
        <f>IF(D593&gt;0,(1/(D593*24)))</f>
        <v>13.63606157935541</v>
      </c>
      <c r="J593" s="149">
        <f>1/((182/(ConditieGetal!$B$2*(E593/(I593*ConditieGetal!$B$2))))*24)*10</f>
        <v>2.3504794155378948E-2</v>
      </c>
      <c r="K593" s="149">
        <f>J593*POWER(21.1/10,1.06)</f>
        <v>5.186756439393337E-2</v>
      </c>
      <c r="M593" s="28"/>
      <c r="N593" s="149"/>
      <c r="O593" s="150"/>
      <c r="P593" s="28"/>
    </row>
    <row r="594" spans="1:16" ht="13.5" customHeight="1">
      <c r="A594" s="395">
        <v>38145</v>
      </c>
      <c r="B594" s="177">
        <v>16.62</v>
      </c>
      <c r="C594" s="361">
        <v>4.7349537037037037E-2</v>
      </c>
      <c r="D594" s="181">
        <f t="shared" si="70"/>
        <v>2.8489492802068013E-3</v>
      </c>
      <c r="E594" s="66">
        <v>149</v>
      </c>
      <c r="F594" s="66">
        <v>157</v>
      </c>
      <c r="I594" s="49">
        <f>IF(D594&gt;0,(1/(D594*24)))</f>
        <v>14.625274993889025</v>
      </c>
      <c r="J594" s="149">
        <f>1/((182/(ConditieGetal!$B$2*(E594/(I594*ConditieGetal!$B$2))))*24)*10</f>
        <v>2.332381553575898E-2</v>
      </c>
      <c r="K594" s="149">
        <f>J594*POWER(21.1/10,1.06)</f>
        <v>5.1468202453343229E-2</v>
      </c>
      <c r="M594" s="28"/>
      <c r="N594" s="149"/>
      <c r="O594" s="150"/>
      <c r="P594" s="28"/>
    </row>
    <row r="595" spans="1:16" ht="13.5" customHeight="1">
      <c r="A595" s="395">
        <v>38146</v>
      </c>
      <c r="B595" s="177">
        <v>7.2</v>
      </c>
      <c r="D595" s="181"/>
      <c r="H595" s="28" t="s">
        <v>269</v>
      </c>
      <c r="M595" s="28"/>
      <c r="N595" s="149"/>
      <c r="O595" s="150"/>
      <c r="P595" s="28"/>
    </row>
    <row r="596" spans="1:16" ht="13.5" customHeight="1">
      <c r="A596" s="395">
        <v>38147</v>
      </c>
      <c r="B596" s="288" t="s">
        <v>86</v>
      </c>
      <c r="C596" s="366" t="s">
        <v>86</v>
      </c>
      <c r="D596" s="178"/>
      <c r="E596" s="67"/>
      <c r="F596" s="67" t="s">
        <v>86</v>
      </c>
      <c r="G596" s="67"/>
      <c r="M596" s="28"/>
      <c r="N596" s="149"/>
      <c r="O596" s="150"/>
      <c r="P596" s="28"/>
    </row>
    <row r="597" spans="1:16" ht="13.5" customHeight="1">
      <c r="A597" s="395">
        <v>38148</v>
      </c>
      <c r="B597" s="177">
        <v>10.5</v>
      </c>
      <c r="C597" s="361">
        <v>2.9348379629629631E-2</v>
      </c>
      <c r="D597" s="181">
        <f t="shared" si="70"/>
        <v>2.795083774250441E-3</v>
      </c>
      <c r="E597" s="66">
        <v>149</v>
      </c>
      <c r="F597" s="66">
        <v>166</v>
      </c>
      <c r="I597" s="49">
        <f>IF(D597&gt;0,(1/(D597*24)))</f>
        <v>14.907126237330916</v>
      </c>
      <c r="J597" s="149">
        <f>1/((182/(ConditieGetal!$B$2*(E597/(I597*ConditieGetal!$B$2))))*24)*10</f>
        <v>2.2882828701281083E-2</v>
      </c>
      <c r="K597" s="149">
        <f>J597*POWER(21.1/10,1.06)</f>
        <v>5.0495085527368158E-2</v>
      </c>
      <c r="M597" s="28"/>
      <c r="N597" s="149"/>
      <c r="O597" s="150"/>
      <c r="P597" s="28"/>
    </row>
    <row r="598" spans="1:16" ht="13.5" customHeight="1">
      <c r="A598" s="395">
        <v>38149</v>
      </c>
      <c r="B598" s="177">
        <v>12.54</v>
      </c>
      <c r="C598" s="361">
        <v>3.7285879629629634E-2</v>
      </c>
      <c r="D598" s="181">
        <f t="shared" si="70"/>
        <v>2.9733556323468611E-3</v>
      </c>
      <c r="E598" s="66">
        <v>143</v>
      </c>
      <c r="F598" s="66">
        <v>154</v>
      </c>
      <c r="I598" s="49">
        <f>IF(D598&gt;0,(1/(D598*24)))</f>
        <v>14.013347819338815</v>
      </c>
      <c r="J598" s="149">
        <f>1/((182/(ConditieGetal!$B$2*(E598/(I598*ConditieGetal!$B$2))))*24)*10</f>
        <v>2.3362079968439618E-2</v>
      </c>
      <c r="K598" s="149">
        <f>J598*POWER(21.1/10,1.06)</f>
        <v>5.1552639820160423E-2</v>
      </c>
      <c r="M598" s="28"/>
      <c r="N598" s="149"/>
      <c r="O598" s="150"/>
      <c r="P598" s="28"/>
    </row>
    <row r="599" spans="1:16" ht="13.5" customHeight="1">
      <c r="A599" s="395">
        <v>38150</v>
      </c>
      <c r="B599" s="177">
        <v>21.1</v>
      </c>
      <c r="C599" s="361">
        <v>5.0381944444444444E-2</v>
      </c>
      <c r="D599" s="181">
        <f t="shared" si="70"/>
        <v>2.3877698788836227E-3</v>
      </c>
      <c r="E599" s="66">
        <v>173</v>
      </c>
      <c r="F599" s="66">
        <v>183</v>
      </c>
      <c r="H599" s="28" t="s">
        <v>273</v>
      </c>
      <c r="I599" s="49">
        <f>IF(D599&gt;0,(1/(D599*24)))</f>
        <v>17.450034458993798</v>
      </c>
      <c r="J599" s="149">
        <f>1/((182/(ConditieGetal!$B$2*(E599/(I599*ConditieGetal!$B$2))))*24)*10</f>
        <v>2.2696933464113556E-2</v>
      </c>
      <c r="K599" s="149">
        <f>J599*POWER(21.1/10,1.06)</f>
        <v>5.0084874184074785E-2</v>
      </c>
      <c r="M599" s="28"/>
      <c r="N599" s="149"/>
      <c r="O599" s="150"/>
      <c r="P599" s="28"/>
    </row>
    <row r="600" spans="1:16" ht="13.5" customHeight="1">
      <c r="A600" s="395">
        <v>38151</v>
      </c>
      <c r="B600" s="177">
        <v>10.26</v>
      </c>
      <c r="C600" s="361">
        <v>3.0280092592592591E-2</v>
      </c>
      <c r="D600" s="181">
        <f t="shared" si="70"/>
        <v>2.9512760811493755E-3</v>
      </c>
      <c r="E600" s="66">
        <v>142</v>
      </c>
      <c r="F600" s="66">
        <v>149</v>
      </c>
      <c r="I600" s="49">
        <f>IF(D600&gt;0,(1/(D600*24)))</f>
        <v>14.118186682975306</v>
      </c>
      <c r="J600" s="149">
        <f>1/((182/(ConditieGetal!$B$2*(E600/(I600*ConditieGetal!$B$2))))*24)*10</f>
        <v>2.3026439754022604E-2</v>
      </c>
      <c r="K600" s="149">
        <f>J600*POWER(21.1/10,1.06)</f>
        <v>5.0811989197168936E-2</v>
      </c>
      <c r="M600" s="28"/>
      <c r="N600" s="149"/>
      <c r="O600" s="150"/>
      <c r="P600" s="28"/>
    </row>
    <row r="601" spans="1:16" ht="13.5" customHeight="1">
      <c r="A601" s="395">
        <v>38152</v>
      </c>
      <c r="B601" s="288" t="s">
        <v>86</v>
      </c>
      <c r="C601" s="366" t="s">
        <v>86</v>
      </c>
      <c r="D601" s="178"/>
      <c r="E601" s="67"/>
      <c r="F601" s="67" t="s">
        <v>86</v>
      </c>
      <c r="G601" s="67"/>
      <c r="M601" s="28"/>
      <c r="N601" s="149"/>
      <c r="O601" s="150"/>
      <c r="P601" s="28"/>
    </row>
    <row r="602" spans="1:16" ht="13.5" customHeight="1">
      <c r="A602" s="395">
        <v>38153</v>
      </c>
      <c r="B602" s="177">
        <v>7.2</v>
      </c>
      <c r="D602" s="181">
        <f t="shared" si="70"/>
        <v>0</v>
      </c>
      <c r="H602" s="28" t="s">
        <v>269</v>
      </c>
      <c r="M602" s="28"/>
      <c r="N602" s="149"/>
      <c r="O602" s="150"/>
      <c r="P602" s="28"/>
    </row>
    <row r="603" spans="1:16" ht="13.5" customHeight="1">
      <c r="A603" s="395">
        <v>38154</v>
      </c>
      <c r="B603" s="177">
        <v>20.54</v>
      </c>
      <c r="C603" s="361">
        <v>5.8877314814814813E-2</v>
      </c>
      <c r="D603" s="181">
        <f t="shared" si="70"/>
        <v>2.8664710231165926E-3</v>
      </c>
      <c r="E603" s="66">
        <v>145</v>
      </c>
      <c r="F603" s="66">
        <v>152</v>
      </c>
      <c r="I603" s="49">
        <f t="shared" ref="I603:I608" si="71">IF(D603&gt;0,(1/(D603*24)))</f>
        <v>14.535875761745627</v>
      </c>
      <c r="J603" s="149">
        <f>1/((182/(ConditieGetal!$B$2*(E603/(I603*ConditieGetal!$B$2))))*24)*10</f>
        <v>2.2837269140214608E-2</v>
      </c>
      <c r="K603" s="149">
        <f t="shared" ref="K603:K610" si="72">J603*POWER(21.1/10,1.06)</f>
        <v>5.0394550145022171E-2</v>
      </c>
      <c r="M603" s="28"/>
      <c r="N603" s="149"/>
      <c r="O603" s="150"/>
      <c r="P603" s="28"/>
    </row>
    <row r="604" spans="1:16" ht="13.5" customHeight="1">
      <c r="A604" s="395">
        <v>38155</v>
      </c>
      <c r="B604" s="177">
        <v>15</v>
      </c>
      <c r="C604" s="361">
        <v>3.9290509259259261E-2</v>
      </c>
      <c r="D604" s="181">
        <f t="shared" si="70"/>
        <v>2.6193672839506174E-3</v>
      </c>
      <c r="E604" s="66">
        <v>155</v>
      </c>
      <c r="F604" s="66">
        <v>170</v>
      </c>
      <c r="I604" s="49">
        <f t="shared" si="71"/>
        <v>15.907149379915751</v>
      </c>
      <c r="J604" s="149">
        <f>1/((182/(ConditieGetal!$B$2*(E604/(I604*ConditieGetal!$B$2))))*24)*10</f>
        <v>2.230779829738163E-2</v>
      </c>
      <c r="K604" s="149">
        <f t="shared" si="72"/>
        <v>4.9226177307812494E-2</v>
      </c>
      <c r="M604" s="28"/>
      <c r="N604" s="149"/>
      <c r="O604" s="150"/>
      <c r="P604" s="28"/>
    </row>
    <row r="605" spans="1:16" ht="13.5" customHeight="1">
      <c r="A605" s="395">
        <v>38156</v>
      </c>
      <c r="B605" s="177">
        <v>10.26</v>
      </c>
      <c r="C605" s="361">
        <v>3.2850694444444446E-2</v>
      </c>
      <c r="D605" s="181">
        <f t="shared" si="70"/>
        <v>3.2018220706086205E-3</v>
      </c>
      <c r="E605" s="66">
        <v>139</v>
      </c>
      <c r="F605" s="66">
        <v>146</v>
      </c>
      <c r="I605" s="49">
        <f t="shared" si="71"/>
        <v>13.013423528168268</v>
      </c>
      <c r="J605" s="149">
        <f>1/((182/(ConditieGetal!$B$2*(E605/(I605*ConditieGetal!$B$2))))*24)*10</f>
        <v>2.445347625354935E-2</v>
      </c>
      <c r="K605" s="149">
        <f t="shared" si="72"/>
        <v>5.3961002417297836E-2</v>
      </c>
      <c r="M605" s="28"/>
      <c r="N605" s="149"/>
      <c r="O605" s="150"/>
      <c r="P605" s="28"/>
    </row>
    <row r="606" spans="1:16" ht="13.5" customHeight="1">
      <c r="A606" s="395">
        <v>38157</v>
      </c>
      <c r="B606" s="177">
        <v>15</v>
      </c>
      <c r="C606" s="361">
        <v>3.5729166666666666E-2</v>
      </c>
      <c r="D606" s="181">
        <f t="shared" si="70"/>
        <v>2.3819444444444443E-3</v>
      </c>
      <c r="E606" s="66">
        <v>172</v>
      </c>
      <c r="F606" s="66">
        <v>184</v>
      </c>
      <c r="H606" s="28" t="s">
        <v>267</v>
      </c>
      <c r="I606" s="49">
        <f t="shared" si="71"/>
        <v>17.492711370262391</v>
      </c>
      <c r="J606" s="149">
        <f>1/((182/(ConditieGetal!$B$2*(E606/(I606*ConditieGetal!$B$2))))*24)*10</f>
        <v>2.2510683760683759E-2</v>
      </c>
      <c r="K606" s="149">
        <f t="shared" si="72"/>
        <v>4.9673880647090961E-2</v>
      </c>
      <c r="M606" s="28"/>
      <c r="N606" s="149"/>
      <c r="O606" s="150"/>
      <c r="P606" s="28"/>
    </row>
    <row r="607" spans="1:16" ht="13.5" customHeight="1">
      <c r="A607" s="395">
        <v>38158</v>
      </c>
      <c r="B607" s="177">
        <v>24.66</v>
      </c>
      <c r="C607" s="361">
        <v>7.2129629629629641E-2</v>
      </c>
      <c r="D607" s="181">
        <f t="shared" si="70"/>
        <v>2.9249647051755733E-3</v>
      </c>
      <c r="E607" s="66">
        <v>146</v>
      </c>
      <c r="F607" s="66">
        <v>154</v>
      </c>
      <c r="I607" s="49">
        <f t="shared" si="71"/>
        <v>14.245186136071885</v>
      </c>
      <c r="J607" s="149">
        <f>1/((182/(ConditieGetal!$B$2*(E607/(I607*ConditieGetal!$B$2))))*24)*10</f>
        <v>2.3464002579979874E-2</v>
      </c>
      <c r="K607" s="149">
        <f t="shared" si="72"/>
        <v>5.1777550431260255E-2</v>
      </c>
      <c r="M607" s="28"/>
      <c r="N607" s="149"/>
      <c r="O607" s="150"/>
      <c r="P607" s="28"/>
    </row>
    <row r="608" spans="1:16" ht="13.5" customHeight="1">
      <c r="A608" s="395">
        <v>38159</v>
      </c>
      <c r="B608" s="177">
        <v>10.26</v>
      </c>
      <c r="C608" s="361">
        <v>3.0755787037037036E-2</v>
      </c>
      <c r="D608" s="181">
        <f t="shared" si="70"/>
        <v>2.9976400620893798E-3</v>
      </c>
      <c r="E608" s="66">
        <v>146</v>
      </c>
      <c r="F608" s="66">
        <v>153</v>
      </c>
      <c r="I608" s="49">
        <f t="shared" si="71"/>
        <v>13.899823128739698</v>
      </c>
      <c r="J608" s="149">
        <f>1/((182/(ConditieGetal!$B$2*(E608/(I608*ConditieGetal!$B$2))))*24)*10</f>
        <v>2.4047002695881836E-2</v>
      </c>
      <c r="K608" s="149">
        <f t="shared" si="72"/>
        <v>5.3064045256669974E-2</v>
      </c>
      <c r="M608" s="28"/>
      <c r="N608" s="66"/>
      <c r="O608" s="55"/>
      <c r="P608" s="28"/>
    </row>
    <row r="609" spans="1:16" ht="13.5" customHeight="1">
      <c r="A609" s="395">
        <v>38160</v>
      </c>
      <c r="B609" s="177">
        <v>8</v>
      </c>
      <c r="D609" s="181"/>
      <c r="H609" s="28" t="s">
        <v>269</v>
      </c>
      <c r="M609" s="28"/>
      <c r="N609" s="149"/>
      <c r="O609" s="150"/>
      <c r="P609" s="28"/>
    </row>
    <row r="610" spans="1:16" ht="13.5" customHeight="1">
      <c r="A610" s="395">
        <v>38161</v>
      </c>
      <c r="B610" s="177">
        <v>6.35</v>
      </c>
      <c r="C610" s="361">
        <v>1.8854166666666668E-2</v>
      </c>
      <c r="D610" s="181">
        <f t="shared" si="70"/>
        <v>2.969160104986877E-3</v>
      </c>
      <c r="E610" s="66">
        <v>147</v>
      </c>
      <c r="F610" s="66">
        <v>154</v>
      </c>
      <c r="I610" s="49">
        <f>IF(D610&gt;0,(1/(D610*24)))</f>
        <v>14.033149171270717</v>
      </c>
      <c r="J610" s="149">
        <f>1/((182/(ConditieGetal!$B$2*(E610/(I610*ConditieGetal!$B$2))))*24)*10</f>
        <v>2.398167777104785E-2</v>
      </c>
      <c r="K610" s="149">
        <f t="shared" si="72"/>
        <v>5.2919894037009953E-2</v>
      </c>
      <c r="M610" s="28"/>
      <c r="N610" s="149"/>
      <c r="O610" s="150"/>
      <c r="P610" s="28"/>
    </row>
    <row r="611" spans="1:16" ht="13.5" customHeight="1">
      <c r="A611" s="395">
        <v>38162</v>
      </c>
      <c r="B611" s="177">
        <v>10.5</v>
      </c>
      <c r="C611" s="361">
        <v>2.9591435185185186E-2</v>
      </c>
      <c r="D611" s="181">
        <f t="shared" si="70"/>
        <v>2.818231922398589E-3</v>
      </c>
      <c r="E611" s="66">
        <v>147</v>
      </c>
      <c r="F611" s="66">
        <v>155</v>
      </c>
      <c r="I611" s="49">
        <f>IF(D611&gt;0,(1/(D611*24)))</f>
        <v>14.784683380920718</v>
      </c>
      <c r="J611" s="149">
        <f>1/((182/(ConditieGetal!$B$2*(E611/(I611*ConditieGetal!$B$2))))*24)*10</f>
        <v>2.2762642450142451E-2</v>
      </c>
      <c r="K611" s="149">
        <f>J611*POWER(21.1/10,1.06)</f>
        <v>5.0229872903977797E-2</v>
      </c>
      <c r="M611" s="28"/>
      <c r="N611" s="149"/>
      <c r="O611" s="150"/>
      <c r="P611" s="28"/>
    </row>
    <row r="612" spans="1:16" ht="13.5" customHeight="1">
      <c r="A612" s="395">
        <v>38163</v>
      </c>
      <c r="B612" s="288" t="s">
        <v>86</v>
      </c>
      <c r="C612" s="366" t="s">
        <v>86</v>
      </c>
      <c r="D612" s="178"/>
      <c r="E612" s="67"/>
      <c r="F612" s="67" t="s">
        <v>86</v>
      </c>
      <c r="G612" s="67"/>
      <c r="M612" s="28"/>
      <c r="N612" s="149"/>
      <c r="O612" s="150"/>
      <c r="P612" s="28"/>
    </row>
    <row r="613" spans="1:16" ht="13.5" customHeight="1">
      <c r="A613" s="395">
        <v>38164</v>
      </c>
      <c r="B613" s="288">
        <v>7</v>
      </c>
      <c r="C613" s="366">
        <v>1.6241898148148148E-2</v>
      </c>
      <c r="D613" s="181">
        <f t="shared" si="70"/>
        <v>2.3202711640211639E-3</v>
      </c>
      <c r="E613" s="67">
        <v>177</v>
      </c>
      <c r="F613" s="67">
        <v>187</v>
      </c>
      <c r="G613" s="67"/>
      <c r="H613" s="28" t="s">
        <v>266</v>
      </c>
      <c r="I613" s="49">
        <f>IF(D613&gt;0,(1/(D613*24)))</f>
        <v>17.957671203591534</v>
      </c>
      <c r="J613" s="149">
        <f>1/((182/(ConditieGetal!$B$2*(E613/(I613*ConditieGetal!$B$2))))*24)*10</f>
        <v>2.2565274507238792E-2</v>
      </c>
      <c r="K613" s="149">
        <f>J613*POWER(21.1/10,1.06)</f>
        <v>4.9794344967839251E-2</v>
      </c>
      <c r="M613" s="28"/>
      <c r="N613" s="149"/>
      <c r="O613" s="150"/>
      <c r="P613" s="28"/>
    </row>
    <row r="614" spans="1:16" ht="13.5" customHeight="1">
      <c r="A614" s="395">
        <v>38165</v>
      </c>
      <c r="B614" s="288" t="s">
        <v>86</v>
      </c>
      <c r="C614" s="366" t="s">
        <v>86</v>
      </c>
      <c r="D614" s="178" t="s">
        <v>86</v>
      </c>
      <c r="E614" s="67" t="s">
        <v>86</v>
      </c>
      <c r="F614" s="67" t="s">
        <v>86</v>
      </c>
      <c r="G614" s="67"/>
    </row>
    <row r="615" spans="1:16" ht="13.5" customHeight="1">
      <c r="A615" s="395">
        <v>38166</v>
      </c>
      <c r="B615" s="288" t="s">
        <v>86</v>
      </c>
      <c r="C615" s="366" t="s">
        <v>86</v>
      </c>
      <c r="D615" s="178" t="s">
        <v>86</v>
      </c>
      <c r="E615" s="67" t="s">
        <v>86</v>
      </c>
      <c r="F615" s="67" t="s">
        <v>86</v>
      </c>
      <c r="G615" s="67"/>
    </row>
    <row r="616" spans="1:16" ht="13.5" customHeight="1">
      <c r="A616" s="395">
        <v>38167</v>
      </c>
      <c r="B616" s="288" t="s">
        <v>86</v>
      </c>
      <c r="C616" s="366" t="s">
        <v>86</v>
      </c>
      <c r="D616" s="178" t="s">
        <v>86</v>
      </c>
      <c r="E616" s="67" t="s">
        <v>86</v>
      </c>
      <c r="F616" s="67" t="s">
        <v>86</v>
      </c>
      <c r="G616" s="67"/>
    </row>
    <row r="617" spans="1:16" ht="13.5" customHeight="1">
      <c r="A617" s="395">
        <v>38168</v>
      </c>
      <c r="B617" s="288" t="s">
        <v>86</v>
      </c>
      <c r="C617" s="366" t="s">
        <v>86</v>
      </c>
      <c r="D617" s="178" t="s">
        <v>86</v>
      </c>
      <c r="E617" s="67" t="s">
        <v>86</v>
      </c>
      <c r="F617" s="67" t="s">
        <v>86</v>
      </c>
      <c r="G617" s="67"/>
    </row>
    <row r="618" spans="1:16" ht="13.5" customHeight="1">
      <c r="A618" s="395">
        <v>38169</v>
      </c>
      <c r="B618" s="288" t="s">
        <v>86</v>
      </c>
      <c r="C618" s="366" t="s">
        <v>86</v>
      </c>
      <c r="D618" s="178" t="s">
        <v>86</v>
      </c>
      <c r="E618" s="67" t="s">
        <v>86</v>
      </c>
      <c r="F618" s="67" t="s">
        <v>86</v>
      </c>
      <c r="G618" s="67"/>
    </row>
    <row r="619" spans="1:16" ht="13.5" customHeight="1">
      <c r="A619" s="395">
        <v>38170</v>
      </c>
      <c r="B619" s="177">
        <v>12.54</v>
      </c>
      <c r="C619" s="361">
        <v>3.7425925925925925E-2</v>
      </c>
      <c r="D619" s="181">
        <f>IF(B619&gt;0,C619/B619,"")</f>
        <v>2.9845235985586863E-3</v>
      </c>
      <c r="E619" s="66">
        <v>155</v>
      </c>
      <c r="F619" s="66">
        <v>192</v>
      </c>
      <c r="I619" s="49">
        <f>IF(D619&gt;0,(1/(D619*24)))</f>
        <v>13.96091044037605</v>
      </c>
      <c r="J619" s="149">
        <f>1/((182/(ConditieGetal!$B$2*(E619/(I619*ConditieGetal!$B$2))))*24)*10</f>
        <v>2.5417646031681118E-2</v>
      </c>
      <c r="K619" s="149">
        <f>J619*POWER(21.1/10,1.06)</f>
        <v>5.6088616797723694E-2</v>
      </c>
    </row>
    <row r="620" spans="1:16" ht="13.5" customHeight="1">
      <c r="A620" s="395">
        <v>38171</v>
      </c>
      <c r="B620" s="177">
        <v>16.62</v>
      </c>
      <c r="C620" s="361">
        <v>5.1388888888888894E-2</v>
      </c>
      <c r="D620" s="181">
        <f>IF(B620&gt;0,C620/B620,"")</f>
        <v>3.0919909078753844E-3</v>
      </c>
      <c r="E620" s="66">
        <v>150</v>
      </c>
      <c r="F620" s="66">
        <v>174</v>
      </c>
      <c r="H620" s="151"/>
      <c r="I620" s="49">
        <f>IF(D620&gt;0,(1/(D620*24)))</f>
        <v>13.475675675675676</v>
      </c>
      <c r="J620" s="149">
        <f>1/((182/(ConditieGetal!$B$2*(E620/(I620*ConditieGetal!$B$2))))*24)*10</f>
        <v>2.54834415484235E-2</v>
      </c>
      <c r="K620" s="149">
        <f>J620*POWER(21.1/10,1.06)</f>
        <v>5.623380646324079E-2</v>
      </c>
    </row>
    <row r="621" spans="1:16" ht="13.5" customHeight="1">
      <c r="A621" s="395">
        <v>38172</v>
      </c>
      <c r="B621" s="177">
        <v>10.26</v>
      </c>
      <c r="C621" s="361">
        <v>3.1050925925925926E-2</v>
      </c>
      <c r="D621" s="181">
        <f>IF(B621&gt;0,C621/B621,"")</f>
        <v>3.0264060356652951E-3</v>
      </c>
      <c r="E621" s="66">
        <v>148</v>
      </c>
      <c r="F621" s="66">
        <v>167</v>
      </c>
      <c r="I621" s="49">
        <f>IF(D621&gt;0,(1/(D621*24)))</f>
        <v>13.767705382436262</v>
      </c>
      <c r="J621" s="149">
        <f>1/((182/(ConditieGetal!$B$2*(E621/(I621*ConditieGetal!$B$2))))*24)*10</f>
        <v>2.4610334795519981E-2</v>
      </c>
      <c r="K621" s="149">
        <f>$J621*POWER(21.1/10,1.06)</f>
        <v>5.4307139059576758E-2</v>
      </c>
      <c r="L621" s="149">
        <f>$J621*POWER(16.1/10,1.06)</f>
        <v>4.0771148966131494E-2</v>
      </c>
    </row>
    <row r="622" spans="1:16" ht="13.5" customHeight="1">
      <c r="A622" s="395">
        <v>38173</v>
      </c>
      <c r="B622" s="177">
        <v>10.26</v>
      </c>
      <c r="C622" s="361">
        <v>2.9974537037037036E-2</v>
      </c>
      <c r="D622" s="181">
        <f>IF(B622&gt;0,C622/B622,"")</f>
        <v>2.9214948379178399E-3</v>
      </c>
      <c r="E622" s="66">
        <v>148</v>
      </c>
      <c r="F622" s="66">
        <v>156</v>
      </c>
      <c r="I622" s="49">
        <f>IF(D622&gt;0,(1/(D622*24)))</f>
        <v>14.262105181867325</v>
      </c>
      <c r="J622" s="149">
        <f>1/((182/(ConditieGetal!$B$2*(E622/(I622*ConditieGetal!$B$2))))*24)*10</f>
        <v>2.375721076988134E-2</v>
      </c>
      <c r="K622" s="149">
        <f>$J622*POWER(21.1/10,1.06)</f>
        <v>5.2424567144957475E-2</v>
      </c>
      <c r="L622" s="149">
        <f>$J622*POWER(16.1/10,1.06)</f>
        <v>3.935780587165922E-2</v>
      </c>
    </row>
    <row r="623" spans="1:16" ht="13.5" customHeight="1">
      <c r="A623" s="395">
        <v>38174</v>
      </c>
      <c r="B623" s="288" t="s">
        <v>86</v>
      </c>
      <c r="C623" s="366" t="s">
        <v>86</v>
      </c>
      <c r="D623" s="178" t="s">
        <v>86</v>
      </c>
      <c r="E623" s="67" t="s">
        <v>86</v>
      </c>
      <c r="F623" s="67" t="s">
        <v>86</v>
      </c>
      <c r="G623" s="67"/>
    </row>
    <row r="624" spans="1:16" ht="13.5" customHeight="1">
      <c r="A624" s="395">
        <v>38175</v>
      </c>
      <c r="B624" s="288" t="s">
        <v>86</v>
      </c>
      <c r="C624" s="366" t="s">
        <v>86</v>
      </c>
      <c r="D624" s="178" t="s">
        <v>86</v>
      </c>
      <c r="E624" s="67" t="s">
        <v>86</v>
      </c>
      <c r="F624" s="67" t="s">
        <v>86</v>
      </c>
      <c r="G624" s="67"/>
    </row>
    <row r="625" spans="1:12" ht="13.5" customHeight="1">
      <c r="A625" s="395">
        <v>38176</v>
      </c>
      <c r="B625" s="177">
        <v>10.5</v>
      </c>
      <c r="C625" s="361">
        <v>2.7446759259259258E-2</v>
      </c>
      <c r="D625" s="181">
        <f>IF(B625&gt;0,C625/B625,"")</f>
        <v>2.6139770723104055E-3</v>
      </c>
      <c r="E625" s="66">
        <v>165</v>
      </c>
      <c r="F625" s="66">
        <v>179</v>
      </c>
      <c r="I625" s="49">
        <f>IF(D625&gt;0,(1/(D625*24)))</f>
        <v>15.939951083747999</v>
      </c>
      <c r="J625" s="149">
        <f>1/((182/(ConditieGetal!$B$2*(E625/(I625*ConditieGetal!$B$2))))*24)*10</f>
        <v>2.3698143787429488E-2</v>
      </c>
      <c r="K625" s="149">
        <f>$J625*POWER(21.1/10,1.06)</f>
        <v>5.2294225202984941E-2</v>
      </c>
      <c r="L625" s="149">
        <f>$J625*POWER(16.1/10,1.06)</f>
        <v>3.9259951504356475E-2</v>
      </c>
    </row>
    <row r="626" spans="1:12" ht="13.5" customHeight="1">
      <c r="A626" s="395">
        <v>38177</v>
      </c>
      <c r="B626" s="288" t="s">
        <v>86</v>
      </c>
      <c r="C626" s="366" t="s">
        <v>86</v>
      </c>
      <c r="D626" s="178" t="s">
        <v>86</v>
      </c>
      <c r="E626" s="67" t="s">
        <v>86</v>
      </c>
      <c r="F626" s="67" t="s">
        <v>86</v>
      </c>
      <c r="G626" s="67"/>
    </row>
    <row r="627" spans="1:12" ht="13.5" customHeight="1">
      <c r="A627" s="395">
        <v>38178</v>
      </c>
      <c r="B627" s="177">
        <v>12.54</v>
      </c>
      <c r="C627" s="361">
        <v>3.5499999999999997E-2</v>
      </c>
      <c r="D627" s="181">
        <f>IF(B627&gt;0,C627/B627,"")</f>
        <v>2.8309409888357256E-3</v>
      </c>
      <c r="E627" s="66">
        <v>153</v>
      </c>
      <c r="F627" s="66">
        <v>180</v>
      </c>
      <c r="I627" s="49">
        <f>IF(D627&gt;0,(1/(D627*24)))</f>
        <v>14.71830985915493</v>
      </c>
      <c r="J627" s="149">
        <f>1/((182/(ConditieGetal!$B$2*(E627/(I627*ConditieGetal!$B$2))))*24)*10</f>
        <v>2.3798569851201431E-2</v>
      </c>
      <c r="K627" s="149">
        <f>$J627*POWER(21.1/10,1.06)</f>
        <v>5.2515833411722584E-2</v>
      </c>
      <c r="L627" s="149">
        <f>$J627*POWER(16.1/10,1.06)</f>
        <v>3.9426324129521795E-2</v>
      </c>
    </row>
    <row r="628" spans="1:12" ht="13.5" customHeight="1">
      <c r="A628" s="395">
        <v>38179</v>
      </c>
      <c r="B628" s="177">
        <v>6.35</v>
      </c>
      <c r="C628" s="361">
        <v>1.9305555555555555E-2</v>
      </c>
      <c r="D628" s="181">
        <f>IF(B628&gt;0,C628/B628,"")</f>
        <v>3.0402449693788277E-3</v>
      </c>
      <c r="E628" s="66">
        <v>148</v>
      </c>
      <c r="F628" s="66">
        <v>153</v>
      </c>
      <c r="I628" s="49">
        <f>IF(D628&gt;0,(1/(D628*24)))</f>
        <v>13.705035971223023</v>
      </c>
      <c r="J628" s="149">
        <f>1/((182/(ConditieGetal!$B$2*(E628/(I628*ConditieGetal!$B$2))))*24)*10</f>
        <v>2.472287117956409E-2</v>
      </c>
      <c r="K628" s="149">
        <f>$J628*POWER(21.1/10,1.06)</f>
        <v>5.4555470872545753E-2</v>
      </c>
      <c r="L628" s="149">
        <f>$J628*POWER(16.1/10,1.06)</f>
        <v>4.0957584368822859E-2</v>
      </c>
    </row>
    <row r="629" spans="1:12" ht="13.5" customHeight="1">
      <c r="A629" s="395">
        <v>38180</v>
      </c>
      <c r="B629" s="288" t="s">
        <v>86</v>
      </c>
      <c r="C629" s="366" t="s">
        <v>86</v>
      </c>
      <c r="D629" s="178" t="s">
        <v>86</v>
      </c>
      <c r="E629" s="67" t="s">
        <v>86</v>
      </c>
      <c r="F629" s="67" t="s">
        <v>86</v>
      </c>
      <c r="G629" s="67"/>
    </row>
    <row r="630" spans="1:12" ht="13.5" customHeight="1">
      <c r="A630" s="395">
        <v>38181</v>
      </c>
      <c r="B630" s="177">
        <v>15</v>
      </c>
      <c r="C630" s="361">
        <v>4.7523148148148148E-2</v>
      </c>
      <c r="D630" s="181">
        <f>IF(B630&gt;0,C630/B630,"")</f>
        <v>3.1682098765432099E-3</v>
      </c>
      <c r="E630" s="66">
        <v>143</v>
      </c>
      <c r="F630" s="66">
        <v>158</v>
      </c>
      <c r="H630" s="28" t="s">
        <v>289</v>
      </c>
      <c r="I630" s="49">
        <f>IF(D630&gt;0,(1/(D630*24)))</f>
        <v>13.151485630784217</v>
      </c>
      <c r="J630" s="149">
        <f>1/((182/(ConditieGetal!$B$2*(E630/(I630*ConditieGetal!$B$2))))*24)*10</f>
        <v>2.4893077601410938E-2</v>
      </c>
      <c r="K630" s="149">
        <f>$J630*POWER(21.1/10,1.06)</f>
        <v>5.4931062017358312E-2</v>
      </c>
      <c r="L630" s="149">
        <f>$J630*POWER(16.1/10,1.06)</f>
        <v>4.1239559865611848E-2</v>
      </c>
    </row>
    <row r="631" spans="1:12" ht="13.5" customHeight="1">
      <c r="A631" s="395">
        <v>38182</v>
      </c>
      <c r="B631" s="177">
        <v>20.54</v>
      </c>
      <c r="C631" s="361">
        <v>6.2094907407407411E-2</v>
      </c>
      <c r="D631" s="181">
        <f>IF(B631&gt;0,C631/B631,"")</f>
        <v>3.0231211006527467E-3</v>
      </c>
      <c r="E631" s="66">
        <v>149</v>
      </c>
      <c r="F631" s="66">
        <v>163</v>
      </c>
      <c r="I631" s="49">
        <f>IF(D631&gt;0,(1/(D631*24)))</f>
        <v>13.782665424044731</v>
      </c>
      <c r="J631" s="149">
        <f>1/((182/(ConditieGetal!$B$2*(E631/(I631*ConditieGetal!$B$2))))*24)*10</f>
        <v>2.4749727692157109E-2</v>
      </c>
      <c r="K631" s="149">
        <f>$J631*POWER(21.1/10,1.06)</f>
        <v>5.4614734607727033E-2</v>
      </c>
      <c r="L631" s="149">
        <f>$J631*POWER(16.1/10,1.06)</f>
        <v>4.1002076688197567E-2</v>
      </c>
    </row>
    <row r="632" spans="1:12" ht="13.5" customHeight="1">
      <c r="A632" s="395">
        <v>38183</v>
      </c>
      <c r="B632" s="177">
        <v>8</v>
      </c>
      <c r="F632" s="66">
        <v>192</v>
      </c>
      <c r="H632" s="28" t="s">
        <v>269</v>
      </c>
    </row>
    <row r="633" spans="1:12" ht="13.5" customHeight="1">
      <c r="A633" s="395">
        <v>38184</v>
      </c>
      <c r="B633" s="177">
        <v>10.26</v>
      </c>
      <c r="C633" s="361">
        <v>2.750578703703704E-2</v>
      </c>
      <c r="D633" s="181">
        <f>IF(B633&gt;0,C633/B633,"")</f>
        <v>2.680875929535774E-3</v>
      </c>
      <c r="E633" s="66">
        <v>160</v>
      </c>
      <c r="F633" s="66">
        <v>173</v>
      </c>
      <c r="I633" s="49">
        <f>IF(D633&gt;0,(1/(D633*24)))</f>
        <v>15.542183883862821</v>
      </c>
      <c r="J633" s="149">
        <f>1/((182/(ConditieGetal!$B$2*(E633/(I633*ConditieGetal!$B$2))))*24)*10</f>
        <v>2.3568140039874935E-2</v>
      </c>
      <c r="K633" s="149">
        <f>$J633*POWER(21.1/10,1.06)</f>
        <v>5.2007348504420223E-2</v>
      </c>
      <c r="L633" s="149">
        <f>$J633*POWER(16.1/10,1.06)</f>
        <v>3.9044578483154548E-2</v>
      </c>
    </row>
    <row r="634" spans="1:12" ht="13.5" customHeight="1">
      <c r="A634" s="395">
        <v>38185</v>
      </c>
      <c r="B634" s="288" t="s">
        <v>86</v>
      </c>
      <c r="C634" s="366" t="s">
        <v>86</v>
      </c>
      <c r="D634" s="178" t="s">
        <v>86</v>
      </c>
      <c r="E634" s="67" t="s">
        <v>86</v>
      </c>
      <c r="F634" s="67" t="s">
        <v>86</v>
      </c>
      <c r="G634" s="67"/>
    </row>
    <row r="635" spans="1:12" ht="13.5" customHeight="1">
      <c r="A635" s="395">
        <v>38186</v>
      </c>
      <c r="B635" s="288" t="s">
        <v>86</v>
      </c>
      <c r="C635" s="366" t="s">
        <v>86</v>
      </c>
      <c r="D635" s="178" t="s">
        <v>86</v>
      </c>
      <c r="E635" s="67" t="s">
        <v>86</v>
      </c>
      <c r="F635" s="67" t="s">
        <v>86</v>
      </c>
      <c r="G635" s="67"/>
    </row>
    <row r="636" spans="1:12" ht="13.5" customHeight="1">
      <c r="A636" s="395">
        <v>38187</v>
      </c>
      <c r="B636" s="288" t="s">
        <v>86</v>
      </c>
      <c r="C636" s="366" t="s">
        <v>86</v>
      </c>
      <c r="D636" s="178" t="s">
        <v>86</v>
      </c>
      <c r="E636" s="67" t="s">
        <v>86</v>
      </c>
      <c r="F636" s="67" t="s">
        <v>86</v>
      </c>
      <c r="G636" s="67"/>
    </row>
    <row r="637" spans="1:12" ht="13.5" customHeight="1">
      <c r="A637" s="395">
        <v>38188</v>
      </c>
      <c r="B637" s="177">
        <v>4</v>
      </c>
      <c r="D637" s="181"/>
      <c r="H637" s="28" t="s">
        <v>269</v>
      </c>
    </row>
    <row r="638" spans="1:12" ht="13.5" customHeight="1">
      <c r="A638" s="395">
        <v>38189</v>
      </c>
      <c r="B638" s="177">
        <f>C638/D638</f>
        <v>15.435436893203883</v>
      </c>
      <c r="C638" s="361">
        <v>3.6802083333333332E-2</v>
      </c>
      <c r="D638" s="181">
        <v>2.3842592592592591E-3</v>
      </c>
      <c r="E638" s="66">
        <v>179</v>
      </c>
      <c r="F638" s="66">
        <v>187</v>
      </c>
      <c r="H638" s="28" t="s">
        <v>288</v>
      </c>
      <c r="I638" s="49">
        <f>IF(D638&gt;0,(1/(D638*24)))</f>
        <v>17.475728155339809</v>
      </c>
      <c r="J638" s="149">
        <f>1/((182/(ConditieGetal!$B$2*(E638/(I638*ConditieGetal!$B$2))))*24)*10</f>
        <v>2.3449582824582819E-2</v>
      </c>
      <c r="K638" s="149">
        <f>$J638*POWER(21.1/10,1.06)</f>
        <v>5.1745730642213932E-2</v>
      </c>
      <c r="L638" s="149">
        <f>$J638*POWER(16.1/10,1.06)</f>
        <v>3.8848168563263313E-2</v>
      </c>
    </row>
    <row r="639" spans="1:12" ht="13.5" customHeight="1">
      <c r="A639" s="395">
        <v>38190</v>
      </c>
      <c r="B639" s="177">
        <v>10.5</v>
      </c>
      <c r="C639" s="361">
        <v>2.7372685185185184E-2</v>
      </c>
      <c r="D639" s="181">
        <f>IF(B639&gt;0,C639/B639,"")</f>
        <v>2.6069223985890652E-3</v>
      </c>
      <c r="E639" s="66">
        <v>159</v>
      </c>
      <c r="F639" s="66">
        <v>183</v>
      </c>
      <c r="I639" s="49">
        <f>IF(D639&gt;0,(1/(D639*24)))</f>
        <v>15.983086680761101</v>
      </c>
      <c r="J639" s="149">
        <f>1/((182/(ConditieGetal!$B$2*(E639/(I639*ConditieGetal!$B$2))))*24)*10</f>
        <v>2.2774761614047331E-2</v>
      </c>
      <c r="K639" s="149">
        <f>$J639*POWER(21.1/10,1.06)</f>
        <v>5.0256616023278557E-2</v>
      </c>
      <c r="L639" s="149">
        <f>$J639*POWER(16.1/10,1.06)</f>
        <v>3.7730213999505977E-2</v>
      </c>
    </row>
    <row r="640" spans="1:12" ht="13.5" customHeight="1">
      <c r="A640" s="395">
        <v>38191</v>
      </c>
      <c r="B640" s="288" t="s">
        <v>86</v>
      </c>
      <c r="C640" s="366" t="s">
        <v>86</v>
      </c>
      <c r="D640" s="178" t="s">
        <v>86</v>
      </c>
      <c r="E640" s="67" t="s">
        <v>86</v>
      </c>
      <c r="F640" s="67" t="s">
        <v>86</v>
      </c>
      <c r="G640" s="67"/>
    </row>
    <row r="641" spans="1:12" ht="13.5" customHeight="1">
      <c r="A641" s="395">
        <v>38192</v>
      </c>
      <c r="B641" s="288" t="s">
        <v>86</v>
      </c>
      <c r="C641" s="366" t="s">
        <v>86</v>
      </c>
      <c r="D641" s="178" t="s">
        <v>86</v>
      </c>
      <c r="E641" s="67" t="s">
        <v>86</v>
      </c>
      <c r="F641" s="67" t="s">
        <v>86</v>
      </c>
      <c r="G641" s="67"/>
    </row>
    <row r="642" spans="1:12" ht="13.5" customHeight="1">
      <c r="A642" s="395">
        <v>38193</v>
      </c>
      <c r="B642" s="288" t="s">
        <v>86</v>
      </c>
      <c r="C642" s="366" t="s">
        <v>86</v>
      </c>
      <c r="D642" s="178" t="s">
        <v>86</v>
      </c>
      <c r="E642" s="67" t="s">
        <v>86</v>
      </c>
      <c r="F642" s="67" t="s">
        <v>86</v>
      </c>
      <c r="G642" s="67"/>
    </row>
    <row r="643" spans="1:12" ht="13.5" customHeight="1">
      <c r="A643" s="395">
        <v>38194</v>
      </c>
      <c r="B643" s="177">
        <v>6.35</v>
      </c>
      <c r="C643" s="361">
        <v>2.1740740740740741E-2</v>
      </c>
      <c r="D643" s="181">
        <f>IF(B643&gt;0,C643/B643,"")</f>
        <v>3.4237386993292507E-3</v>
      </c>
      <c r="E643" s="66">
        <v>132</v>
      </c>
      <c r="F643" s="66">
        <v>139</v>
      </c>
      <c r="I643" s="49">
        <f>IF(D643&gt;0,(1/(D643*24)))</f>
        <v>12.169931856899487</v>
      </c>
      <c r="J643" s="149">
        <f>1/((182/(ConditieGetal!$B$2*(E643/(I643*ConditieGetal!$B$2))))*24)*10</f>
        <v>2.4831511445684681E-2</v>
      </c>
      <c r="K643" s="149">
        <f>$J643*POWER(21.1/10,1.06)</f>
        <v>5.4795205199148836E-2</v>
      </c>
      <c r="L643" s="149">
        <f>$J643*POWER(16.1/10,1.06)</f>
        <v>4.1137565198442826E-2</v>
      </c>
    </row>
    <row r="644" spans="1:12" ht="13.5" customHeight="1">
      <c r="A644" s="395">
        <v>38195</v>
      </c>
      <c r="B644" s="177">
        <v>6.35</v>
      </c>
      <c r="C644" s="361">
        <v>2.1417824074074072E-2</v>
      </c>
      <c r="D644" s="181">
        <f>IF(B644&gt;0,C644/B644,"")</f>
        <v>3.3728856809565467E-3</v>
      </c>
      <c r="E644" s="66">
        <v>132</v>
      </c>
      <c r="F644" s="66">
        <v>139</v>
      </c>
      <c r="I644" s="49">
        <f>IF(D644&gt;0,(1/(D644*24)))</f>
        <v>12.353417995136452</v>
      </c>
      <c r="J644" s="149">
        <f>1/((182/(ConditieGetal!$B$2*(E644/(I644*ConditieGetal!$B$2))))*24)*10</f>
        <v>2.4462687356388145E-2</v>
      </c>
      <c r="K644" s="149">
        <f>$J644*POWER(21.1/10,1.06)</f>
        <v>5.3981328375758565E-2</v>
      </c>
      <c r="L644" s="149">
        <f>$J644*POWER(16.1/10,1.06)</f>
        <v>4.0526546209390134E-2</v>
      </c>
    </row>
    <row r="645" spans="1:12" ht="13.5" customHeight="1">
      <c r="A645" s="395">
        <v>38196</v>
      </c>
      <c r="B645" s="288" t="s">
        <v>86</v>
      </c>
      <c r="C645" s="366" t="s">
        <v>86</v>
      </c>
      <c r="D645" s="178" t="s">
        <v>86</v>
      </c>
      <c r="E645" s="67" t="s">
        <v>86</v>
      </c>
      <c r="F645" s="67" t="s">
        <v>86</v>
      </c>
      <c r="G645" s="67"/>
    </row>
    <row r="646" spans="1:12" ht="13.5" customHeight="1">
      <c r="A646" s="395">
        <v>38197</v>
      </c>
      <c r="B646" s="288" t="s">
        <v>86</v>
      </c>
      <c r="C646" s="366" t="s">
        <v>86</v>
      </c>
      <c r="D646" s="178" t="s">
        <v>86</v>
      </c>
      <c r="E646" s="67" t="s">
        <v>86</v>
      </c>
      <c r="F646" s="67" t="s">
        <v>86</v>
      </c>
      <c r="G646" s="67"/>
    </row>
    <row r="647" spans="1:12" ht="13.5" customHeight="1">
      <c r="A647" s="395">
        <v>38198</v>
      </c>
      <c r="B647" s="288" t="s">
        <v>86</v>
      </c>
      <c r="C647" s="366" t="s">
        <v>86</v>
      </c>
      <c r="D647" s="178" t="s">
        <v>86</v>
      </c>
      <c r="E647" s="67" t="s">
        <v>86</v>
      </c>
      <c r="F647" s="67" t="s">
        <v>86</v>
      </c>
      <c r="G647" s="67"/>
    </row>
    <row r="648" spans="1:12" ht="13.5" customHeight="1">
      <c r="A648" s="395">
        <v>38199</v>
      </c>
      <c r="B648" s="177">
        <f>C648/D648</f>
        <v>12.487935656836463</v>
      </c>
      <c r="C648" s="361">
        <v>3.5042824074074073E-2</v>
      </c>
      <c r="D648" s="181">
        <v>2.8061342592592587E-3</v>
      </c>
      <c r="E648" s="66">
        <v>153</v>
      </c>
      <c r="F648" s="66">
        <v>172</v>
      </c>
      <c r="I648" s="49">
        <f>IF(D648&gt;0,(1/(D648*24)))</f>
        <v>14.84842235512477</v>
      </c>
      <c r="J648" s="149">
        <f>1/((182/(ConditieGetal!$B$2*(E648/(I648*ConditieGetal!$B$2))))*24)*10</f>
        <v>2.359002976190476E-2</v>
      </c>
      <c r="K648" s="149">
        <f>$J648*POWER(21.1/10,1.06)</f>
        <v>5.2055652121096967E-2</v>
      </c>
      <c r="L648" s="149">
        <f>$J648*POWER(16.1/10,1.06)</f>
        <v>3.9080842480581662E-2</v>
      </c>
    </row>
    <row r="649" spans="1:12" ht="13.5" customHeight="1">
      <c r="A649" s="395">
        <v>38200</v>
      </c>
      <c r="B649" s="288" t="s">
        <v>86</v>
      </c>
      <c r="C649" s="366" t="s">
        <v>86</v>
      </c>
      <c r="D649" s="178" t="s">
        <v>86</v>
      </c>
      <c r="E649" s="67" t="s">
        <v>86</v>
      </c>
      <c r="F649" s="67" t="s">
        <v>86</v>
      </c>
      <c r="G649" s="67"/>
    </row>
    <row r="650" spans="1:12" ht="13.5" customHeight="1">
      <c r="A650" s="395">
        <v>38201</v>
      </c>
      <c r="B650" s="177">
        <v>10.26</v>
      </c>
      <c r="C650" s="361">
        <v>2.9914351851851855E-2</v>
      </c>
      <c r="D650" s="181">
        <f>IF(B650&gt;0,C650/B650,"")</f>
        <v>2.9156288354631439E-3</v>
      </c>
      <c r="E650" s="66">
        <v>152</v>
      </c>
      <c r="F650" s="66">
        <v>158</v>
      </c>
      <c r="I650" s="49">
        <f>IF(D650&gt;0,(1/(D650*24)))</f>
        <v>14.290799349996128</v>
      </c>
      <c r="J650" s="149">
        <f>1/((182/(ConditieGetal!$B$2*(E650/(I650*ConditieGetal!$B$2))))*24)*10</f>
        <v>2.4350306757714171E-2</v>
      </c>
      <c r="K650" s="149">
        <f>$J650*POWER(21.1/10,1.06)</f>
        <v>5.3733340331284789E-2</v>
      </c>
      <c r="L650" s="149">
        <f>$J650*POWER(16.1/10,1.06)</f>
        <v>4.0340368891303685E-2</v>
      </c>
    </row>
    <row r="651" spans="1:12" ht="13.5" customHeight="1">
      <c r="A651" s="395">
        <v>38202</v>
      </c>
      <c r="B651" s="288" t="s">
        <v>86</v>
      </c>
      <c r="C651" s="366" t="s">
        <v>86</v>
      </c>
      <c r="D651" s="178" t="s">
        <v>86</v>
      </c>
      <c r="E651" s="67" t="s">
        <v>86</v>
      </c>
      <c r="F651" s="67" t="s">
        <v>86</v>
      </c>
      <c r="G651" s="67"/>
    </row>
    <row r="652" spans="1:12" ht="13.5" customHeight="1">
      <c r="A652" s="395">
        <v>38203</v>
      </c>
      <c r="B652" s="177">
        <v>16.62</v>
      </c>
      <c r="C652" s="361">
        <v>5.0879629629629629E-2</v>
      </c>
      <c r="D652" s="181">
        <f>IF(B652&gt;0,C652/B652,"")</f>
        <v>3.0613495565360786E-3</v>
      </c>
      <c r="E652" s="66">
        <v>149</v>
      </c>
      <c r="F652" s="66">
        <v>165</v>
      </c>
      <c r="I652" s="49">
        <f>IF(D652&gt;0,(1/(D652*24)))</f>
        <v>13.610555050045498</v>
      </c>
      <c r="J652" s="149">
        <f>1/((182/(ConditieGetal!$B$2*(E652/(I652*ConditieGetal!$B$2))))*24)*10</f>
        <v>2.5062696918894265E-2</v>
      </c>
      <c r="K652" s="149">
        <f>$J652*POWER(21.1/10,1.06)</f>
        <v>5.5305357610583417E-2</v>
      </c>
      <c r="L652" s="149">
        <f>$J652*POWER(16.1/10,1.06)</f>
        <v>4.1520562725512203E-2</v>
      </c>
    </row>
    <row r="653" spans="1:12" ht="13.5" customHeight="1">
      <c r="A653" s="395">
        <v>38204</v>
      </c>
      <c r="B653" s="288" t="s">
        <v>86</v>
      </c>
      <c r="C653" s="366" t="s">
        <v>86</v>
      </c>
      <c r="D653" s="178" t="s">
        <v>86</v>
      </c>
      <c r="E653" s="67" t="s">
        <v>86</v>
      </c>
      <c r="F653" s="67" t="s">
        <v>86</v>
      </c>
      <c r="G653" s="67"/>
    </row>
    <row r="654" spans="1:12" ht="13.5" customHeight="1">
      <c r="A654" s="395">
        <v>38205</v>
      </c>
      <c r="B654" s="177">
        <v>12.54</v>
      </c>
      <c r="C654" s="361">
        <v>3.5644675925925927E-2</v>
      </c>
      <c r="D654" s="181">
        <f>IF(B654&gt;0,C654/B654,"")</f>
        <v>2.8424781440132322E-3</v>
      </c>
      <c r="E654" s="66">
        <v>159</v>
      </c>
      <c r="F654" s="66">
        <v>170</v>
      </c>
      <c r="I654" s="49">
        <f>IF(D654&gt;0,(1/(D654*24)))</f>
        <v>14.6585706399974</v>
      </c>
      <c r="J654" s="149">
        <f>1/((182/(ConditieGetal!$B$2*(E654/(I654*ConditieGetal!$B$2))))*24)*10</f>
        <v>2.4832638730665046E-2</v>
      </c>
      <c r="K654" s="149">
        <f>$J654*POWER(21.1/10,1.06)</f>
        <v>5.4797692756619998E-2</v>
      </c>
      <c r="L654" s="149">
        <f>$J654*POWER(16.1/10,1.06)</f>
        <v>4.1139432735160374E-2</v>
      </c>
    </row>
    <row r="655" spans="1:12" ht="13.5" customHeight="1">
      <c r="A655" s="395">
        <v>38206</v>
      </c>
      <c r="B655" s="288" t="s">
        <v>86</v>
      </c>
      <c r="C655" s="366" t="s">
        <v>86</v>
      </c>
      <c r="D655" s="178" t="s">
        <v>86</v>
      </c>
      <c r="E655" s="67" t="s">
        <v>86</v>
      </c>
      <c r="F655" s="67" t="s">
        <v>86</v>
      </c>
      <c r="G655" s="67"/>
    </row>
    <row r="656" spans="1:12" ht="13.5" customHeight="1">
      <c r="A656" s="395">
        <v>38207</v>
      </c>
      <c r="B656" s="177">
        <v>16.62</v>
      </c>
      <c r="C656" s="361">
        <v>5.1145833333333335E-2</v>
      </c>
      <c r="D656" s="181">
        <f>IF(B656&gt;0,C656/B656,"")</f>
        <v>3.077366626554352E-3</v>
      </c>
      <c r="E656" s="66">
        <v>150</v>
      </c>
      <c r="F656" s="66">
        <v>168</v>
      </c>
      <c r="I656" s="49">
        <f>IF(D656&gt;0,(1/(D656*24)))</f>
        <v>13.539714867617109</v>
      </c>
      <c r="J656" s="149">
        <f>1/((182/(ConditieGetal!$B$2*(E656/(I656*ConditieGetal!$B$2))))*24)*10</f>
        <v>2.536291175731609E-2</v>
      </c>
      <c r="K656" s="149">
        <f>$J656*POWER(21.1/10,1.06)</f>
        <v>5.5967835756995724E-2</v>
      </c>
      <c r="L656" s="149">
        <f>$J656*POWER(16.1/10,1.06)</f>
        <v>4.2017918978518864E-2</v>
      </c>
    </row>
    <row r="657" spans="1:12" ht="13.5" customHeight="1">
      <c r="A657" s="395">
        <v>38208</v>
      </c>
      <c r="B657" s="177">
        <v>10.26</v>
      </c>
      <c r="C657" s="361">
        <v>2.7347222222222221E-2</v>
      </c>
      <c r="D657" s="181">
        <f>IF(B657&gt;0,C657/B657,"")</f>
        <v>2.6654212692224389E-3</v>
      </c>
      <c r="E657" s="66">
        <v>161</v>
      </c>
      <c r="F657" s="66">
        <v>182</v>
      </c>
      <c r="I657" s="49">
        <f>IF(D657&gt;0,(1/(D657*24)))</f>
        <v>15.632300660233621</v>
      </c>
      <c r="J657" s="149">
        <f>1/((182/(ConditieGetal!$B$2*(E657/(I657*ConditieGetal!$B$2))))*24)*10</f>
        <v>2.357872661235234E-2</v>
      </c>
      <c r="K657" s="149">
        <f>$J657*POWER(21.1/10,1.06)</f>
        <v>5.203070968452897E-2</v>
      </c>
      <c r="L657" s="149">
        <f>$J657*POWER(16.1/10,1.06)</f>
        <v>3.9062116916788361E-2</v>
      </c>
    </row>
    <row r="658" spans="1:12" ht="13.5" customHeight="1">
      <c r="A658" s="395">
        <v>38209</v>
      </c>
      <c r="B658" s="177">
        <v>16.62</v>
      </c>
      <c r="C658" s="361">
        <v>5.0416666666666665E-2</v>
      </c>
      <c r="D658" s="181">
        <f>IF(B658&gt;0,C658/B658,"")</f>
        <v>3.0334937825912552E-3</v>
      </c>
      <c r="E658" s="66">
        <v>147</v>
      </c>
      <c r="F658" s="66">
        <v>153</v>
      </c>
      <c r="I658" s="49">
        <f>IF(D658&gt;0,(1/(D658*24)))</f>
        <v>13.735537190082647</v>
      </c>
      <c r="J658" s="149">
        <f>1/((182/(ConditieGetal!$B$2*(E658/(I658*ConditieGetal!$B$2))))*24)*10</f>
        <v>2.4501295936313981E-2</v>
      </c>
      <c r="K658" s="149">
        <f>$J658*POWER(21.1/10,1.06)</f>
        <v>5.406652516549533E-2</v>
      </c>
      <c r="L658" s="149">
        <f>$J658*POWER(16.1/10,1.06)</f>
        <v>4.0590507800185464E-2</v>
      </c>
    </row>
    <row r="659" spans="1:12" ht="13.5" customHeight="1">
      <c r="D659" s="181"/>
    </row>
    <row r="660" spans="1:12" ht="13.5" customHeight="1">
      <c r="A660" s="395">
        <v>38225</v>
      </c>
      <c r="B660" s="177">
        <v>10.26</v>
      </c>
      <c r="C660" s="361">
        <v>2.6325231481481481E-2</v>
      </c>
      <c r="D660" s="181">
        <f>IF(B660&gt;0,C660/B660,"")</f>
        <v>2.565812035232113E-3</v>
      </c>
      <c r="E660" s="66">
        <v>181</v>
      </c>
      <c r="F660" s="66">
        <v>199</v>
      </c>
      <c r="I660" s="49">
        <f>IF(D660&gt;0,(1/(D660*24)))</f>
        <v>16.239173444713124</v>
      </c>
      <c r="J660" s="149">
        <f>1/((182/(ConditieGetal!$B$2*(E660/(I660*ConditieGetal!$B$2))))*24)*10</f>
        <v>2.5517141669066618E-2</v>
      </c>
      <c r="K660" s="149">
        <f>$J660*POWER(21.1/10,1.06)</f>
        <v>5.6308171852955988E-2</v>
      </c>
      <c r="L660" s="149">
        <f>$J660*POWER(16.1/10,1.06)</f>
        <v>4.2273426705628649E-2</v>
      </c>
    </row>
    <row r="661" spans="1:12" ht="13.5" customHeight="1">
      <c r="A661" s="395">
        <v>38226</v>
      </c>
      <c r="B661" s="177">
        <v>10.26</v>
      </c>
      <c r="C661" s="361">
        <v>3.2247685185185185E-2</v>
      </c>
      <c r="D661" s="181">
        <f>IF(B661&gt;0,C661/B661,"")</f>
        <v>3.143049238322143E-3</v>
      </c>
      <c r="E661" s="66">
        <v>152</v>
      </c>
      <c r="F661" s="66">
        <v>160</v>
      </c>
      <c r="I661" s="49">
        <f>IF(D661&gt;0,(1/(D661*24)))</f>
        <v>13.256765487043284</v>
      </c>
      <c r="J661" s="149">
        <f>1/((182/(ConditieGetal!$B$2*(E661/(I661*ConditieGetal!$B$2))))*24)*10</f>
        <v>2.6249641990382728E-2</v>
      </c>
      <c r="K661" s="149">
        <f>$J661*POWER(21.1/10,1.06)</f>
        <v>5.7924565824895781E-2</v>
      </c>
      <c r="L661" s="149">
        <f>$J661*POWER(16.1/10,1.06)</f>
        <v>4.3486936394393827E-2</v>
      </c>
    </row>
    <row r="662" spans="1:12" ht="13.5" customHeight="1">
      <c r="A662" s="395">
        <v>38227</v>
      </c>
      <c r="B662" s="288" t="s">
        <v>86</v>
      </c>
      <c r="C662" s="366" t="s">
        <v>86</v>
      </c>
      <c r="D662" s="178"/>
      <c r="E662" s="67"/>
      <c r="F662" s="67" t="s">
        <v>86</v>
      </c>
      <c r="G662" s="67"/>
    </row>
    <row r="663" spans="1:12" ht="13.5" customHeight="1">
      <c r="A663" s="395">
        <v>38228</v>
      </c>
      <c r="B663" s="177">
        <v>10.26</v>
      </c>
      <c r="C663" s="361">
        <v>3.032175925925926E-2</v>
      </c>
      <c r="D663" s="181">
        <f t="shared" ref="D663:D700" si="73">IF(B663&gt;0,C663/B663,"")</f>
        <v>2.9553371597718578E-3</v>
      </c>
      <c r="E663" s="66">
        <v>157</v>
      </c>
      <c r="F663" s="66">
        <v>189</v>
      </c>
      <c r="I663" s="49">
        <f t="shared" ref="I663:I668" si="74">IF(D663&gt;0,(1/(D663*24)))</f>
        <v>14.098786166882967</v>
      </c>
      <c r="J663" s="149">
        <f>1/((182/(ConditieGetal!$B$2*(E663/(I663*ConditieGetal!$B$2))))*24)*10</f>
        <v>2.5493842532097889E-2</v>
      </c>
      <c r="K663" s="149">
        <f t="shared" ref="K663:K684" si="75">$J663*POWER(21.1/10,1.06)</f>
        <v>5.6256758108208425E-2</v>
      </c>
      <c r="L663" s="149">
        <f t="shared" ref="L663:L684" si="76">$J663*POWER(16.1/10,1.06)</f>
        <v>4.2234827775868969E-2</v>
      </c>
    </row>
    <row r="664" spans="1:12" ht="13.5" customHeight="1">
      <c r="A664" s="395">
        <v>38229</v>
      </c>
      <c r="B664" s="177">
        <v>16.62</v>
      </c>
      <c r="C664" s="361">
        <v>4.9328703703703701E-2</v>
      </c>
      <c r="D664" s="181">
        <f t="shared" si="73"/>
        <v>2.9680327138209206E-3</v>
      </c>
      <c r="E664" s="66">
        <v>162</v>
      </c>
      <c r="F664" s="66">
        <v>201</v>
      </c>
      <c r="I664" s="49">
        <f t="shared" si="74"/>
        <v>14.038479587048336</v>
      </c>
      <c r="J664" s="149">
        <f>1/((182/(ConditieGetal!$B$2*(E664/(I664*ConditieGetal!$B$2))))*24)*10</f>
        <v>2.6418752727416988E-2</v>
      </c>
      <c r="K664" s="149">
        <f t="shared" si="75"/>
        <v>5.8297739143702433E-2</v>
      </c>
      <c r="L664" s="149">
        <f t="shared" si="76"/>
        <v>4.3767096705445395E-2</v>
      </c>
    </row>
    <row r="665" spans="1:12" ht="13.5" customHeight="1">
      <c r="A665" s="395">
        <v>38230</v>
      </c>
      <c r="B665" s="177">
        <v>16.62</v>
      </c>
      <c r="C665" s="361">
        <v>5.5092592592592589E-2</v>
      </c>
      <c r="D665" s="181">
        <f t="shared" si="73"/>
        <v>3.3148370994339703E-3</v>
      </c>
      <c r="E665" s="66">
        <v>150</v>
      </c>
      <c r="F665" s="66">
        <v>160</v>
      </c>
      <c r="I665" s="49">
        <f t="shared" si="74"/>
        <v>12.569747899159665</v>
      </c>
      <c r="J665" s="149">
        <f>1/((182/(ConditieGetal!$B$2*(E665/(I665*ConditieGetal!$B$2))))*24)*10</f>
        <v>2.7320085984345911E-2</v>
      </c>
      <c r="K665" s="149">
        <f t="shared" si="75"/>
        <v>6.0286693415546419E-2</v>
      </c>
      <c r="L665" s="149">
        <f t="shared" si="76"/>
        <v>4.5260306480595106E-2</v>
      </c>
    </row>
    <row r="666" spans="1:12" ht="13.5" customHeight="1">
      <c r="A666" s="395">
        <v>38234</v>
      </c>
      <c r="B666" s="177">
        <v>10</v>
      </c>
      <c r="C666" s="361">
        <v>3.4913194444444441E-2</v>
      </c>
      <c r="D666" s="181">
        <f t="shared" si="73"/>
        <v>3.491319444444444E-3</v>
      </c>
      <c r="E666" s="66">
        <v>155</v>
      </c>
      <c r="F666" s="66">
        <v>178</v>
      </c>
      <c r="H666" s="429" t="s">
        <v>290</v>
      </c>
      <c r="I666" s="49">
        <f t="shared" si="74"/>
        <v>11.934361014420688</v>
      </c>
      <c r="J666" s="149">
        <f>1/((182/(ConditieGetal!$B$2*(E666/(I666*ConditieGetal!$B$2))))*24)*10</f>
        <v>2.9733764499389491E-2</v>
      </c>
      <c r="K666" s="149">
        <f t="shared" si="75"/>
        <v>6.5612910057891577E-2</v>
      </c>
      <c r="L666" s="149">
        <f t="shared" si="76"/>
        <v>4.9258969932792718E-2</v>
      </c>
    </row>
    <row r="667" spans="1:12" ht="13.5" customHeight="1">
      <c r="A667" s="395">
        <v>38235</v>
      </c>
      <c r="B667" s="177">
        <v>11</v>
      </c>
      <c r="C667" s="361">
        <v>4.2361111111111106E-2</v>
      </c>
      <c r="D667" s="181">
        <f t="shared" si="73"/>
        <v>3.8510101010101007E-3</v>
      </c>
      <c r="E667" s="66">
        <v>156</v>
      </c>
      <c r="F667" s="66">
        <v>170</v>
      </c>
      <c r="H667" s="429"/>
      <c r="I667" s="49">
        <f t="shared" si="74"/>
        <v>10.819672131147543</v>
      </c>
      <c r="J667" s="149">
        <f>1/((182/(ConditieGetal!$B$2*(E667/(I667*ConditieGetal!$B$2))))*24)*10</f>
        <v>3.3008658008658001E-2</v>
      </c>
      <c r="K667" s="149">
        <f t="shared" si="75"/>
        <v>7.2839552795215312E-2</v>
      </c>
      <c r="L667" s="149">
        <f t="shared" si="76"/>
        <v>5.4684380526512449E-2</v>
      </c>
    </row>
    <row r="668" spans="1:12" ht="13.5" customHeight="1">
      <c r="A668" s="395">
        <v>38240</v>
      </c>
      <c r="B668" s="177">
        <v>10.26</v>
      </c>
      <c r="C668" s="361">
        <v>3.1340277777777779E-2</v>
      </c>
      <c r="D668" s="181">
        <f t="shared" si="73"/>
        <v>3.0546079705436433E-3</v>
      </c>
      <c r="E668" s="66">
        <v>162</v>
      </c>
      <c r="F668" s="66">
        <v>168</v>
      </c>
      <c r="I668" s="49">
        <f t="shared" si="74"/>
        <v>13.640593840017726</v>
      </c>
      <c r="J668" s="149">
        <f>1/((182/(ConditieGetal!$B$2*(E668/(I668*ConditieGetal!$B$2))))*24)*10</f>
        <v>2.7189367649893968E-2</v>
      </c>
      <c r="K668" s="149">
        <f t="shared" si="75"/>
        <v>5.9998239852208056E-2</v>
      </c>
      <c r="L668" s="149">
        <f t="shared" si="76"/>
        <v>4.5043749626296849E-2</v>
      </c>
    </row>
    <row r="669" spans="1:12" ht="13.5" customHeight="1">
      <c r="A669" s="395">
        <v>38241</v>
      </c>
      <c r="B669" s="177">
        <v>24.66</v>
      </c>
      <c r="C669" s="361">
        <v>8.1168981481481481E-2</v>
      </c>
      <c r="D669" s="181">
        <f t="shared" si="73"/>
        <v>3.2915239854615359E-3</v>
      </c>
      <c r="E669" s="66">
        <v>153</v>
      </c>
      <c r="F669" s="66">
        <v>176</v>
      </c>
      <c r="I669" s="49">
        <f>IF(D669&gt;0,(1/(D669*24)))</f>
        <v>12.658776557821191</v>
      </c>
      <c r="J669" s="149">
        <f>1/((182/(ConditieGetal!$B$2*(E669/(I669*ConditieGetal!$B$2))))*24)*10</f>
        <v>2.7670503833824994E-2</v>
      </c>
      <c r="K669" s="149">
        <f t="shared" si="75"/>
        <v>6.1059953553563015E-2</v>
      </c>
      <c r="L669" s="149">
        <f t="shared" si="76"/>
        <v>4.5840832445000271E-2</v>
      </c>
    </row>
    <row r="670" spans="1:12" ht="13.5" customHeight="1">
      <c r="A670" s="395">
        <v>38242</v>
      </c>
      <c r="B670" s="177">
        <v>10.26</v>
      </c>
      <c r="C670" s="361">
        <v>2.925462962962963E-2</v>
      </c>
      <c r="D670" s="181">
        <f t="shared" si="73"/>
        <v>2.8513284239405101E-3</v>
      </c>
      <c r="E670" s="66">
        <v>162</v>
      </c>
      <c r="F670" s="66">
        <v>182</v>
      </c>
      <c r="I670" s="49">
        <f>IF(D670&gt;0,(1/(D670*24)))</f>
        <v>14.613071688558314</v>
      </c>
      <c r="J670" s="149">
        <f>1/((182/(ConditieGetal!$B$2*(E670/(I670*ConditieGetal!$B$2))))*24)*10</f>
        <v>2.5379956301008932E-2</v>
      </c>
      <c r="K670" s="149">
        <f t="shared" si="75"/>
        <v>5.6005447614462314E-2</v>
      </c>
      <c r="L670" s="149">
        <f t="shared" si="76"/>
        <v>4.2046156125056466E-2</v>
      </c>
    </row>
    <row r="671" spans="1:12" ht="13.5" customHeight="1">
      <c r="A671" s="395">
        <v>38243</v>
      </c>
      <c r="B671" s="177">
        <v>10.26</v>
      </c>
      <c r="C671" s="361">
        <v>2.7442129629629632E-2</v>
      </c>
      <c r="D671" s="181">
        <f t="shared" si="73"/>
        <v>2.6746715038625372E-3</v>
      </c>
      <c r="E671" s="66">
        <v>164</v>
      </c>
      <c r="F671" s="66">
        <v>177</v>
      </c>
      <c r="I671" s="49">
        <f>IF(D671&gt;0,(1/(D671*24)))</f>
        <v>15.578237030788694</v>
      </c>
      <c r="J671" s="149">
        <f>1/((182/(ConditieGetal!$B$2*(E671/(I671*ConditieGetal!$B$2))))*24)*10</f>
        <v>2.4101435529310777E-2</v>
      </c>
      <c r="K671" s="149">
        <f t="shared" si="75"/>
        <v>5.3184161113646058E-2</v>
      </c>
      <c r="L671" s="149">
        <f t="shared" si="76"/>
        <v>3.9928071943256226E-2</v>
      </c>
    </row>
    <row r="672" spans="1:12" ht="13.5" customHeight="1">
      <c r="A672" s="395">
        <v>38244</v>
      </c>
      <c r="B672" s="288" t="s">
        <v>86</v>
      </c>
      <c r="C672" s="366" t="s">
        <v>86</v>
      </c>
      <c r="D672" s="178"/>
      <c r="E672" s="67"/>
      <c r="F672" s="67" t="s">
        <v>86</v>
      </c>
      <c r="G672" s="67"/>
    </row>
    <row r="673" spans="1:12" ht="13.5" customHeight="1">
      <c r="A673" s="395">
        <v>38245</v>
      </c>
      <c r="B673" s="177">
        <v>10.26</v>
      </c>
      <c r="C673" s="361">
        <v>3.4312499999999996E-2</v>
      </c>
      <c r="D673" s="181">
        <f t="shared" si="73"/>
        <v>3.3442982456140346E-3</v>
      </c>
      <c r="E673" s="66">
        <v>145</v>
      </c>
      <c r="F673" s="66">
        <v>149</v>
      </c>
      <c r="I673" s="49">
        <f>IF(D673&gt;0,(1/(D673*24)))</f>
        <v>12.459016393442624</v>
      </c>
      <c r="J673" s="149">
        <f>1/((182/(ConditieGetal!$B$2*(E673/(I673*ConditieGetal!$B$2))))*24)*10</f>
        <v>2.6644134374397527E-2</v>
      </c>
      <c r="K673" s="149">
        <f t="shared" si="75"/>
        <v>5.8795084366583213E-2</v>
      </c>
      <c r="L673" s="149">
        <f t="shared" si="76"/>
        <v>4.4140479220540166E-2</v>
      </c>
    </row>
    <row r="674" spans="1:12" ht="13.5" customHeight="1">
      <c r="A674" s="395">
        <v>38246</v>
      </c>
      <c r="B674" s="288" t="s">
        <v>86</v>
      </c>
      <c r="C674" s="366" t="s">
        <v>86</v>
      </c>
      <c r="D674" s="178"/>
      <c r="E674" s="67"/>
      <c r="F674" s="67" t="s">
        <v>86</v>
      </c>
      <c r="G674" s="67"/>
    </row>
    <row r="675" spans="1:12" ht="13.5" customHeight="1">
      <c r="A675" s="395">
        <v>38247</v>
      </c>
      <c r="B675" s="177">
        <v>10.26</v>
      </c>
      <c r="C675" s="361">
        <v>3.1150462962962963E-2</v>
      </c>
      <c r="D675" s="181">
        <f t="shared" si="73"/>
        <v>3.0361075012634467E-3</v>
      </c>
      <c r="E675" s="66">
        <v>152</v>
      </c>
      <c r="F675" s="66">
        <v>170</v>
      </c>
      <c r="I675" s="49">
        <f>IF(D675&gt;0,(1/(D675*24)))</f>
        <v>13.723712565950807</v>
      </c>
      <c r="J675" s="149">
        <f>1/((182/(ConditieGetal!$B$2*(E675/(I675*ConditieGetal!$B$2))))*24)*10</f>
        <v>2.5356502208354063E-2</v>
      </c>
      <c r="K675" s="149">
        <f t="shared" si="75"/>
        <v>5.5953691932066806E-2</v>
      </c>
      <c r="L675" s="149">
        <f t="shared" si="76"/>
        <v>4.2007300485202625E-2</v>
      </c>
    </row>
    <row r="676" spans="1:12" ht="13.5" customHeight="1">
      <c r="A676" s="395">
        <v>38248</v>
      </c>
      <c r="B676" s="177">
        <v>11</v>
      </c>
      <c r="C676" s="361">
        <v>2.8653935185185182E-2</v>
      </c>
      <c r="D676" s="181">
        <f t="shared" si="73"/>
        <v>2.6049031986531985E-3</v>
      </c>
      <c r="E676" s="66">
        <v>175</v>
      </c>
      <c r="F676" s="66">
        <v>189</v>
      </c>
      <c r="H676" s="28" t="s">
        <v>268</v>
      </c>
      <c r="I676" s="49">
        <f>IF(D676&gt;0,(1/(D676*24)))</f>
        <v>15.995476026982269</v>
      </c>
      <c r="J676" s="149">
        <f>1/((182/(ConditieGetal!$B$2*(E676/(I676*ConditieGetal!$B$2))))*24)*10</f>
        <v>2.5047146140896138E-2</v>
      </c>
      <c r="K676" s="149">
        <f t="shared" si="75"/>
        <v>5.5271042016332234E-2</v>
      </c>
      <c r="L676" s="149">
        <f t="shared" si="76"/>
        <v>4.1494800252487397E-2</v>
      </c>
    </row>
    <row r="677" spans="1:12" ht="13.5" customHeight="1">
      <c r="A677" s="395">
        <v>38249</v>
      </c>
      <c r="B677" s="177">
        <v>24.66</v>
      </c>
      <c r="C677" s="361">
        <v>8.6435185185185184E-2</v>
      </c>
      <c r="D677" s="181">
        <f t="shared" si="73"/>
        <v>3.5050764470878014E-3</v>
      </c>
      <c r="E677" s="66">
        <v>147</v>
      </c>
      <c r="F677" s="66">
        <v>161</v>
      </c>
      <c r="I677" s="49">
        <f>IF(D677&gt;0,(1/(D677*24)))</f>
        <v>11.887520085698982</v>
      </c>
      <c r="J677" s="149">
        <f>1/((182/(ConditieGetal!$B$2*(E677/(I677*ConditieGetal!$B$2))))*24)*10</f>
        <v>2.8310232841863014E-2</v>
      </c>
      <c r="K677" s="149">
        <f t="shared" si="75"/>
        <v>6.2471630903287258E-2</v>
      </c>
      <c r="L677" s="149">
        <f t="shared" si="76"/>
        <v>4.6900650887186666E-2</v>
      </c>
    </row>
    <row r="678" spans="1:12" ht="13.5" customHeight="1">
      <c r="A678" s="395">
        <v>38250</v>
      </c>
      <c r="B678" s="288" t="s">
        <v>86</v>
      </c>
      <c r="C678" s="366" t="s">
        <v>86</v>
      </c>
      <c r="D678" s="178"/>
      <c r="E678" s="67"/>
      <c r="F678" s="67" t="s">
        <v>86</v>
      </c>
      <c r="G678" s="67"/>
    </row>
    <row r="679" spans="1:12" ht="13.5" customHeight="1">
      <c r="A679" s="395">
        <v>38251</v>
      </c>
      <c r="B679" s="177">
        <v>12.54</v>
      </c>
      <c r="C679" s="361">
        <v>3.6339120370370369E-2</v>
      </c>
      <c r="D679" s="181">
        <f t="shared" si="73"/>
        <v>2.8978564888652611E-3</v>
      </c>
      <c r="E679" s="66">
        <v>156</v>
      </c>
      <c r="F679" s="66">
        <v>189</v>
      </c>
      <c r="I679" s="49">
        <f>IF(D679&gt;0,(1/(D679*24)))</f>
        <v>14.378443800363092</v>
      </c>
      <c r="J679" s="149">
        <f>1/((182/(ConditieGetal!$B$2*(E679/(I679*ConditieGetal!$B$2))))*24)*10</f>
        <v>2.4838769904559375E-2</v>
      </c>
      <c r="K679" s="149">
        <f t="shared" si="75"/>
        <v>5.4811222296792625E-2</v>
      </c>
      <c r="L679" s="149">
        <f t="shared" si="76"/>
        <v>4.1149590053468306E-2</v>
      </c>
    </row>
    <row r="680" spans="1:12" ht="13.5" customHeight="1">
      <c r="A680" s="395">
        <v>38252</v>
      </c>
      <c r="B680" s="177">
        <v>16.62</v>
      </c>
      <c r="C680" s="361">
        <v>5.3321759259259256E-2</v>
      </c>
      <c r="D680" s="181">
        <f t="shared" si="73"/>
        <v>3.2082887640950213E-3</v>
      </c>
      <c r="E680" s="66">
        <v>148</v>
      </c>
      <c r="F680" s="66">
        <v>157</v>
      </c>
      <c r="I680" s="49">
        <f>IF(D680&gt;0,(1/(D680*24)))</f>
        <v>12.987193401345779</v>
      </c>
      <c r="J680" s="149">
        <f>1/((182/(ConditieGetal!$B$2*(E680/(I680*ConditieGetal!$B$2))))*24)*10</f>
        <v>2.6089381158574902E-2</v>
      </c>
      <c r="K680" s="149">
        <f t="shared" si="75"/>
        <v>5.7570921416922285E-2</v>
      </c>
      <c r="L680" s="149">
        <f t="shared" si="76"/>
        <v>4.3221437436278778E-2</v>
      </c>
    </row>
    <row r="681" spans="1:12" ht="13.5" customHeight="1">
      <c r="A681" s="395">
        <v>38253</v>
      </c>
      <c r="B681" s="177">
        <v>12.54</v>
      </c>
      <c r="C681" s="361">
        <v>3.5167824074074074E-2</v>
      </c>
      <c r="D681" s="181">
        <f t="shared" si="73"/>
        <v>2.804451680548172E-3</v>
      </c>
      <c r="E681" s="66">
        <v>165</v>
      </c>
      <c r="F681" s="66">
        <v>191</v>
      </c>
      <c r="I681" s="49">
        <f>IF(D681&gt;0,(1/(D681*24)))</f>
        <v>14.857330919861774</v>
      </c>
      <c r="J681" s="149">
        <f>1/((182/(ConditieGetal!$B$2*(E681/(I681*ConditieGetal!$B$2))))*24)*10</f>
        <v>2.5424974026947711E-2</v>
      </c>
      <c r="K681" s="149">
        <f t="shared" si="75"/>
        <v>5.6104787339948226E-2</v>
      </c>
      <c r="L681" s="149">
        <f t="shared" si="76"/>
        <v>4.2120735541615259E-2</v>
      </c>
    </row>
    <row r="682" spans="1:12" ht="13.5" customHeight="1">
      <c r="A682" s="395">
        <v>38254</v>
      </c>
      <c r="B682" s="288" t="s">
        <v>86</v>
      </c>
      <c r="C682" s="366" t="s">
        <v>86</v>
      </c>
      <c r="D682" s="178"/>
      <c r="E682" s="67"/>
      <c r="F682" s="67" t="s">
        <v>86</v>
      </c>
      <c r="G682" s="67"/>
    </row>
    <row r="683" spans="1:12" ht="13.5" customHeight="1">
      <c r="A683" s="395">
        <v>38255</v>
      </c>
      <c r="B683" s="177">
        <v>9</v>
      </c>
      <c r="C683" s="361">
        <v>2.1923611111111112E-2</v>
      </c>
      <c r="D683" s="181">
        <f t="shared" si="73"/>
        <v>2.4359567901234571E-3</v>
      </c>
      <c r="E683" s="66">
        <v>178</v>
      </c>
      <c r="F683" s="66">
        <v>187</v>
      </c>
      <c r="H683" s="28" t="s">
        <v>236</v>
      </c>
      <c r="I683" s="49">
        <f t="shared" ref="I683:I694" si="77">IF(D683&gt;0,(1/(D683*24)))</f>
        <v>17.104846373139054</v>
      </c>
      <c r="J683" s="149">
        <f>1/((182/(ConditieGetal!$B$2*(E683/(I683*ConditieGetal!$B$2))))*24)*10</f>
        <v>2.3824192782526121E-2</v>
      </c>
      <c r="K683" s="149">
        <f t="shared" si="75"/>
        <v>5.2572375027516341E-2</v>
      </c>
      <c r="L683" s="149">
        <f t="shared" si="76"/>
        <v>3.9468772814542454E-2</v>
      </c>
    </row>
    <row r="684" spans="1:12" ht="13.5" customHeight="1">
      <c r="A684" s="395">
        <v>38256</v>
      </c>
      <c r="B684" s="177">
        <v>16.62</v>
      </c>
      <c r="C684" s="361">
        <v>5.2094907407407409E-2</v>
      </c>
      <c r="D684" s="181">
        <f t="shared" si="73"/>
        <v>3.1344709631412398E-3</v>
      </c>
      <c r="E684" s="66">
        <v>149</v>
      </c>
      <c r="F684" s="66">
        <v>158</v>
      </c>
      <c r="I684" s="49">
        <f t="shared" si="77"/>
        <v>13.293045989780051</v>
      </c>
      <c r="J684" s="149">
        <f>1/((182/(ConditieGetal!$B$2*(E684/(I684*ConditieGetal!$B$2))))*24)*10</f>
        <v>2.5661328214727726E-2</v>
      </c>
      <c r="K684" s="149">
        <f t="shared" si="75"/>
        <v>5.6626345451600536E-2</v>
      </c>
      <c r="L684" s="149">
        <f t="shared" si="76"/>
        <v>4.2512295911631123E-2</v>
      </c>
    </row>
    <row r="685" spans="1:12" ht="13.5" customHeight="1">
      <c r="A685" s="395">
        <v>38258</v>
      </c>
      <c r="B685" s="177">
        <v>15</v>
      </c>
      <c r="C685" s="361">
        <v>4.1075231481481483E-2</v>
      </c>
      <c r="D685" s="181">
        <f>IF(B685&gt;0,C685/B685,"")</f>
        <v>2.738348765432099E-3</v>
      </c>
      <c r="E685" s="66">
        <v>162</v>
      </c>
      <c r="F685" s="66">
        <v>176</v>
      </c>
      <c r="I685" s="49">
        <f t="shared" si="77"/>
        <v>15.215982417086984</v>
      </c>
      <c r="J685" s="149">
        <f>1/((182/(ConditieGetal!$B$2*(E685/(I685*ConditieGetal!$B$2))))*24)*10</f>
        <v>2.4374313186813185E-2</v>
      </c>
      <c r="K685" s="149">
        <f>$J685*POWER(21.1/10,1.06)</f>
        <v>5.3786314843587701E-2</v>
      </c>
      <c r="L685" s="149">
        <f>$J685*POWER(16.1/10,1.06)</f>
        <v>4.0380139569153983E-2</v>
      </c>
    </row>
    <row r="686" spans="1:12" ht="13.5" customHeight="1">
      <c r="A686" s="395">
        <v>38259</v>
      </c>
      <c r="B686" s="177">
        <v>12.54</v>
      </c>
      <c r="C686" s="361">
        <v>3.681712962962963E-2</v>
      </c>
      <c r="D686" s="181">
        <f t="shared" si="73"/>
        <v>2.9359752495717408E-3</v>
      </c>
      <c r="E686" s="66">
        <v>152</v>
      </c>
      <c r="F686" s="66">
        <v>165</v>
      </c>
      <c r="I686" s="49">
        <f t="shared" si="77"/>
        <v>14.191763596353347</v>
      </c>
      <c r="J686" s="149">
        <f>1/((182/(ConditieGetal!$B$2*(E686/(I686*ConditieGetal!$B$2))))*24)*10</f>
        <v>2.4520232853566193E-2</v>
      </c>
      <c r="K686" s="149">
        <f>$J686*POWER(21.1/10,1.06)</f>
        <v>5.4108312886268745E-2</v>
      </c>
      <c r="L686" s="149">
        <f>$J686*POWER(16.1/10,1.06)</f>
        <v>4.0621879981046237E-2</v>
      </c>
    </row>
    <row r="687" spans="1:12" ht="13.5" customHeight="1">
      <c r="A687" s="395">
        <v>38260</v>
      </c>
      <c r="B687" s="177">
        <v>7</v>
      </c>
      <c r="C687" s="361">
        <v>2.0677083333333332E-2</v>
      </c>
      <c r="D687" s="181">
        <f t="shared" si="73"/>
        <v>2.9538690476190476E-3</v>
      </c>
      <c r="E687" s="66">
        <v>151</v>
      </c>
      <c r="F687" s="66">
        <v>160</v>
      </c>
      <c r="I687" s="49">
        <f t="shared" si="77"/>
        <v>14.105793450881611</v>
      </c>
      <c r="J687" s="149">
        <f>1/((182/(ConditieGetal!$B$2*(E687/(I687*ConditieGetal!$B$2))))*24)*10</f>
        <v>2.4507375065410775E-2</v>
      </c>
      <c r="K687" s="149">
        <f>$J687*POWER(21.1/10,1.06)</f>
        <v>5.4079939859442559E-2</v>
      </c>
      <c r="L687" s="149">
        <f>$J687*POWER(16.1/10,1.06)</f>
        <v>4.0600578897553669E-2</v>
      </c>
    </row>
    <row r="688" spans="1:12" ht="13.5" customHeight="1">
      <c r="A688" s="395">
        <v>38264</v>
      </c>
      <c r="B688" s="177">
        <v>16.62</v>
      </c>
      <c r="C688" s="361">
        <v>4.6759259259259257E-2</v>
      </c>
      <c r="D688" s="181">
        <f t="shared" si="73"/>
        <v>2.8134331684271513E-3</v>
      </c>
      <c r="E688" s="66">
        <v>163</v>
      </c>
      <c r="F688" s="66">
        <v>185</v>
      </c>
      <c r="I688" s="49">
        <f t="shared" si="77"/>
        <v>14.809900990099012</v>
      </c>
      <c r="J688" s="149">
        <f>1/((182/(ConditieGetal!$B$2*(E688/(I688*ConditieGetal!$B$2))))*24)*10</f>
        <v>2.5197231123825579E-2</v>
      </c>
      <c r="K688" s="149">
        <f t="shared" ref="K688:K700" si="78">$J688*POWER(21.1/10,1.06)</f>
        <v>5.5602231579839796E-2</v>
      </c>
      <c r="L688" s="149">
        <f t="shared" ref="L688:L700" si="79">$J688*POWER(16.1/10,1.06)</f>
        <v>4.1743441209525882E-2</v>
      </c>
    </row>
    <row r="689" spans="1:12" ht="13.5" customHeight="1">
      <c r="A689" s="395">
        <v>38266</v>
      </c>
      <c r="B689" s="177">
        <v>6.35</v>
      </c>
      <c r="C689" s="361">
        <v>1.9278935185185187E-2</v>
      </c>
      <c r="D689" s="181">
        <f t="shared" si="73"/>
        <v>3.0360527850685336E-3</v>
      </c>
      <c r="E689" s="66">
        <v>150</v>
      </c>
      <c r="F689" s="66">
        <v>161</v>
      </c>
      <c r="I689" s="49">
        <f t="shared" si="77"/>
        <v>13.723959896740107</v>
      </c>
      <c r="J689" s="149">
        <f>1/((182/(ConditieGetal!$B$2*(E689/(I689*ConditieGetal!$B$2))))*24)*10</f>
        <v>2.502241306375165E-2</v>
      </c>
      <c r="K689" s="149">
        <f t="shared" si="78"/>
        <v>5.5216464024158737E-2</v>
      </c>
      <c r="L689" s="149">
        <f t="shared" si="79"/>
        <v>4.1453825760225216E-2</v>
      </c>
    </row>
    <row r="690" spans="1:12" ht="13.5" customHeight="1">
      <c r="A690" s="395">
        <v>38267</v>
      </c>
      <c r="B690" s="177">
        <v>15</v>
      </c>
      <c r="C690" s="361">
        <v>4.206018518518518E-2</v>
      </c>
      <c r="D690" s="181">
        <f t="shared" si="73"/>
        <v>2.8040123456790121E-3</v>
      </c>
      <c r="E690" s="66">
        <v>159</v>
      </c>
      <c r="F690" s="66">
        <v>175</v>
      </c>
      <c r="I690" s="49">
        <f t="shared" si="77"/>
        <v>14.859658778205834</v>
      </c>
      <c r="J690" s="149">
        <f>1/((182/(ConditieGetal!$B$2*(E690/(I690*ConditieGetal!$B$2))))*24)*10</f>
        <v>2.4496591371591374E-2</v>
      </c>
      <c r="K690" s="149">
        <f t="shared" si="78"/>
        <v>5.4056143695567015E-2</v>
      </c>
      <c r="L690" s="149">
        <f t="shared" si="79"/>
        <v>4.0582713899341774E-2</v>
      </c>
    </row>
    <row r="691" spans="1:12" ht="13.5" customHeight="1">
      <c r="A691" s="395">
        <v>38268</v>
      </c>
      <c r="B691" s="177">
        <v>12.54</v>
      </c>
      <c r="C691" s="361">
        <v>3.8329861111111113E-2</v>
      </c>
      <c r="D691" s="181">
        <f t="shared" si="73"/>
        <v>3.0566077441077444E-3</v>
      </c>
      <c r="E691" s="66">
        <v>149</v>
      </c>
      <c r="F691" s="66">
        <v>157</v>
      </c>
      <c r="I691" s="49">
        <f t="shared" si="77"/>
        <v>13.63166953528399</v>
      </c>
      <c r="J691" s="149">
        <f>1/((182/(ConditieGetal!$B$2*(E691/(I691*ConditieGetal!$B$2))))*24)*10</f>
        <v>2.5023876586376594E-2</v>
      </c>
      <c r="K691" s="149">
        <f t="shared" si="78"/>
        <v>5.5219693550590219E-2</v>
      </c>
      <c r="L691" s="149">
        <f t="shared" si="79"/>
        <v>4.1456250331018449E-2</v>
      </c>
    </row>
    <row r="692" spans="1:12" ht="13.5" customHeight="1">
      <c r="A692" s="395">
        <v>38272</v>
      </c>
      <c r="B692" s="177">
        <v>14.3</v>
      </c>
      <c r="C692" s="361">
        <v>4.0748842592592593E-2</v>
      </c>
      <c r="D692" s="181">
        <f t="shared" si="73"/>
        <v>2.8495694120694122E-3</v>
      </c>
      <c r="E692" s="66">
        <v>157</v>
      </c>
      <c r="F692" s="66">
        <v>174</v>
      </c>
      <c r="I692" s="49">
        <f t="shared" si="77"/>
        <v>14.622092197574347</v>
      </c>
      <c r="J692" s="149">
        <f>1/((182/(ConditieGetal!$B$2*(E692/(I692*ConditieGetal!$B$2))))*24)*10</f>
        <v>2.458145042279657E-2</v>
      </c>
      <c r="K692" s="149">
        <f t="shared" si="78"/>
        <v>5.4243400485551978E-2</v>
      </c>
      <c r="L692" s="149">
        <f t="shared" si="79"/>
        <v>4.0723297156195375E-2</v>
      </c>
    </row>
    <row r="693" spans="1:12" ht="13.5" customHeight="1">
      <c r="A693" s="395">
        <v>38276</v>
      </c>
      <c r="B693" s="177">
        <v>12</v>
      </c>
      <c r="C693" s="361">
        <v>3.0131944444444444E-2</v>
      </c>
      <c r="D693" s="181">
        <f t="shared" si="73"/>
        <v>2.5109953703703705E-3</v>
      </c>
      <c r="E693" s="66">
        <v>177</v>
      </c>
      <c r="F693" s="66">
        <v>187</v>
      </c>
      <c r="H693" s="28" t="s">
        <v>291</v>
      </c>
      <c r="I693" s="49">
        <f t="shared" si="77"/>
        <v>16.593685180917259</v>
      </c>
      <c r="J693" s="149">
        <f>1/((182/(ConditieGetal!$B$2*(E693/(I693*ConditieGetal!$B$2))))*24)*10</f>
        <v>2.4420119810744812E-2</v>
      </c>
      <c r="K693" s="149">
        <f t="shared" si="78"/>
        <v>5.3887395414671906E-2</v>
      </c>
      <c r="L693" s="149">
        <f t="shared" si="79"/>
        <v>4.0456025927607421E-2</v>
      </c>
    </row>
    <row r="694" spans="1:12" ht="13.5" customHeight="1">
      <c r="A694" s="395">
        <v>38278</v>
      </c>
      <c r="B694" s="177">
        <v>12.54</v>
      </c>
      <c r="C694" s="361">
        <v>3.8802083333333334E-2</v>
      </c>
      <c r="D694" s="181">
        <f t="shared" si="73"/>
        <v>3.0942650186071242E-3</v>
      </c>
      <c r="E694" s="66">
        <v>153</v>
      </c>
      <c r="F694" s="66">
        <v>157</v>
      </c>
      <c r="I694" s="49">
        <f t="shared" si="77"/>
        <v>13.465771812080536</v>
      </c>
      <c r="J694" s="149">
        <f>1/((182/(ConditieGetal!$B$2*(E694/(I694*ConditieGetal!$B$2))))*24)*10</f>
        <v>2.6012227903675279E-2</v>
      </c>
      <c r="K694" s="149">
        <f t="shared" si="78"/>
        <v>5.7400668855242566E-2</v>
      </c>
      <c r="L694" s="149">
        <f t="shared" si="79"/>
        <v>4.3093620123963831E-2</v>
      </c>
    </row>
    <row r="695" spans="1:12" ht="13.5" customHeight="1">
      <c r="A695" s="395">
        <v>38279</v>
      </c>
      <c r="B695" s="177">
        <v>5</v>
      </c>
      <c r="D695" s="181"/>
      <c r="F695" s="66">
        <v>191</v>
      </c>
      <c r="H695" s="28" t="s">
        <v>269</v>
      </c>
    </row>
    <row r="696" spans="1:12" ht="13.5" customHeight="1">
      <c r="A696" s="395">
        <v>38280</v>
      </c>
      <c r="B696" s="177">
        <v>10.26</v>
      </c>
      <c r="C696" s="361">
        <v>2.870949074074074E-2</v>
      </c>
      <c r="D696" s="181">
        <f t="shared" si="73"/>
        <v>2.7981959786297019E-3</v>
      </c>
      <c r="E696" s="66">
        <v>157</v>
      </c>
      <c r="F696" s="66">
        <v>164</v>
      </c>
      <c r="I696" s="49">
        <f>IF(D696&gt;0,(1/(D696*24)))</f>
        <v>14.890546260834508</v>
      </c>
      <c r="J696" s="149">
        <f>1/((182/(ConditieGetal!$B$2*(E696/(I696*ConditieGetal!$B$2))))*24)*10</f>
        <v>2.4138283991475998E-2</v>
      </c>
      <c r="K696" s="149">
        <f t="shared" si="78"/>
        <v>5.3265473886331405E-2</v>
      </c>
      <c r="L696" s="149">
        <f t="shared" si="79"/>
        <v>3.9989117603650273E-2</v>
      </c>
    </row>
    <row r="697" spans="1:12" ht="13.5" customHeight="1">
      <c r="A697" s="395">
        <v>38281</v>
      </c>
      <c r="B697" s="177">
        <v>12</v>
      </c>
      <c r="C697" s="361">
        <v>3.2722222222222222E-2</v>
      </c>
      <c r="D697" s="181">
        <f t="shared" si="73"/>
        <v>2.7268518518518518E-3</v>
      </c>
      <c r="E697" s="66">
        <v>164</v>
      </c>
      <c r="F697" s="66">
        <v>179</v>
      </c>
      <c r="I697" s="49">
        <f>IF(D697&gt;0,(1/(D697*24)))</f>
        <v>15.280135823429541</v>
      </c>
      <c r="J697" s="149">
        <f>1/((182/(ConditieGetal!$B$2*(E697/(I697*ConditieGetal!$B$2))))*24)*10</f>
        <v>2.4571632071632071E-2</v>
      </c>
      <c r="K697" s="149">
        <f t="shared" si="78"/>
        <v>5.4221734524220834E-2</v>
      </c>
      <c r="L697" s="149">
        <f t="shared" si="79"/>
        <v>4.0707031410066541E-2</v>
      </c>
    </row>
    <row r="698" spans="1:12" ht="13.5" customHeight="1">
      <c r="A698" s="395">
        <v>38283</v>
      </c>
      <c r="B698" s="177">
        <v>16.62</v>
      </c>
      <c r="C698" s="361">
        <v>4.8067129629629633E-2</v>
      </c>
      <c r="D698" s="181">
        <f t="shared" si="73"/>
        <v>2.8921257298212774E-3</v>
      </c>
      <c r="E698" s="66">
        <v>161</v>
      </c>
      <c r="F698" s="66">
        <v>181</v>
      </c>
      <c r="I698" s="49">
        <f>IF(D698&gt;0,(1/(D698*24)))</f>
        <v>14.406934745966771</v>
      </c>
      <c r="J698" s="149">
        <f>1/((182/(ConditieGetal!$B$2*(E698/(I698*ConditieGetal!$B$2))))*24)*10</f>
        <v>2.5584189148418993E-2</v>
      </c>
      <c r="K698" s="149">
        <f t="shared" si="78"/>
        <v>5.6456124199603719E-2</v>
      </c>
      <c r="L698" s="149">
        <f t="shared" si="79"/>
        <v>4.2384502105097692E-2</v>
      </c>
    </row>
    <row r="699" spans="1:12" ht="13.5" customHeight="1">
      <c r="A699" s="395">
        <v>38284</v>
      </c>
      <c r="B699" s="177">
        <v>2.5</v>
      </c>
      <c r="C699" s="361">
        <v>6.1192129629629643E-3</v>
      </c>
      <c r="D699" s="181">
        <f t="shared" si="73"/>
        <v>2.4476851851851856E-3</v>
      </c>
      <c r="E699" s="66">
        <v>182</v>
      </c>
      <c r="F699" s="66">
        <v>191</v>
      </c>
      <c r="H699" s="28" t="s">
        <v>293</v>
      </c>
      <c r="I699" s="49">
        <f>IF(D699&gt;0,(1/(D699*24)))</f>
        <v>17.022886324947983</v>
      </c>
      <c r="J699" s="149">
        <f>1/((182/(ConditieGetal!$B$2*(E699/(I699*ConditieGetal!$B$2))))*24)*10</f>
        <v>2.4476851851851854E-2</v>
      </c>
      <c r="K699" s="149">
        <f t="shared" si="78"/>
        <v>5.4012584887758411E-2</v>
      </c>
      <c r="L699" s="149">
        <f t="shared" si="79"/>
        <v>4.0550012072791804E-2</v>
      </c>
    </row>
    <row r="700" spans="1:12" ht="13.5" customHeight="1">
      <c r="A700" s="395">
        <v>38285</v>
      </c>
      <c r="B700" s="177">
        <v>16.62</v>
      </c>
      <c r="C700" s="361">
        <v>4.7453703703703699E-2</v>
      </c>
      <c r="D700" s="181">
        <f t="shared" si="73"/>
        <v>2.855216829344386E-3</v>
      </c>
      <c r="E700" s="66">
        <v>153</v>
      </c>
      <c r="F700" s="66">
        <v>169</v>
      </c>
      <c r="I700" s="49">
        <f>IF(D700&gt;0,(1/(D700*24)))</f>
        <v>14.593170731707319</v>
      </c>
      <c r="J700" s="149">
        <f>1/((182/(ConditieGetal!$B$2*(E700/(I700*ConditieGetal!$B$2))))*24)*10</f>
        <v>2.4002646971961042E-2</v>
      </c>
      <c r="K700" s="149">
        <f t="shared" si="78"/>
        <v>5.2966166357944336E-2</v>
      </c>
      <c r="L700" s="149">
        <f t="shared" si="79"/>
        <v>3.9764412122237115E-2</v>
      </c>
    </row>
    <row r="701" spans="1:12" ht="13.5" customHeight="1">
      <c r="A701" s="395">
        <v>38286</v>
      </c>
      <c r="B701" s="177">
        <v>3.75</v>
      </c>
      <c r="H701" s="28" t="s">
        <v>269</v>
      </c>
    </row>
    <row r="702" spans="1:12" ht="13.5" customHeight="1">
      <c r="A702" s="395">
        <v>38288</v>
      </c>
      <c r="B702" s="177">
        <v>6</v>
      </c>
      <c r="D702" s="181"/>
      <c r="H702" s="28" t="s">
        <v>269</v>
      </c>
    </row>
    <row r="703" spans="1:12" ht="13.5" customHeight="1">
      <c r="A703" s="395">
        <v>38290</v>
      </c>
      <c r="B703" s="177">
        <v>11.86</v>
      </c>
      <c r="C703" s="361">
        <v>2.8631944444444443E-2</v>
      </c>
      <c r="D703" s="181">
        <f>IF(B703&gt;0,C703/B703,"")</f>
        <v>2.4141605771032413E-3</v>
      </c>
      <c r="E703" s="66">
        <v>178</v>
      </c>
      <c r="F703" s="66">
        <v>185</v>
      </c>
      <c r="H703" s="28" t="s">
        <v>122</v>
      </c>
      <c r="I703" s="49">
        <f>IF(D703&gt;0,(1/(D703*24)))</f>
        <v>17.25927722532137</v>
      </c>
      <c r="J703" s="149">
        <f>1/((182/(ConditieGetal!$B$2*(E703/(I703*ConditieGetal!$B$2))))*24)*10</f>
        <v>2.3611021028811921E-2</v>
      </c>
      <c r="K703" s="149">
        <f>$J703*POWER(21.1/10,1.06)</f>
        <v>5.2101973134623829E-2</v>
      </c>
      <c r="L703" s="149">
        <f>$J703*POWER(16.1/10,1.06)</f>
        <v>3.9115618036345966E-2</v>
      </c>
    </row>
    <row r="704" spans="1:12" ht="13.5" customHeight="1">
      <c r="A704" s="395">
        <v>38292</v>
      </c>
      <c r="B704" s="177">
        <v>16.62</v>
      </c>
      <c r="C704" s="361">
        <v>4.8888888888888891E-2</v>
      </c>
      <c r="D704" s="181">
        <f t="shared" ref="D704:D750" si="80">IF(B704&gt;0,C704/B704,"")</f>
        <v>2.9415697285733386E-3</v>
      </c>
      <c r="E704" s="66">
        <v>148</v>
      </c>
      <c r="F704" s="66">
        <v>165</v>
      </c>
      <c r="I704" s="49">
        <f>IF(D704&gt;0,(1/(D704*24)))</f>
        <v>14.164772727272728</v>
      </c>
      <c r="J704" s="149">
        <f>1/((182/(ConditieGetal!$B$2*(E704/(I704*ConditieGetal!$B$2))))*24)*10</f>
        <v>2.3920457133453518E-2</v>
      </c>
      <c r="K704" s="149">
        <f>$J704*POWER(21.1/10,1.06)</f>
        <v>5.2784799666828669E-2</v>
      </c>
      <c r="L704" s="149">
        <f>$J704*POWER(16.1/10,1.06)</f>
        <v>3.9628250864085418E-2</v>
      </c>
    </row>
    <row r="705" spans="1:12" ht="13.5" customHeight="1">
      <c r="A705" s="395">
        <v>38293</v>
      </c>
      <c r="B705" s="177">
        <f>5*(0.3+0.25+0.2)</f>
        <v>3.75</v>
      </c>
      <c r="D705" s="181"/>
    </row>
    <row r="706" spans="1:12" ht="13.5" customHeight="1">
      <c r="A706" s="395">
        <v>38294</v>
      </c>
      <c r="B706" s="177">
        <v>10.26</v>
      </c>
      <c r="C706" s="361">
        <v>3.1152777777777779E-2</v>
      </c>
      <c r="D706" s="181">
        <f t="shared" si="80"/>
        <v>3.0363331167424738E-3</v>
      </c>
      <c r="E706" s="66">
        <v>144</v>
      </c>
      <c r="F706" s="66">
        <v>154</v>
      </c>
      <c r="H706" s="28" t="s">
        <v>269</v>
      </c>
      <c r="I706" s="49">
        <f t="shared" ref="I706:I712" si="81">IF(D706&gt;0,(1/(D706*24)))</f>
        <v>13.72269282211324</v>
      </c>
      <c r="J706" s="149">
        <f>1/((182/(ConditieGetal!$B$2*(E706/(I706*ConditieGetal!$B$2))))*24)*10</f>
        <v>2.4023734550050344E-2</v>
      </c>
      <c r="K706" s="149">
        <f t="shared" ref="K706:K715" si="82">$J706*POWER(21.1/10,1.06)</f>
        <v>5.3012699899452023E-2</v>
      </c>
      <c r="L706" s="149">
        <f t="shared" ref="L706:L715" si="83">$J706*POWER(16.1/10,1.06)</f>
        <v>3.9799347233634721E-2</v>
      </c>
    </row>
    <row r="707" spans="1:12" ht="13.5" customHeight="1">
      <c r="A707" s="395">
        <v>38295</v>
      </c>
      <c r="B707" s="177">
        <v>12</v>
      </c>
      <c r="C707" s="361">
        <v>3.3008101851851851E-2</v>
      </c>
      <c r="D707" s="181">
        <f t="shared" si="80"/>
        <v>2.7506751543209876E-3</v>
      </c>
      <c r="E707" s="66">
        <v>160</v>
      </c>
      <c r="F707" s="66">
        <v>172</v>
      </c>
      <c r="I707" s="49">
        <f t="shared" si="81"/>
        <v>15.14779620603808</v>
      </c>
      <c r="J707" s="149">
        <f>1/((182/(ConditieGetal!$B$2*(E707/(I707*ConditieGetal!$B$2))))*24)*10</f>
        <v>2.4181759598426264E-2</v>
      </c>
      <c r="K707" s="149">
        <f t="shared" si="82"/>
        <v>5.3361410648344793E-2</v>
      </c>
      <c r="L707" s="149">
        <f t="shared" si="83"/>
        <v>4.006114224135187E-2</v>
      </c>
    </row>
    <row r="708" spans="1:12" ht="13.5" customHeight="1">
      <c r="A708" s="395">
        <v>38297</v>
      </c>
      <c r="B708" s="177">
        <v>10</v>
      </c>
      <c r="C708" s="361">
        <v>2.3210648148148147E-2</v>
      </c>
      <c r="D708" s="181">
        <f t="shared" si="80"/>
        <v>2.3210648148148149E-3</v>
      </c>
      <c r="E708" s="66">
        <v>182</v>
      </c>
      <c r="F708" s="66">
        <v>188</v>
      </c>
      <c r="H708" s="28" t="s">
        <v>292</v>
      </c>
      <c r="I708" s="49">
        <f t="shared" si="81"/>
        <v>17.951530866660018</v>
      </c>
      <c r="J708" s="149">
        <f>1/((182/(ConditieGetal!$B$2*(E708/(I708*ConditieGetal!$B$2))))*24)*10</f>
        <v>2.3210648148148147E-2</v>
      </c>
      <c r="K708" s="149">
        <f t="shared" si="82"/>
        <v>5.1218478217283293E-2</v>
      </c>
      <c r="L708" s="149">
        <f t="shared" si="83"/>
        <v>3.8452333180809851E-2</v>
      </c>
    </row>
    <row r="709" spans="1:12" ht="13.5" customHeight="1">
      <c r="A709" s="395">
        <v>38300</v>
      </c>
      <c r="B709" s="177">
        <v>12</v>
      </c>
      <c r="C709" s="361">
        <v>3.1344907407407405E-2</v>
      </c>
      <c r="D709" s="181">
        <f t="shared" si="80"/>
        <v>2.6120756172839502E-3</v>
      </c>
      <c r="E709" s="66">
        <v>164</v>
      </c>
      <c r="F709" s="66">
        <v>179</v>
      </c>
      <c r="I709" s="49">
        <f t="shared" si="81"/>
        <v>15.951554538069567</v>
      </c>
      <c r="J709" s="149">
        <f>1/((182/(ConditieGetal!$B$2*(E709/(I709*ConditieGetal!$B$2))))*24)*10</f>
        <v>2.3537384683218011E-2</v>
      </c>
      <c r="K709" s="149">
        <f t="shared" si="82"/>
        <v>5.1939481267152955E-2</v>
      </c>
      <c r="L709" s="149">
        <f t="shared" si="83"/>
        <v>3.8993627074399469E-2</v>
      </c>
    </row>
    <row r="710" spans="1:12" ht="13.5" customHeight="1">
      <c r="A710" s="395">
        <v>38302</v>
      </c>
      <c r="B710" s="177">
        <v>12.54</v>
      </c>
      <c r="C710" s="361">
        <v>3.236805555555556E-2</v>
      </c>
      <c r="D710" s="181">
        <f t="shared" si="80"/>
        <v>2.5811846535530752E-3</v>
      </c>
      <c r="E710" s="66">
        <v>167</v>
      </c>
      <c r="F710" s="66">
        <v>183</v>
      </c>
      <c r="I710" s="49">
        <f t="shared" si="81"/>
        <v>16.142458699849811</v>
      </c>
      <c r="J710" s="149">
        <f>1/((182/(ConditieGetal!$B$2*(E710/(I710*ConditieGetal!$B$2))))*24)*10</f>
        <v>2.3684496546338661E-2</v>
      </c>
      <c r="K710" s="149">
        <f t="shared" si="82"/>
        <v>5.2264110105979679E-2</v>
      </c>
      <c r="L710" s="149">
        <f t="shared" si="83"/>
        <v>3.9237342559613794E-2</v>
      </c>
    </row>
    <row r="711" spans="1:12" ht="13.5" customHeight="1">
      <c r="A711" s="395">
        <v>38303</v>
      </c>
      <c r="B711" s="177">
        <v>16.62</v>
      </c>
      <c r="C711" s="361">
        <v>4.9386574074074076E-2</v>
      </c>
      <c r="D711" s="181">
        <f t="shared" si="80"/>
        <v>2.9715146855640237E-3</v>
      </c>
      <c r="E711" s="66">
        <v>153</v>
      </c>
      <c r="F711" s="66">
        <v>164</v>
      </c>
      <c r="I711" s="49">
        <f t="shared" si="81"/>
        <v>14.022029528943051</v>
      </c>
      <c r="J711" s="149">
        <f>1/((182/(ConditieGetal!$B$2*(E711/(I711*ConditieGetal!$B$2))))*24)*10</f>
        <v>2.4980315763258001E-2</v>
      </c>
      <c r="K711" s="149">
        <f t="shared" si="82"/>
        <v>5.5123568743743558E-2</v>
      </c>
      <c r="L711" s="149">
        <f t="shared" si="83"/>
        <v>4.1384084518435567E-2</v>
      </c>
    </row>
    <row r="712" spans="1:12" ht="13.5" customHeight="1">
      <c r="A712" s="395">
        <v>38304</v>
      </c>
      <c r="B712" s="177">
        <v>8</v>
      </c>
      <c r="C712" s="361">
        <v>2.4749999999999998E-2</v>
      </c>
      <c r="D712" s="181">
        <f t="shared" si="80"/>
        <v>3.0937499999999997E-3</v>
      </c>
      <c r="E712" s="66">
        <v>139</v>
      </c>
      <c r="F712" s="66">
        <v>146</v>
      </c>
      <c r="I712" s="49">
        <f t="shared" si="81"/>
        <v>13.468013468013469</v>
      </c>
      <c r="J712" s="149">
        <f>1/((182/(ConditieGetal!$B$2*(E712/(I712*ConditieGetal!$B$2))))*24)*10</f>
        <v>2.3628090659340656E-2</v>
      </c>
      <c r="K712" s="149">
        <f t="shared" si="82"/>
        <v>5.2139640350715027E-2</v>
      </c>
      <c r="L712" s="149">
        <f t="shared" si="83"/>
        <v>3.9143896743436553E-2</v>
      </c>
    </row>
    <row r="713" spans="1:12" ht="13.5" customHeight="1">
      <c r="A713" s="395">
        <v>38304</v>
      </c>
      <c r="B713" s="177">
        <v>9</v>
      </c>
      <c r="D713" s="181"/>
      <c r="F713" s="66">
        <v>187</v>
      </c>
      <c r="H713" s="28" t="s">
        <v>262</v>
      </c>
    </row>
    <row r="714" spans="1:12" ht="13.5" customHeight="1">
      <c r="A714" s="395">
        <v>38304</v>
      </c>
      <c r="B714" s="177">
        <v>8</v>
      </c>
      <c r="C714" s="361">
        <v>2.7559027777777776E-2</v>
      </c>
      <c r="D714" s="181"/>
      <c r="F714" s="66">
        <v>149</v>
      </c>
      <c r="H714" s="28" t="s">
        <v>294</v>
      </c>
    </row>
    <row r="715" spans="1:12" ht="13.5" customHeight="1">
      <c r="A715" s="395">
        <v>38306</v>
      </c>
      <c r="B715" s="177">
        <v>16.62</v>
      </c>
      <c r="C715" s="361">
        <v>4.673611111111111E-2</v>
      </c>
      <c r="D715" s="181">
        <f t="shared" si="80"/>
        <v>2.8120403797299103E-3</v>
      </c>
      <c r="E715" s="66">
        <v>151</v>
      </c>
      <c r="F715" s="66">
        <v>155</v>
      </c>
      <c r="I715" s="49">
        <f>IF(D715&gt;0,(1/(D715*24)))</f>
        <v>14.817236255572066</v>
      </c>
      <c r="J715" s="149">
        <f>1/((182/(ConditieGetal!$B$2*(E715/(I715*ConditieGetal!$B$2))))*24)*10</f>
        <v>2.3330664688967939E-2</v>
      </c>
      <c r="K715" s="149">
        <f t="shared" si="82"/>
        <v>5.1483316344269538E-2</v>
      </c>
      <c r="L715" s="149">
        <f t="shared" si="83"/>
        <v>3.8651160718298459E-2</v>
      </c>
    </row>
    <row r="716" spans="1:12" ht="13.5" customHeight="1">
      <c r="A716" s="395">
        <v>38307</v>
      </c>
      <c r="B716" s="177">
        <f>3*0.4+4*0.3+5*0.2+5*0.1</f>
        <v>3.9000000000000004</v>
      </c>
      <c r="D716" s="181"/>
      <c r="H716" s="28" t="s">
        <v>269</v>
      </c>
    </row>
    <row r="717" spans="1:12" ht="13.5" customHeight="1">
      <c r="A717" s="395">
        <v>38308</v>
      </c>
      <c r="B717" s="177">
        <v>6.35</v>
      </c>
      <c r="C717" s="361">
        <v>1.9892361111111111E-2</v>
      </c>
      <c r="D717" s="181">
        <f>IF(B717&gt;0,C717/B717,"")</f>
        <v>3.1326552930883642E-3</v>
      </c>
      <c r="E717" s="66">
        <v>140</v>
      </c>
      <c r="F717" s="66">
        <v>169</v>
      </c>
      <c r="I717" s="49">
        <f>IF(D717&gt;0,(1/(D717*24)))</f>
        <v>13.30075056728923</v>
      </c>
      <c r="J717" s="149">
        <f>1/((182/(ConditieGetal!$B$2*(E717/(I717*ConditieGetal!$B$2))))*24)*10</f>
        <v>2.4097348408372035E-2</v>
      </c>
      <c r="K717" s="149">
        <f>$J717*POWER(21.1/10,1.06)</f>
        <v>5.3175142144704042E-2</v>
      </c>
      <c r="L717" s="149">
        <f>$J717*POWER(16.1/10,1.06)</f>
        <v>3.992130094164164E-2</v>
      </c>
    </row>
    <row r="718" spans="1:12" ht="13.5" customHeight="1">
      <c r="A718" s="395">
        <v>38309</v>
      </c>
      <c r="B718" s="177">
        <v>4</v>
      </c>
      <c r="D718" s="181"/>
      <c r="H718" s="28" t="s">
        <v>269</v>
      </c>
    </row>
    <row r="719" spans="1:12" ht="13.5" customHeight="1">
      <c r="A719" s="395">
        <v>38311</v>
      </c>
      <c r="B719" s="177">
        <v>8</v>
      </c>
      <c r="C719" s="361">
        <v>2.5231481481481483E-2</v>
      </c>
      <c r="D719" s="181">
        <f>IF(B719&gt;0,C719/B719,"")</f>
        <v>3.1539351851851854E-3</v>
      </c>
      <c r="E719" s="66">
        <v>140</v>
      </c>
      <c r="F719" s="66">
        <v>149</v>
      </c>
      <c r="I719" s="49">
        <f>IF(D719&gt;0,(1/(D719*24)))</f>
        <v>13.211009174311926</v>
      </c>
      <c r="J719" s="149">
        <f>1/((182/(ConditieGetal!$B$2*(E719/(I719*ConditieGetal!$B$2))))*24)*10</f>
        <v>2.4261039886039889E-2</v>
      </c>
      <c r="K719" s="149">
        <f>$J719*POWER(21.1/10,1.06)</f>
        <v>5.3536356891046862E-2</v>
      </c>
      <c r="L719" s="149">
        <f>$J719*POWER(16.1/10,1.06)</f>
        <v>4.0192483340253188E-2</v>
      </c>
    </row>
    <row r="720" spans="1:12" ht="13.5" customHeight="1">
      <c r="A720" s="395">
        <v>38311</v>
      </c>
      <c r="B720" s="177">
        <v>9</v>
      </c>
      <c r="D720" s="181"/>
      <c r="F720" s="66">
        <v>185</v>
      </c>
      <c r="H720" s="28" t="s">
        <v>262</v>
      </c>
    </row>
    <row r="721" spans="1:12" ht="13.5" customHeight="1">
      <c r="A721" s="395">
        <v>38311</v>
      </c>
      <c r="B721" s="177">
        <v>7.5</v>
      </c>
      <c r="C721" s="361">
        <v>2.2222222222222223E-2</v>
      </c>
      <c r="D721" s="181">
        <f>IF(B721&gt;0,C721/B721,"")</f>
        <v>2.9629629629629632E-3</v>
      </c>
      <c r="E721" s="66">
        <v>153</v>
      </c>
      <c r="F721" s="66">
        <v>167</v>
      </c>
      <c r="I721" s="49">
        <f>IF(D721&gt;0,(1/(D721*24)))</f>
        <v>14.062499999999996</v>
      </c>
      <c r="J721" s="149">
        <f>1/((182/(ConditieGetal!$B$2*(E721/(I721*ConditieGetal!$B$2))))*24)*10</f>
        <v>2.4908424908424914E-2</v>
      </c>
      <c r="K721" s="149">
        <f>$J721*POWER(21.1/10,1.06)</f>
        <v>5.4964928616212945E-2</v>
      </c>
      <c r="L721" s="149">
        <f>$J721*POWER(16.1/10,1.06)</f>
        <v>4.1264985254810926E-2</v>
      </c>
    </row>
    <row r="722" spans="1:12" ht="13.5" customHeight="1">
      <c r="A722" s="395">
        <v>38312</v>
      </c>
      <c r="B722" s="177">
        <f>24.66 - 5 + 2.1</f>
        <v>21.76</v>
      </c>
      <c r="C722" s="361">
        <v>6.4490740740740737E-2</v>
      </c>
      <c r="D722" s="181">
        <f>IF(B722&gt;0,C722/B722,"")</f>
        <v>2.9637288943355116E-3</v>
      </c>
      <c r="E722" s="66">
        <v>148</v>
      </c>
      <c r="F722" s="66">
        <v>157</v>
      </c>
      <c r="I722" s="49">
        <f>IF(D722&gt;0,(1/(D722*24)))</f>
        <v>14.05886575735822</v>
      </c>
      <c r="J722" s="149">
        <f>1/((182/(ConditieGetal!$B$2*(E722/(I722*ConditieGetal!$B$2))))*24)*10</f>
        <v>2.4100652547343726E-2</v>
      </c>
      <c r="K722" s="149">
        <f>$J722*POWER(21.1/10,1.06)</f>
        <v>5.3182433322824886E-2</v>
      </c>
      <c r="L722" s="149">
        <f>$J722*POWER(16.1/10,1.06)</f>
        <v>3.9926774802250972E-2</v>
      </c>
    </row>
    <row r="723" spans="1:12" ht="13.5" customHeight="1">
      <c r="A723" s="395">
        <v>38313</v>
      </c>
      <c r="B723" s="177">
        <v>12.54</v>
      </c>
      <c r="C723" s="361">
        <v>3.4461805555555551E-2</v>
      </c>
      <c r="D723" s="181">
        <f t="shared" si="80"/>
        <v>2.7481503632819423E-3</v>
      </c>
      <c r="E723" s="66">
        <v>154</v>
      </c>
      <c r="F723" s="66">
        <v>160</v>
      </c>
      <c r="I723" s="49">
        <f>IF(D723&gt;0,(1/(D723*24)))</f>
        <v>15.161712846347607</v>
      </c>
      <c r="J723" s="149">
        <f>1/((182/(ConditieGetal!$B$2*(E723/(I723*ConditieGetal!$B$2))))*24)*10</f>
        <v>2.3253579997001048E-2</v>
      </c>
      <c r="K723" s="149">
        <f>$J723*POWER(21.1/10,1.06)</f>
        <v>5.1313215079057464E-2</v>
      </c>
      <c r="L723" s="149">
        <f>$J723*POWER(16.1/10,1.06)</f>
        <v>3.8523456991985783E-2</v>
      </c>
    </row>
    <row r="724" spans="1:12" ht="13.5" customHeight="1">
      <c r="A724" s="395">
        <v>38314</v>
      </c>
      <c r="B724" s="177">
        <v>7.2</v>
      </c>
      <c r="D724" s="181"/>
      <c r="H724" s="28" t="s">
        <v>269</v>
      </c>
    </row>
    <row r="725" spans="1:12" ht="13.5" customHeight="1">
      <c r="A725" s="395">
        <v>38315</v>
      </c>
      <c r="B725" s="177">
        <v>10.26</v>
      </c>
      <c r="C725" s="361">
        <v>2.9849537037037036E-2</v>
      </c>
      <c r="D725" s="181">
        <f t="shared" si="80"/>
        <v>2.9093116020503934E-3</v>
      </c>
      <c r="E725" s="66">
        <v>150</v>
      </c>
      <c r="F725" s="66">
        <v>157</v>
      </c>
      <c r="I725" s="49">
        <f>IF(D725&gt;0,(1/(D725*24)))</f>
        <v>14.321830166731292</v>
      </c>
      <c r="J725" s="149">
        <f>1/((182/(ConditieGetal!$B$2*(E725/(I725*ConditieGetal!$B$2))))*24)*10</f>
        <v>2.3977842874041699E-2</v>
      </c>
      <c r="K725" s="149">
        <f>$J725*POWER(21.1/10,1.06)</f>
        <v>5.2911431645631592E-2</v>
      </c>
      <c r="L725" s="149">
        <f>$J725*POWER(16.1/10,1.06)</f>
        <v>3.9723319972144781E-2</v>
      </c>
    </row>
    <row r="726" spans="1:12" ht="13.5" customHeight="1">
      <c r="A726" s="395">
        <v>38316</v>
      </c>
      <c r="B726" s="177">
        <v>8</v>
      </c>
      <c r="C726" s="361">
        <v>2.2201388888888885E-2</v>
      </c>
      <c r="D726" s="181">
        <f t="shared" si="80"/>
        <v>2.7751736111111106E-3</v>
      </c>
    </row>
    <row r="727" spans="1:12" ht="13.5" customHeight="1">
      <c r="A727" s="395">
        <v>38318</v>
      </c>
      <c r="B727" s="177">
        <v>10.26</v>
      </c>
      <c r="C727" s="361">
        <v>3.121875E-2</v>
      </c>
      <c r="D727" s="181">
        <f t="shared" si="80"/>
        <v>3.0427631578947368E-3</v>
      </c>
      <c r="E727" s="66">
        <v>145</v>
      </c>
      <c r="F727" s="66">
        <v>165</v>
      </c>
      <c r="I727" s="49">
        <f>IF(D727&gt;0,(1/(D727*24)))</f>
        <v>13.693693693693692</v>
      </c>
      <c r="J727" s="149">
        <f>1/((182/(ConditieGetal!$B$2*(E727/(I727*ConditieGetal!$B$2))))*24)*10</f>
        <v>2.4241794389820708E-2</v>
      </c>
      <c r="K727" s="149">
        <f>$J727*POWER(21.1/10,1.06)</f>
        <v>5.3493888235169991E-2</v>
      </c>
      <c r="L727" s="149">
        <f>$J727*POWER(16.1/10,1.06)</f>
        <v>4.0160599946557046E-2</v>
      </c>
    </row>
    <row r="728" spans="1:12" ht="13.5" customHeight="1">
      <c r="A728" s="395">
        <v>38319</v>
      </c>
      <c r="B728" s="177">
        <v>9</v>
      </c>
      <c r="C728" s="361">
        <v>2.2581018518518518E-2</v>
      </c>
      <c r="D728" s="181">
        <f t="shared" si="80"/>
        <v>2.5090020576131688E-3</v>
      </c>
      <c r="H728" s="28" t="s">
        <v>295</v>
      </c>
    </row>
    <row r="729" spans="1:12" ht="13.5" customHeight="1">
      <c r="A729" s="395">
        <v>38321</v>
      </c>
      <c r="B729" s="177">
        <v>12</v>
      </c>
      <c r="C729" s="361">
        <v>3.4568287037037036E-2</v>
      </c>
      <c r="D729" s="181">
        <f t="shared" si="80"/>
        <v>2.880690586419753E-3</v>
      </c>
      <c r="E729" s="66">
        <v>153</v>
      </c>
      <c r="F729" s="66">
        <v>165</v>
      </c>
      <c r="I729" s="49">
        <f>IF(D729&gt;0,(1/(D729*24)))</f>
        <v>14.464124284327184</v>
      </c>
      <c r="J729" s="149">
        <f>1/((182/(ConditieGetal!$B$2*(E729/(I729*ConditieGetal!$B$2))))*24)*10</f>
        <v>2.4216794490231994E-2</v>
      </c>
      <c r="K729" s="149">
        <f>$J729*POWER(21.1/10,1.06)</f>
        <v>5.343872145118593E-2</v>
      </c>
      <c r="L729" s="149">
        <f>$J729*POWER(16.1/10,1.06)</f>
        <v>4.0119183418145764E-2</v>
      </c>
    </row>
    <row r="730" spans="1:12" ht="13.5" customHeight="1">
      <c r="A730" s="395">
        <v>38322</v>
      </c>
      <c r="B730" s="177">
        <v>12.54</v>
      </c>
      <c r="C730" s="361">
        <v>3.4721064814814816E-2</v>
      </c>
      <c r="D730" s="181">
        <f t="shared" si="80"/>
        <v>2.7688249453600333E-3</v>
      </c>
      <c r="E730" s="66">
        <v>153</v>
      </c>
      <c r="F730" s="66">
        <v>164</v>
      </c>
      <c r="I730" s="49">
        <f>IF(D730&gt;0,(1/(D730*24)))</f>
        <v>15.048501616720555</v>
      </c>
      <c r="J730" s="149">
        <f>1/((182/(ConditieGetal!$B$2*(E730/(I730*ConditieGetal!$B$2))))*24)*10</f>
        <v>2.3276385529675009E-2</v>
      </c>
      <c r="K730" s="149">
        <f>$J730*POWER(21.1/10,1.06)</f>
        <v>5.1363539596970077E-2</v>
      </c>
      <c r="L730" s="149">
        <f>$J730*POWER(16.1/10,1.06)</f>
        <v>3.8561238183409126E-2</v>
      </c>
    </row>
    <row r="731" spans="1:12" ht="13.5" customHeight="1">
      <c r="A731" s="395">
        <v>38323</v>
      </c>
      <c r="D731" s="181"/>
      <c r="F731" s="66">
        <v>188</v>
      </c>
      <c r="H731" s="28" t="s">
        <v>269</v>
      </c>
    </row>
    <row r="732" spans="1:12" ht="13.5" customHeight="1">
      <c r="A732" s="395">
        <v>38324</v>
      </c>
      <c r="B732" s="177">
        <v>12.54</v>
      </c>
      <c r="C732" s="361">
        <v>3.6807870370370373E-2</v>
      </c>
      <c r="D732" s="181">
        <f t="shared" si="80"/>
        <v>2.9352368716403809E-3</v>
      </c>
      <c r="E732" s="66">
        <v>148</v>
      </c>
      <c r="F732" s="66">
        <v>160</v>
      </c>
      <c r="I732" s="49">
        <f>IF(D732&gt;0,(1/(D732*24)))</f>
        <v>14.19533362681592</v>
      </c>
      <c r="J732" s="149">
        <f>1/((182/(ConditieGetal!$B$2*(E732/(I732*ConditieGetal!$B$2))))*24)*10</f>
        <v>2.3868959175976721E-2</v>
      </c>
      <c r="K732" s="149">
        <f>$J732*POWER(21.1/10,1.06)</f>
        <v>5.2671160142571338E-2</v>
      </c>
      <c r="L732" s="149">
        <f>$J732*POWER(16.1/10,1.06)</f>
        <v>3.9542935856663401E-2</v>
      </c>
    </row>
    <row r="733" spans="1:12" ht="13.5" customHeight="1">
      <c r="A733" s="395">
        <v>38327</v>
      </c>
      <c r="B733" s="177">
        <v>16.62</v>
      </c>
      <c r="C733" s="361">
        <v>4.7326388888888883E-2</v>
      </c>
      <c r="D733" s="181">
        <f t="shared" si="80"/>
        <v>2.8475564915095594E-3</v>
      </c>
      <c r="E733" s="66">
        <v>150</v>
      </c>
      <c r="F733" s="66">
        <v>162</v>
      </c>
      <c r="I733" s="49">
        <f>IF(D733&gt;0,(1/(D733*24)))</f>
        <v>14.632428466617759</v>
      </c>
      <c r="J733" s="149">
        <f>1/((182/(ConditieGetal!$B$2*(E733/(I733*ConditieGetal!$B$2))))*24)*10</f>
        <v>2.3468872182771092E-2</v>
      </c>
      <c r="K733" s="149">
        <f>$J733*POWER(21.1/10,1.06)</f>
        <v>5.1788296087430512E-2</v>
      </c>
      <c r="L733" s="149">
        <f>$J733*POWER(16.1/10,1.06)</f>
        <v>3.888012462167087E-2</v>
      </c>
    </row>
    <row r="734" spans="1:12" ht="13.5" customHeight="1">
      <c r="A734" s="395">
        <v>38328</v>
      </c>
      <c r="B734" s="177">
        <v>4.8</v>
      </c>
      <c r="D734" s="181"/>
      <c r="F734" s="66">
        <v>186</v>
      </c>
      <c r="H734" s="28" t="s">
        <v>269</v>
      </c>
    </row>
    <row r="735" spans="1:12" ht="13.5" customHeight="1">
      <c r="A735" s="395">
        <v>38329</v>
      </c>
      <c r="B735" s="177">
        <v>16.62</v>
      </c>
      <c r="C735" s="361">
        <v>4.9664351851851855E-2</v>
      </c>
      <c r="D735" s="181">
        <f t="shared" si="80"/>
        <v>2.9882281499309178E-3</v>
      </c>
      <c r="E735" s="66">
        <v>147</v>
      </c>
      <c r="F735" s="66">
        <v>155</v>
      </c>
      <c r="I735" s="49">
        <f>IF(D735&gt;0,(1/(D735*24)))</f>
        <v>13.943602889769283</v>
      </c>
      <c r="J735" s="149">
        <f>1/((182/(ConditieGetal!$B$2*(E735/(I735*ConditieGetal!$B$2))))*24)*10</f>
        <v>2.4135688903288186E-2</v>
      </c>
      <c r="K735" s="149">
        <f>$J735*POWER(21.1/10,1.06)</f>
        <v>5.3259747356552006E-2</v>
      </c>
      <c r="L735" s="149">
        <f>$J735*POWER(16.1/10,1.06)</f>
        <v>3.9984818404636337E-2</v>
      </c>
    </row>
    <row r="736" spans="1:12" ht="13.5" customHeight="1">
      <c r="A736" s="395">
        <v>38330</v>
      </c>
      <c r="B736" s="177">
        <v>6</v>
      </c>
      <c r="D736" s="181"/>
      <c r="H736" s="28" t="s">
        <v>269</v>
      </c>
    </row>
    <row r="737" spans="1:12" ht="13.5" customHeight="1">
      <c r="A737" s="395">
        <v>38331</v>
      </c>
      <c r="B737" s="177">
        <f>21.3</f>
        <v>21.3</v>
      </c>
      <c r="C737" s="361">
        <v>6.3379629629629633E-2</v>
      </c>
      <c r="D737" s="181">
        <f t="shared" si="80"/>
        <v>2.9755694661797948E-3</v>
      </c>
      <c r="E737" s="66">
        <v>147</v>
      </c>
      <c r="F737" s="66">
        <v>157</v>
      </c>
      <c r="I737" s="49">
        <f>IF(D737&gt;0,(1/(D737*24)))</f>
        <v>14.002921840759679</v>
      </c>
      <c r="J737" s="149">
        <f>1/((182/(ConditieGetal!$B$2*(E737/(I737*ConditieGetal!$B$2))))*24)*10</f>
        <v>2.403344568837526E-2</v>
      </c>
      <c r="K737" s="149">
        <f>$J737*POWER(21.1/10,1.06)</f>
        <v>5.3034129276330472E-2</v>
      </c>
      <c r="L737" s="149">
        <f>$J737*POWER(16.1/10,1.06)</f>
        <v>3.9815435363705506E-2</v>
      </c>
    </row>
    <row r="738" spans="1:12" ht="13.5" customHeight="1">
      <c r="A738" s="395">
        <v>38332</v>
      </c>
      <c r="B738" s="177">
        <v>7.5</v>
      </c>
      <c r="C738" s="361">
        <v>2.5011574074074075E-2</v>
      </c>
      <c r="D738" s="181">
        <f t="shared" si="80"/>
        <v>3.3348765432098765E-3</v>
      </c>
      <c r="E738" s="66">
        <v>137</v>
      </c>
      <c r="F738" s="66">
        <v>145</v>
      </c>
      <c r="I738" s="49">
        <f>IF(D738&gt;0,(1/(D738*24)))</f>
        <v>12.494215640906988</v>
      </c>
      <c r="J738" s="149">
        <f>1/((182/(ConditieGetal!$B$2*(E738/(I738*ConditieGetal!$B$2))))*24)*10</f>
        <v>2.5103191561524893E-2</v>
      </c>
      <c r="K738" s="149">
        <f>$J738*POWER(21.1/10,1.06)</f>
        <v>5.5394716337589023E-2</v>
      </c>
      <c r="L738" s="149">
        <f>$J738*POWER(16.1/10,1.06)</f>
        <v>4.1587648895641184E-2</v>
      </c>
    </row>
    <row r="739" spans="1:12" ht="13.5" customHeight="1">
      <c r="A739" s="395">
        <v>38332</v>
      </c>
      <c r="B739" s="177">
        <v>9</v>
      </c>
      <c r="D739" s="181"/>
      <c r="F739" s="66">
        <v>180</v>
      </c>
      <c r="H739" s="28" t="s">
        <v>262</v>
      </c>
    </row>
    <row r="740" spans="1:12" ht="13.5" customHeight="1">
      <c r="A740" s="395">
        <v>38332</v>
      </c>
      <c r="B740" s="177">
        <v>7.5</v>
      </c>
      <c r="C740" s="361">
        <v>2.616550925925926E-2</v>
      </c>
      <c r="D740" s="181">
        <f t="shared" si="80"/>
        <v>3.4887345679012346E-3</v>
      </c>
      <c r="E740" s="66">
        <v>139</v>
      </c>
      <c r="F740" s="66">
        <v>144</v>
      </c>
      <c r="I740" s="49">
        <f>IF(D740&gt;0,(1/(D740*24)))</f>
        <v>11.943203432565134</v>
      </c>
      <c r="J740" s="149">
        <f>1/((182/(ConditieGetal!$B$2*(E740/(I740*ConditieGetal!$B$2))))*24)*10</f>
        <v>2.6644731040564376E-2</v>
      </c>
      <c r="K740" s="149">
        <f>$J740*POWER(21.1/10,1.06)</f>
        <v>5.8796401018012971E-2</v>
      </c>
      <c r="L740" s="149">
        <f>$J740*POWER(16.1/10,1.06)</f>
        <v>4.4141467698160387E-2</v>
      </c>
    </row>
    <row r="741" spans="1:12" ht="13.5" customHeight="1">
      <c r="A741" s="395">
        <v>38335</v>
      </c>
      <c r="B741" s="177">
        <v>4</v>
      </c>
      <c r="D741" s="181"/>
      <c r="H741" s="28" t="s">
        <v>269</v>
      </c>
    </row>
    <row r="742" spans="1:12" ht="13.5" customHeight="1">
      <c r="A742" s="395">
        <v>38336</v>
      </c>
      <c r="B742" s="177">
        <v>12.54</v>
      </c>
      <c r="C742" s="361">
        <v>3.7791666666666668E-2</v>
      </c>
      <c r="D742" s="181">
        <f t="shared" si="80"/>
        <v>3.013689526847422E-3</v>
      </c>
      <c r="E742" s="66">
        <v>150</v>
      </c>
      <c r="F742" s="66">
        <v>165</v>
      </c>
      <c r="I742" s="49">
        <f>IF(D742&gt;0,(1/(D742*24)))</f>
        <v>13.825799338478499</v>
      </c>
      <c r="J742" s="149">
        <f>1/((182/(ConditieGetal!$B$2*(E742/(I742*ConditieGetal!$B$2))))*24)*10</f>
        <v>2.4838100495995236E-2</v>
      </c>
      <c r="K742" s="149">
        <f>$J742*POWER(21.1/10,1.06)</f>
        <v>5.4809745126153442E-2</v>
      </c>
      <c r="L742" s="149">
        <f>$J742*POWER(16.1/10,1.06)</f>
        <v>4.1148481065861497E-2</v>
      </c>
    </row>
    <row r="743" spans="1:12" ht="13.5" customHeight="1">
      <c r="A743" s="395">
        <v>38337</v>
      </c>
      <c r="B743" s="177">
        <v>12</v>
      </c>
      <c r="C743" s="361">
        <v>3.3056712962962961E-2</v>
      </c>
      <c r="D743" s="181">
        <f t="shared" si="80"/>
        <v>2.7547260802469136E-3</v>
      </c>
      <c r="E743" s="66">
        <v>161</v>
      </c>
      <c r="F743" s="66">
        <v>181</v>
      </c>
      <c r="I743" s="49">
        <f>IF(D743&gt;0,(1/(D743*24)))</f>
        <v>15.125520815097511</v>
      </c>
      <c r="J743" s="149">
        <f>1/((182/(ConditieGetal!$B$2*(E743/(I743*ConditieGetal!$B$2))))*24)*10</f>
        <v>2.4368730709876545E-2</v>
      </c>
      <c r="K743" s="149">
        <f>$J743*POWER(21.1/10,1.06)</f>
        <v>5.377399610213969E-2</v>
      </c>
      <c r="L743" s="149">
        <f>$J743*POWER(16.1/10,1.06)</f>
        <v>4.0370891259422531E-2</v>
      </c>
    </row>
    <row r="744" spans="1:12" ht="13.5" customHeight="1">
      <c r="A744" s="395">
        <v>38340</v>
      </c>
      <c r="B744" s="177">
        <f>6*1.7</f>
        <v>10.199999999999999</v>
      </c>
      <c r="C744" s="361">
        <v>2.4988425925925928E-2</v>
      </c>
      <c r="D744" s="181"/>
      <c r="E744" s="66">
        <v>189</v>
      </c>
      <c r="F744" s="66">
        <v>191</v>
      </c>
      <c r="H744" s="28" t="s">
        <v>296</v>
      </c>
    </row>
    <row r="745" spans="1:12" ht="13.5" customHeight="1">
      <c r="A745" s="395">
        <v>38341</v>
      </c>
      <c r="B745" s="177">
        <v>10.26</v>
      </c>
      <c r="C745" s="361">
        <v>3.0956018518518522E-2</v>
      </c>
      <c r="D745" s="181">
        <f t="shared" si="80"/>
        <v>3.0171558010251972E-3</v>
      </c>
      <c r="E745" s="66">
        <v>144</v>
      </c>
      <c r="F745" s="66">
        <v>149</v>
      </c>
      <c r="I745" s="49">
        <f>IF(D745&gt;0,(1/(D745*24)))</f>
        <v>13.809915501383383</v>
      </c>
      <c r="J745" s="149">
        <f>1/((182/(ConditieGetal!$B$2*(E745/(I745*ConditieGetal!$B$2))))*24)*10</f>
        <v>2.3872001942177382E-2</v>
      </c>
      <c r="K745" s="149">
        <f>$J745*POWER(21.1/10,1.06)</f>
        <v>5.2677874554567676E-2</v>
      </c>
      <c r="L745" s="149">
        <f>$J745*POWER(16.1/10,1.06)</f>
        <v>3.9547976709421687E-2</v>
      </c>
    </row>
    <row r="746" spans="1:12" ht="13.5" customHeight="1">
      <c r="A746" s="395">
        <v>38342</v>
      </c>
      <c r="B746" s="177">
        <v>12</v>
      </c>
      <c r="C746" s="361">
        <v>3.406597222222222E-2</v>
      </c>
      <c r="D746" s="181">
        <f t="shared" si="80"/>
        <v>2.8388310185185183E-3</v>
      </c>
      <c r="E746" s="66">
        <v>155</v>
      </c>
      <c r="F746" s="66">
        <v>169</v>
      </c>
      <c r="I746" s="49">
        <f>IF(D746&gt;0,(1/(D746*24)))</f>
        <v>14.677402915095302</v>
      </c>
      <c r="J746" s="149">
        <f>1/((182/(ConditieGetal!$B$2*(E746/(I746*ConditieGetal!$B$2))))*24)*10</f>
        <v>2.4176857575295075E-2</v>
      </c>
      <c r="K746" s="149">
        <f>$J746*POWER(21.1/10,1.06)</f>
        <v>5.3350593450851518E-2</v>
      </c>
      <c r="L746" s="149">
        <f>$J746*POWER(16.1/10,1.06)</f>
        <v>4.0053021217522744E-2</v>
      </c>
    </row>
    <row r="747" spans="1:12" ht="13.5" customHeight="1">
      <c r="A747" s="395">
        <v>38344</v>
      </c>
      <c r="B747" s="177">
        <f>0.5 + 1 +1.5 +2*1+0.5</f>
        <v>5.5</v>
      </c>
      <c r="D747" s="181"/>
      <c r="H747" s="28" t="s">
        <v>269</v>
      </c>
    </row>
    <row r="748" spans="1:12" ht="13.5" customHeight="1">
      <c r="A748" s="395">
        <v>38345</v>
      </c>
      <c r="B748" s="177">
        <f>24.66 - 5 + 2.1</f>
        <v>21.76</v>
      </c>
      <c r="C748" s="361">
        <v>6.0219907407407403E-2</v>
      </c>
      <c r="D748" s="181">
        <f t="shared" si="80"/>
        <v>2.7674589801198251E-3</v>
      </c>
      <c r="E748" s="66">
        <v>152</v>
      </c>
      <c r="F748" s="66">
        <v>166</v>
      </c>
      <c r="I748" s="49">
        <f>IF(D748&gt;0,(1/(D748*24)))</f>
        <v>15.055929271574097</v>
      </c>
      <c r="J748" s="149">
        <f>1/((182/(ConditieGetal!$B$2*(E748/(I748*ConditieGetal!$B$2))))*24)*10</f>
        <v>2.3112844229572164E-2</v>
      </c>
      <c r="K748" s="149">
        <f>$J748*POWER(21.1/10,1.06)</f>
        <v>5.1002656244489804E-2</v>
      </c>
      <c r="L748" s="149">
        <f>$J748*POWER(16.1/10,1.06)</f>
        <v>3.8290304579132364E-2</v>
      </c>
    </row>
    <row r="749" spans="1:12" ht="13.5" customHeight="1">
      <c r="A749" s="395">
        <v>38348</v>
      </c>
      <c r="B749" s="177">
        <v>21.76</v>
      </c>
      <c r="C749" s="361">
        <v>5.9085648148148151E-2</v>
      </c>
      <c r="D749" s="181">
        <f t="shared" si="80"/>
        <v>2.7153330950435727E-3</v>
      </c>
      <c r="E749" s="66">
        <v>153</v>
      </c>
      <c r="F749" s="66">
        <v>172</v>
      </c>
      <c r="I749" s="49">
        <f>IF(D749&gt;0,(1/(D749*24)))</f>
        <v>15.344955925563173</v>
      </c>
      <c r="J749" s="149">
        <f>1/((182/(ConditieGetal!$B$2*(E749/(I749*ConditieGetal!$B$2))))*24)*10</f>
        <v>2.2826701293498168E-2</v>
      </c>
      <c r="K749" s="149">
        <f>$J749*POWER(21.1/10,1.06)</f>
        <v>5.0371230286679801E-2</v>
      </c>
      <c r="L749" s="149">
        <f>$J749*POWER(16.1/10,1.06)</f>
        <v>3.7816260793494684E-2</v>
      </c>
    </row>
    <row r="750" spans="1:12" ht="13.5" customHeight="1">
      <c r="A750" s="395">
        <v>38350</v>
      </c>
      <c r="B750" s="177">
        <v>16.62</v>
      </c>
      <c r="C750" s="361">
        <v>4.7951388888888891E-2</v>
      </c>
      <c r="D750" s="181">
        <f t="shared" si="80"/>
        <v>2.8851617863350715E-3</v>
      </c>
      <c r="E750" s="66">
        <v>154</v>
      </c>
      <c r="F750" s="66">
        <v>166</v>
      </c>
      <c r="I750" s="49">
        <f>IF(D750&gt;0,(1/(D750*24)))</f>
        <v>14.441708906589426</v>
      </c>
      <c r="J750" s="149">
        <f>1/((182/(ConditieGetal!$B$2*(E750/(I750*ConditieGetal!$B$2))))*24)*10</f>
        <v>2.4412907422835223E-2</v>
      </c>
      <c r="K750" s="149">
        <f>$J750*POWER(21.1/10,1.06)</f>
        <v>5.3871479980915633E-2</v>
      </c>
      <c r="L750" s="149">
        <f>$J750*POWER(16.1/10,1.06)</f>
        <v>4.0444077396865903E-2</v>
      </c>
    </row>
    <row r="751" spans="1:12" ht="13.5" customHeight="1">
      <c r="A751" s="395">
        <v>38352</v>
      </c>
      <c r="C751" s="361">
        <v>5.9363425925925924E-2</v>
      </c>
      <c r="D751" s="181"/>
      <c r="E751" s="66">
        <v>143</v>
      </c>
      <c r="F751" s="66">
        <v>186</v>
      </c>
      <c r="H751" s="28" t="s">
        <v>297</v>
      </c>
    </row>
    <row r="752" spans="1:12" ht="13.5" customHeight="1">
      <c r="A752" s="395">
        <v>38353</v>
      </c>
      <c r="C752" s="361">
        <v>4.0729166666666664E-2</v>
      </c>
      <c r="D752" s="181"/>
      <c r="E752" s="66">
        <v>149</v>
      </c>
      <c r="F752" s="66">
        <v>181</v>
      </c>
      <c r="H752" s="28" t="s">
        <v>128</v>
      </c>
    </row>
    <row r="753" spans="1:12" ht="13.5" customHeight="1">
      <c r="A753" s="395">
        <v>38358</v>
      </c>
      <c r="B753" s="177">
        <v>6</v>
      </c>
      <c r="D753" s="181"/>
      <c r="H753" s="28" t="s">
        <v>269</v>
      </c>
    </row>
    <row r="754" spans="1:12" ht="13.5" customHeight="1">
      <c r="A754" s="395">
        <v>38359</v>
      </c>
      <c r="B754" s="177">
        <v>21.76</v>
      </c>
      <c r="C754" s="361">
        <v>6.2118055555555551E-2</v>
      </c>
      <c r="D754" s="181">
        <f t="shared" ref="D754:D783" si="84">IF(B754&gt;0,C754/B754,"")</f>
        <v>2.8546900531045746E-3</v>
      </c>
      <c r="E754" s="66">
        <v>161</v>
      </c>
      <c r="F754" s="66">
        <v>179</v>
      </c>
      <c r="I754" s="49">
        <f>IF(D754&gt;0,(1/(D754*24)))</f>
        <v>14.595863610955844</v>
      </c>
      <c r="J754" s="149">
        <f>1/((182/(ConditieGetal!$B$2*(E754/(I754*ConditieGetal!$B$2))))*24)*10</f>
        <v>2.5253027392848158E-2</v>
      </c>
      <c r="K754" s="149">
        <f>$J754*POWER(21.1/10,1.06)</f>
        <v>5.5725356103174861E-2</v>
      </c>
      <c r="L754" s="149">
        <f>$J754*POWER(16.1/10,1.06)</f>
        <v>4.1835877091238795E-2</v>
      </c>
    </row>
    <row r="755" spans="1:12" ht="13.5" customHeight="1">
      <c r="A755" s="395">
        <v>38360</v>
      </c>
      <c r="B755" s="177">
        <v>9</v>
      </c>
      <c r="D755" s="181"/>
      <c r="H755" s="28" t="s">
        <v>298</v>
      </c>
    </row>
    <row r="756" spans="1:12" ht="13.5" customHeight="1">
      <c r="A756" s="395">
        <v>38361</v>
      </c>
      <c r="B756" s="177">
        <v>21.76</v>
      </c>
      <c r="C756" s="361">
        <v>6.8287037037037035E-2</v>
      </c>
      <c r="D756" s="181">
        <f t="shared" si="84"/>
        <v>3.1381910403050104E-3</v>
      </c>
      <c r="E756" s="66">
        <v>151</v>
      </c>
      <c r="F756" s="66">
        <v>161</v>
      </c>
      <c r="I756" s="49">
        <f>IF(D756&gt;0,(1/(D756*24)))</f>
        <v>13.277288135593224</v>
      </c>
      <c r="J756" s="149">
        <f>1/((182/(ConditieGetal!$B$2*(E756/(I756*ConditieGetal!$B$2))))*24)*10</f>
        <v>2.6036639949783318E-2</v>
      </c>
      <c r="K756" s="149">
        <f>$J756*POWER(21.1/10,1.06)</f>
        <v>5.7454538434577158E-2</v>
      </c>
      <c r="L756" s="149">
        <f>$J756*POWER(16.1/10,1.06)</f>
        <v>4.3134062774448215E-2</v>
      </c>
    </row>
    <row r="757" spans="1:12" ht="13.5" customHeight="1">
      <c r="A757" s="395">
        <v>38362</v>
      </c>
      <c r="B757" s="177">
        <v>21.76</v>
      </c>
      <c r="C757" s="361">
        <v>6.4513888888888885E-2</v>
      </c>
      <c r="D757" s="181">
        <f t="shared" si="84"/>
        <v>2.9647926879084962E-3</v>
      </c>
      <c r="E757" s="66">
        <v>154</v>
      </c>
      <c r="F757" s="66">
        <v>179</v>
      </c>
      <c r="I757" s="49">
        <f>IF(D757&gt;0,(1/(D757*24)))</f>
        <v>14.053821313240046</v>
      </c>
      <c r="J757" s="149">
        <f>1/((182/(ConditieGetal!$B$2*(E757/(I757*ConditieGetal!$B$2))))*24)*10</f>
        <v>2.5086707359225736E-2</v>
      </c>
      <c r="K757" s="149">
        <f>$J757*POWER(21.1/10,1.06)</f>
        <v>5.5358340974393655E-2</v>
      </c>
      <c r="L757" s="149">
        <f>$J757*POWER(16.1/10,1.06)</f>
        <v>4.1560340048642112E-2</v>
      </c>
    </row>
    <row r="758" spans="1:12" ht="13.5" customHeight="1">
      <c r="A758" s="395">
        <v>38363</v>
      </c>
      <c r="B758" s="177">
        <v>3</v>
      </c>
      <c r="D758" s="181"/>
      <c r="H758" s="28" t="s">
        <v>269</v>
      </c>
    </row>
    <row r="759" spans="1:12" ht="13.5" customHeight="1">
      <c r="A759" s="395">
        <v>38365</v>
      </c>
      <c r="B759" s="177">
        <v>8</v>
      </c>
      <c r="C759" s="361">
        <v>2.2736111111111113E-2</v>
      </c>
      <c r="D759" s="181">
        <f t="shared" si="84"/>
        <v>2.8420138888888891E-3</v>
      </c>
      <c r="E759" s="66">
        <v>153</v>
      </c>
      <c r="F759" s="66">
        <v>160</v>
      </c>
      <c r="I759" s="49">
        <f t="shared" ref="I759:I765" si="85">IF(D759&gt;0,(1/(D759*24)))</f>
        <v>14.660965180207695</v>
      </c>
      <c r="J759" s="149">
        <f>1/((182/(ConditieGetal!$B$2*(E759/(I759*ConditieGetal!$B$2))))*24)*10</f>
        <v>2.3891655219780223E-2</v>
      </c>
      <c r="K759" s="149">
        <f t="shared" ref="K759:K778" si="86">$J759*POWER(21.1/10,1.06)</f>
        <v>5.2721243053558936E-2</v>
      </c>
      <c r="L759" s="149">
        <f t="shared" ref="L759:L778" si="87">$J759*POWER(16.1/10,1.06)</f>
        <v>3.9580535661401649E-2</v>
      </c>
    </row>
    <row r="760" spans="1:12" ht="13.5" customHeight="1">
      <c r="A760" s="395">
        <v>38366</v>
      </c>
      <c r="B760" s="177">
        <v>21.76</v>
      </c>
      <c r="C760" s="361">
        <v>6.0856481481481484E-2</v>
      </c>
      <c r="D760" s="181">
        <f t="shared" si="84"/>
        <v>2.7967133033769062E-3</v>
      </c>
      <c r="E760" s="66">
        <v>152</v>
      </c>
      <c r="F760" s="66">
        <v>158</v>
      </c>
      <c r="I760" s="49">
        <f t="shared" si="85"/>
        <v>14.89844047166223</v>
      </c>
      <c r="J760" s="149">
        <f>1/((182/(ConditieGetal!$B$2*(E760/(I760*ConditieGetal!$B$2))))*24)*10</f>
        <v>2.3357166050180751E-2</v>
      </c>
      <c r="K760" s="149">
        <f t="shared" si="86"/>
        <v>5.1541796373924156E-2</v>
      </c>
      <c r="L760" s="149">
        <f t="shared" si="87"/>
        <v>3.8695064669820874E-2</v>
      </c>
    </row>
    <row r="761" spans="1:12" ht="13.5" customHeight="1">
      <c r="A761" s="395">
        <v>38368</v>
      </c>
      <c r="B761" s="177">
        <v>21.76</v>
      </c>
      <c r="C761" s="361">
        <v>6.6967592592592592E-2</v>
      </c>
      <c r="D761" s="181">
        <f>IF(B761&gt;0,C761/B761,"")</f>
        <v>3.0775548066448799E-3</v>
      </c>
      <c r="E761" s="66">
        <v>146</v>
      </c>
      <c r="F761" s="66">
        <v>160</v>
      </c>
      <c r="I761" s="49">
        <f t="shared" si="85"/>
        <v>13.538886968544762</v>
      </c>
      <c r="J761" s="149">
        <f>1/((182/(ConditieGetal!$B$2*(E761/(I761*ConditieGetal!$B$2))))*24)*10</f>
        <v>2.4688077020338053E-2</v>
      </c>
      <c r="K761" s="149">
        <f t="shared" si="86"/>
        <v>5.4478691289527099E-2</v>
      </c>
      <c r="L761" s="149">
        <f t="shared" si="87"/>
        <v>4.0899942005939841E-2</v>
      </c>
    </row>
    <row r="762" spans="1:12" ht="13.5" customHeight="1">
      <c r="A762" s="395">
        <v>38370</v>
      </c>
      <c r="B762" s="177">
        <v>12</v>
      </c>
      <c r="C762" s="361">
        <v>3.2108796296296295E-2</v>
      </c>
      <c r="D762" s="181">
        <f t="shared" si="84"/>
        <v>2.6757330246913579E-3</v>
      </c>
      <c r="E762" s="66">
        <v>161</v>
      </c>
      <c r="F762" s="66">
        <v>185</v>
      </c>
      <c r="I762" s="49">
        <f t="shared" si="85"/>
        <v>15.572056809170212</v>
      </c>
      <c r="J762" s="149">
        <f>1/((182/(ConditieGetal!$B$2*(E762/(I762*ConditieGetal!$B$2))))*24)*10</f>
        <v>2.3669945987654321E-2</v>
      </c>
      <c r="K762" s="149">
        <f t="shared" si="86"/>
        <v>5.2232001675906276E-2</v>
      </c>
      <c r="L762" s="149">
        <f t="shared" si="87"/>
        <v>3.9213237117709458E-2</v>
      </c>
    </row>
    <row r="763" spans="1:12" ht="13.5" customHeight="1">
      <c r="A763" s="395">
        <v>38372</v>
      </c>
      <c r="B763" s="177">
        <v>12</v>
      </c>
      <c r="C763" s="361">
        <v>3.300115740740741E-2</v>
      </c>
      <c r="D763" s="181">
        <f t="shared" si="84"/>
        <v>2.750096450617284E-3</v>
      </c>
      <c r="E763" s="66">
        <v>160</v>
      </c>
      <c r="F763" s="66">
        <v>169</v>
      </c>
      <c r="I763" s="49">
        <f t="shared" si="85"/>
        <v>15.150983761792865</v>
      </c>
      <c r="J763" s="149">
        <f>1/((182/(ConditieGetal!$B$2*(E763/(I763*ConditieGetal!$B$2))))*24)*10</f>
        <v>2.4176672093338764E-2</v>
      </c>
      <c r="K763" s="149">
        <f t="shared" si="86"/>
        <v>5.3350184151486915E-2</v>
      </c>
      <c r="L763" s="149">
        <f t="shared" si="87"/>
        <v>4.0052713935540031E-2</v>
      </c>
    </row>
    <row r="764" spans="1:12" ht="13.5" customHeight="1">
      <c r="A764" s="395">
        <v>38377</v>
      </c>
      <c r="B764" s="177">
        <v>12</v>
      </c>
      <c r="C764" s="361">
        <v>3.2540509259259262E-2</v>
      </c>
      <c r="D764" s="181">
        <f t="shared" si="84"/>
        <v>2.7117091049382717E-3</v>
      </c>
      <c r="E764" s="66">
        <v>169</v>
      </c>
      <c r="F764" s="66">
        <v>195</v>
      </c>
      <c r="I764" s="49">
        <f t="shared" si="85"/>
        <v>15.365463275831406</v>
      </c>
      <c r="J764" s="149">
        <f>1/((182/(ConditieGetal!$B$2*(E764/(I764*ConditieGetal!$B$2))))*24)*10</f>
        <v>2.5180155974426809E-2</v>
      </c>
      <c r="K764" s="149">
        <f t="shared" si="86"/>
        <v>5.5564552185367246E-2</v>
      </c>
      <c r="L764" s="149">
        <f t="shared" si="87"/>
        <v>4.1715153359501066E-2</v>
      </c>
    </row>
    <row r="765" spans="1:12" ht="13.5" customHeight="1">
      <c r="A765" s="395">
        <v>38378</v>
      </c>
      <c r="B765" s="177">
        <v>16.62</v>
      </c>
      <c r="C765" s="361">
        <v>4.7870370370370369E-2</v>
      </c>
      <c r="D765" s="181">
        <f t="shared" si="84"/>
        <v>2.8802870258947274E-3</v>
      </c>
      <c r="E765" s="66">
        <v>158</v>
      </c>
      <c r="F765" s="66">
        <v>178</v>
      </c>
      <c r="I765" s="49">
        <f t="shared" si="85"/>
        <v>14.466150870406191</v>
      </c>
      <c r="J765" s="149">
        <f>1/((182/(ConditieGetal!$B$2*(E765/(I765*ConditieGetal!$B$2))))*24)*10</f>
        <v>2.5004689565459717E-2</v>
      </c>
      <c r="K765" s="149">
        <f t="shared" si="86"/>
        <v>5.5177353931006437E-2</v>
      </c>
      <c r="L765" s="149">
        <f t="shared" si="87"/>
        <v>4.1424463811472169E-2</v>
      </c>
    </row>
    <row r="766" spans="1:12" ht="13.5" customHeight="1">
      <c r="A766" s="395">
        <v>38379</v>
      </c>
      <c r="B766" s="177">
        <v>8</v>
      </c>
      <c r="C766" s="361">
        <v>2.1079861111111112E-2</v>
      </c>
      <c r="D766" s="181">
        <f t="shared" si="84"/>
        <v>2.634982638888889E-3</v>
      </c>
      <c r="E766" s="66">
        <v>170</v>
      </c>
      <c r="F766" s="66">
        <v>178</v>
      </c>
      <c r="I766" s="49">
        <f>IF(D766&gt;0,(1/(D766*24)))</f>
        <v>15.812880909240652</v>
      </c>
      <c r="J766" s="149">
        <f>1/((182/(ConditieGetal!$B$2*(E766/(I766*ConditieGetal!$B$2))))*24)*10</f>
        <v>2.4612475198412691E-2</v>
      </c>
      <c r="K766" s="149">
        <f t="shared" si="86"/>
        <v>5.4311862244308041E-2</v>
      </c>
      <c r="L766" s="149">
        <f t="shared" si="87"/>
        <v>4.0774694902662272E-2</v>
      </c>
    </row>
    <row r="767" spans="1:12" ht="13.5" customHeight="1">
      <c r="A767" s="395">
        <v>38381</v>
      </c>
      <c r="B767" s="177">
        <v>10.26</v>
      </c>
      <c r="C767" s="361">
        <v>3.2731481481481479E-2</v>
      </c>
      <c r="D767" s="181">
        <f t="shared" si="84"/>
        <v>3.1902028734387407E-3</v>
      </c>
      <c r="E767" s="66">
        <v>146</v>
      </c>
      <c r="F767" s="66">
        <v>153</v>
      </c>
      <c r="I767" s="49">
        <f>IF(D767&gt;0,(1/(D767*24)))</f>
        <v>13.060820367751063</v>
      </c>
      <c r="J767" s="149">
        <f>1/((182/(ConditieGetal!$B$2*(E767/(I767*ConditieGetal!$B$2))))*24)*10</f>
        <v>2.5591737336376711E-2</v>
      </c>
      <c r="K767" s="149">
        <f t="shared" si="86"/>
        <v>5.6472780636684865E-2</v>
      </c>
      <c r="L767" s="149">
        <f t="shared" si="87"/>
        <v>4.2397006944962949E-2</v>
      </c>
    </row>
    <row r="768" spans="1:12" ht="13.5" customHeight="1">
      <c r="A768" s="395">
        <v>38382</v>
      </c>
      <c r="B768" s="177">
        <v>3.3</v>
      </c>
      <c r="D768" s="181"/>
      <c r="H768" s="28" t="s">
        <v>299</v>
      </c>
    </row>
    <row r="769" spans="1:12" ht="13.5" customHeight="1">
      <c r="A769" s="395">
        <v>38383</v>
      </c>
      <c r="B769" s="177">
        <v>10.26</v>
      </c>
      <c r="C769" s="361">
        <v>3.1160879629629632E-2</v>
      </c>
      <c r="D769" s="181">
        <f t="shared" si="84"/>
        <v>3.0371227709190675E-3</v>
      </c>
      <c r="E769" s="66">
        <v>147</v>
      </c>
      <c r="F769" s="66">
        <v>157</v>
      </c>
      <c r="I769" s="49">
        <f>IF(D769&gt;0,(1/(D769*24)))</f>
        <v>13.719124911785462</v>
      </c>
      <c r="J769" s="149">
        <f>1/((182/(ConditieGetal!$B$2*(E769/(I769*ConditieGetal!$B$2))))*24)*10</f>
        <v>2.453060699588477E-2</v>
      </c>
      <c r="K769" s="149">
        <f t="shared" si="86"/>
        <v>5.4131205300947373E-2</v>
      </c>
      <c r="L769" s="149">
        <f t="shared" si="87"/>
        <v>4.0639066488478211E-2</v>
      </c>
    </row>
    <row r="770" spans="1:12" ht="13.5" customHeight="1">
      <c r="A770" s="395">
        <v>38384</v>
      </c>
      <c r="B770" s="177">
        <v>12</v>
      </c>
      <c r="C770" s="361">
        <v>3.2424768518518519E-2</v>
      </c>
      <c r="D770" s="181">
        <f t="shared" si="84"/>
        <v>2.7020640432098768E-3</v>
      </c>
      <c r="E770" s="66">
        <v>160</v>
      </c>
      <c r="F770" s="66">
        <v>167</v>
      </c>
      <c r="I770" s="49">
        <f>IF(D770&gt;0,(1/(D770*24)))</f>
        <v>15.420310547920757</v>
      </c>
      <c r="J770" s="149">
        <f>1/((182/(ConditieGetal!$B$2*(E770/(I770*ConditieGetal!$B$2))))*24)*10</f>
        <v>2.3754409171075838E-2</v>
      </c>
      <c r="K770" s="149">
        <f t="shared" si="86"/>
        <v>5.2418384912282318E-2</v>
      </c>
      <c r="L770" s="149">
        <f t="shared" si="87"/>
        <v>3.9353164553156586E-2</v>
      </c>
    </row>
    <row r="771" spans="1:12" ht="13.5" customHeight="1">
      <c r="A771" s="395">
        <v>38385</v>
      </c>
      <c r="B771" s="177">
        <v>12.54</v>
      </c>
      <c r="C771" s="361">
        <v>3.9240740740740743E-2</v>
      </c>
      <c r="D771" s="181">
        <f t="shared" si="84"/>
        <v>3.1292456731053225E-3</v>
      </c>
      <c r="E771" s="66">
        <v>145</v>
      </c>
      <c r="F771" s="66">
        <v>156</v>
      </c>
      <c r="I771" s="49">
        <f>IF(D771&gt;0,(1/(D771*24)))</f>
        <v>13.315243039169419</v>
      </c>
      <c r="J771" s="149">
        <f>1/((182/(ConditieGetal!$B$2*(E771/(I771*ConditieGetal!$B$2))))*24)*10</f>
        <v>2.4930803439575371E-2</v>
      </c>
      <c r="K771" s="149">
        <f t="shared" si="86"/>
        <v>5.5014310878308707E-2</v>
      </c>
      <c r="L771" s="149">
        <f t="shared" si="87"/>
        <v>4.1302059046563838E-2</v>
      </c>
    </row>
    <row r="772" spans="1:12" ht="13.5" customHeight="1">
      <c r="A772" s="395">
        <v>38386</v>
      </c>
      <c r="B772" s="177">
        <v>8</v>
      </c>
      <c r="C772" s="361">
        <v>2.0766203703703703E-2</v>
      </c>
      <c r="D772" s="181">
        <f t="shared" si="84"/>
        <v>2.5957754629629629E-3</v>
      </c>
      <c r="E772" s="66">
        <v>161</v>
      </c>
      <c r="F772" s="66">
        <v>191</v>
      </c>
      <c r="I772" s="49">
        <f>IF(D772&gt;0,(1/(D772*24)))</f>
        <v>16.051722216029429</v>
      </c>
      <c r="J772" s="149">
        <f>1/((182/(ConditieGetal!$B$2*(E772/(I772*ConditieGetal!$B$2))))*24)*10</f>
        <v>2.2962629095441594E-2</v>
      </c>
      <c r="K772" s="149">
        <f t="shared" si="86"/>
        <v>5.0671179478900784E-2</v>
      </c>
      <c r="L772" s="149">
        <f t="shared" si="87"/>
        <v>3.8041448004791097E-2</v>
      </c>
    </row>
    <row r="773" spans="1:12" ht="13.5" customHeight="1">
      <c r="A773" s="395">
        <v>38392</v>
      </c>
      <c r="B773" s="177">
        <v>12.54</v>
      </c>
      <c r="C773" s="361">
        <v>3.6440972222222222E-2</v>
      </c>
      <c r="D773" s="181">
        <f t="shared" si="84"/>
        <v>2.9059786461102253E-3</v>
      </c>
      <c r="E773" s="66">
        <v>160</v>
      </c>
      <c r="F773" s="66">
        <v>183</v>
      </c>
      <c r="I773" s="49">
        <f>IF(D773&gt;0,(1/(D773*24)))</f>
        <v>14.338256312529774</v>
      </c>
      <c r="J773" s="149">
        <f>1/((182/(ConditieGetal!$B$2*(E773/(I773*ConditieGetal!$B$2))))*24)*10</f>
        <v>2.5547065020749233E-2</v>
      </c>
      <c r="K773" s="149">
        <f t="shared" si="86"/>
        <v>5.6374203121301515E-2</v>
      </c>
      <c r="L773" s="149">
        <f t="shared" si="87"/>
        <v>4.2322999758541355E-2</v>
      </c>
    </row>
    <row r="774" spans="1:12" ht="13.5" customHeight="1">
      <c r="A774" s="395">
        <v>38393</v>
      </c>
      <c r="B774" s="177">
        <v>8</v>
      </c>
      <c r="D774" s="181">
        <f t="shared" si="84"/>
        <v>0</v>
      </c>
    </row>
    <row r="775" spans="1:12" ht="13.5" customHeight="1">
      <c r="A775" s="395">
        <v>38394</v>
      </c>
      <c r="B775" s="177">
        <v>16.62</v>
      </c>
      <c r="C775" s="361">
        <v>4.9907407407407407E-2</v>
      </c>
      <c r="D775" s="181">
        <f t="shared" si="84"/>
        <v>3.0028524312519498E-3</v>
      </c>
      <c r="E775" s="66">
        <v>155</v>
      </c>
      <c r="F775" s="66">
        <v>167</v>
      </c>
      <c r="I775" s="49">
        <f>IF(D775&gt;0,(1/(D775*24)))</f>
        <v>13.87569573283859</v>
      </c>
      <c r="J775" s="149">
        <f>1/((182/(ConditieGetal!$B$2*(E775/(I775*ConditieGetal!$B$2))))*24)*10</f>
        <v>2.5573743233189682E-2</v>
      </c>
      <c r="K775" s="149">
        <f t="shared" si="86"/>
        <v>5.6433073405062477E-2</v>
      </c>
      <c r="L775" s="149">
        <f t="shared" si="87"/>
        <v>4.236719669379628E-2</v>
      </c>
    </row>
    <row r="776" spans="1:12" ht="13.5" customHeight="1">
      <c r="A776" s="395">
        <v>38395</v>
      </c>
      <c r="B776" s="177">
        <f>2*7.5+12</f>
        <v>27</v>
      </c>
      <c r="D776" s="181"/>
      <c r="H776" s="28" t="s">
        <v>262</v>
      </c>
    </row>
    <row r="777" spans="1:12" ht="13.5" customHeight="1">
      <c r="A777" s="395">
        <v>38397</v>
      </c>
      <c r="B777" s="177">
        <v>21.76</v>
      </c>
      <c r="C777" s="361">
        <v>6.4120370370370369E-2</v>
      </c>
      <c r="D777" s="181">
        <f t="shared" si="84"/>
        <v>2.9467081971677558E-3</v>
      </c>
      <c r="E777" s="66">
        <v>151</v>
      </c>
      <c r="F777" s="66">
        <v>164</v>
      </c>
      <c r="I777" s="49">
        <f>IF(D777&gt;0,(1/(D777*24)))</f>
        <v>14.140072202166065</v>
      </c>
      <c r="J777" s="149">
        <f>1/((182/(ConditieGetal!$B$2*(E777/(I777*ConditieGetal!$B$2))))*24)*10</f>
        <v>2.4447963613864351E-2</v>
      </c>
      <c r="K777" s="149">
        <f t="shared" si="86"/>
        <v>5.3948837784331807E-2</v>
      </c>
      <c r="L777" s="149">
        <f t="shared" si="87"/>
        <v>4.0502153859397164E-2</v>
      </c>
    </row>
    <row r="778" spans="1:12" ht="13.5" customHeight="1">
      <c r="A778" s="395">
        <v>38399</v>
      </c>
      <c r="B778" s="177">
        <v>10.26</v>
      </c>
      <c r="C778" s="361">
        <v>2.704861111111111E-2</v>
      </c>
      <c r="D778" s="181">
        <f t="shared" si="84"/>
        <v>2.6363168724279837E-3</v>
      </c>
      <c r="E778" s="66">
        <v>161</v>
      </c>
      <c r="F778" s="66">
        <v>170</v>
      </c>
      <c r="I778" s="49">
        <f>IF(D778&gt;0,(1/(D778*24)))</f>
        <v>15.804878048780488</v>
      </c>
      <c r="J778" s="149">
        <f>1/((182/(ConditieGetal!$B$2*(E778/(I778*ConditieGetal!$B$2))))*24)*10</f>
        <v>2.3321264640709088E-2</v>
      </c>
      <c r="K778" s="149">
        <f t="shared" si="86"/>
        <v>5.1462573443687251E-2</v>
      </c>
      <c r="L778" s="149">
        <f t="shared" si="87"/>
        <v>3.8635587961120037E-2</v>
      </c>
    </row>
    <row r="779" spans="1:12" ht="13.5" customHeight="1">
      <c r="A779" s="395">
        <v>38400</v>
      </c>
      <c r="B779" s="177">
        <f>2*0.5+2*1+1.5</f>
        <v>4.5</v>
      </c>
      <c r="D779" s="181"/>
      <c r="H779" s="28" t="s">
        <v>269</v>
      </c>
    </row>
    <row r="780" spans="1:12" ht="13.5" customHeight="1">
      <c r="A780" s="395">
        <v>38402</v>
      </c>
      <c r="B780" s="177">
        <v>9</v>
      </c>
      <c r="D780" s="181"/>
      <c r="F780" s="66">
        <v>187</v>
      </c>
      <c r="H780" s="28" t="s">
        <v>300</v>
      </c>
    </row>
    <row r="781" spans="1:12" ht="13.5" customHeight="1">
      <c r="A781" s="395">
        <v>38403</v>
      </c>
      <c r="B781" s="177">
        <v>9.9</v>
      </c>
      <c r="C781" s="361">
        <v>2.3432870370370368E-2</v>
      </c>
      <c r="D781" s="181">
        <f t="shared" si="84"/>
        <v>2.3669566030677137E-3</v>
      </c>
      <c r="E781" s="66">
        <v>178</v>
      </c>
      <c r="F781" s="66">
        <v>191</v>
      </c>
      <c r="I781" s="49">
        <f t="shared" ref="I781:I786" si="88">IF(D781&gt;0,(1/(D781*24)))</f>
        <v>17.603477230070141</v>
      </c>
      <c r="J781" s="149">
        <f>1/((182/(ConditieGetal!$B$2*(E781/(I781*ConditieGetal!$B$2))))*24)*10</f>
        <v>2.3149355788244674E-2</v>
      </c>
      <c r="K781" s="149">
        <f t="shared" ref="K781:K794" si="89">$J781*POWER(21.1/10,1.06)</f>
        <v>5.1083225578900923E-2</v>
      </c>
      <c r="L781" s="149">
        <f t="shared" ref="L781:L794" si="90">$J781*POWER(16.1/10,1.06)</f>
        <v>3.8350792102361572E-2</v>
      </c>
    </row>
    <row r="782" spans="1:12" ht="13.5" customHeight="1">
      <c r="A782" s="395">
        <v>38404</v>
      </c>
      <c r="B782" s="177">
        <v>12.54</v>
      </c>
      <c r="C782" s="361">
        <v>3.8613425925925926E-2</v>
      </c>
      <c r="D782" s="181">
        <f t="shared" si="84"/>
        <v>3.0792205682556562E-3</v>
      </c>
      <c r="E782" s="66">
        <v>148</v>
      </c>
      <c r="F782" s="66">
        <v>158</v>
      </c>
      <c r="I782" s="49">
        <f t="shared" si="88"/>
        <v>13.531562855943887</v>
      </c>
      <c r="J782" s="149">
        <f>1/((182/(ConditieGetal!$B$2*(E782/(I782*ConditieGetal!$B$2))))*24)*10</f>
        <v>2.5039815609991051E-2</v>
      </c>
      <c r="K782" s="149">
        <f t="shared" si="89"/>
        <v>5.5254865878764388E-2</v>
      </c>
      <c r="L782" s="149">
        <f t="shared" si="90"/>
        <v>4.148265599805058E-2</v>
      </c>
    </row>
    <row r="783" spans="1:12" ht="13.5" customHeight="1">
      <c r="A783" s="395">
        <v>38405</v>
      </c>
      <c r="B783" s="177">
        <v>8</v>
      </c>
      <c r="C783" s="361">
        <v>2.1250000000000002E-2</v>
      </c>
      <c r="D783" s="181">
        <f t="shared" si="84"/>
        <v>2.6562500000000002E-3</v>
      </c>
      <c r="E783" s="66">
        <v>163</v>
      </c>
      <c r="F783" s="66">
        <v>170</v>
      </c>
      <c r="I783" s="49">
        <f t="shared" si="88"/>
        <v>15.686274509803921</v>
      </c>
      <c r="J783" s="149">
        <f>1/((182/(ConditieGetal!$B$2*(E783/(I783*ConditieGetal!$B$2))))*24)*10</f>
        <v>2.378949175824176E-2</v>
      </c>
      <c r="K783" s="149">
        <f t="shared" si="89"/>
        <v>5.24958009635315E-2</v>
      </c>
      <c r="L783" s="149">
        <f t="shared" si="90"/>
        <v>3.9411284745317465E-2</v>
      </c>
    </row>
    <row r="784" spans="1:12" ht="13.5" customHeight="1">
      <c r="A784" s="395">
        <v>38406</v>
      </c>
      <c r="B784" s="177">
        <v>21.76</v>
      </c>
      <c r="C784" s="361">
        <v>6.6030092592592585E-2</v>
      </c>
      <c r="D784" s="181">
        <f t="shared" ref="D784:D834" si="91">IF(B784&gt;0,C784/B784,"")</f>
        <v>3.0344711669389973E-3</v>
      </c>
      <c r="E784" s="66">
        <v>148</v>
      </c>
      <c r="F784" s="66">
        <v>159</v>
      </c>
      <c r="I784" s="49">
        <f t="shared" si="88"/>
        <v>13.731113058720423</v>
      </c>
      <c r="J784" s="149">
        <f>1/((182/(ConditieGetal!$B$2*(E784/(I784*ConditieGetal!$B$2))))*24)*10</f>
        <v>2.4675919379503933E-2</v>
      </c>
      <c r="K784" s="149">
        <f t="shared" si="89"/>
        <v>5.4451863263947575E-2</v>
      </c>
      <c r="L784" s="149">
        <f t="shared" si="90"/>
        <v>4.0879800833962976E-2</v>
      </c>
    </row>
    <row r="785" spans="1:12" ht="13.5" customHeight="1">
      <c r="A785" s="395">
        <v>38407</v>
      </c>
      <c r="B785" s="177">
        <v>12.54</v>
      </c>
      <c r="C785" s="361">
        <v>3.381365740740741E-2</v>
      </c>
      <c r="D785" s="181">
        <f t="shared" si="91"/>
        <v>2.6964639080867157E-3</v>
      </c>
      <c r="E785" s="66">
        <v>157</v>
      </c>
      <c r="F785" s="66">
        <v>179</v>
      </c>
      <c r="I785" s="49">
        <f t="shared" si="88"/>
        <v>15.452336128701008</v>
      </c>
      <c r="J785" s="149">
        <f>1/((182/(ConditieGetal!$B$2*(E785/(I785*ConditieGetal!$B$2))))*24)*10</f>
        <v>2.3260705141187603E-2</v>
      </c>
      <c r="K785" s="149">
        <f t="shared" si="89"/>
        <v>5.1328937993815583E-2</v>
      </c>
      <c r="L785" s="149">
        <f t="shared" si="90"/>
        <v>3.8535260988861439E-2</v>
      </c>
    </row>
    <row r="786" spans="1:12" ht="13.5" customHeight="1">
      <c r="A786" s="395">
        <v>38409</v>
      </c>
      <c r="B786" s="177">
        <f>2*10.26</f>
        <v>20.52</v>
      </c>
      <c r="C786" s="361">
        <v>5.7349537037037039E-2</v>
      </c>
      <c r="D786" s="181">
        <f t="shared" si="91"/>
        <v>2.7948117464443004E-3</v>
      </c>
      <c r="E786" s="66">
        <v>156</v>
      </c>
      <c r="F786" s="66">
        <v>182</v>
      </c>
      <c r="I786" s="49">
        <f t="shared" si="88"/>
        <v>14.908577194752773</v>
      </c>
      <c r="J786" s="149">
        <f>1/((182/(ConditieGetal!$B$2*(E786/(I786*ConditieGetal!$B$2))))*24)*10</f>
        <v>2.3955529255236863E-2</v>
      </c>
      <c r="K786" s="149">
        <f t="shared" si="89"/>
        <v>5.2862192624325094E-2</v>
      </c>
      <c r="L786" s="149">
        <f t="shared" si="90"/>
        <v>3.9686353718584061E-2</v>
      </c>
    </row>
    <row r="787" spans="1:12" ht="13.5" customHeight="1">
      <c r="A787" s="395">
        <v>38410</v>
      </c>
      <c r="B787" s="177">
        <v>21.76</v>
      </c>
      <c r="C787" s="361">
        <v>6.1307870370370367E-2</v>
      </c>
      <c r="D787" s="181">
        <f t="shared" si="91"/>
        <v>2.8174572780501088E-3</v>
      </c>
      <c r="E787" s="66">
        <v>149</v>
      </c>
      <c r="F787" s="66">
        <v>161</v>
      </c>
      <c r="I787" s="49">
        <f t="shared" ref="I787:I792" si="92">IF(D787&gt;0,(1/(D787*24)))</f>
        <v>14.788748348121581</v>
      </c>
      <c r="J787" s="149">
        <f>1/((182/(ConditieGetal!$B$2*(E787/(I787*ConditieGetal!$B$2))))*24)*10</f>
        <v>2.3065996397223419E-2</v>
      </c>
      <c r="K787" s="149">
        <f t="shared" si="89"/>
        <v>5.0899278059384163E-2</v>
      </c>
      <c r="L787" s="149">
        <f t="shared" si="90"/>
        <v>3.8212693284231221E-2</v>
      </c>
    </row>
    <row r="788" spans="1:12" ht="13.5" customHeight="1">
      <c r="A788" s="395">
        <v>38412</v>
      </c>
      <c r="B788" s="177">
        <v>8</v>
      </c>
      <c r="C788" s="361">
        <v>2.0814814814814814E-2</v>
      </c>
      <c r="D788" s="181">
        <f t="shared" si="91"/>
        <v>2.6018518518518517E-3</v>
      </c>
      <c r="E788" s="66">
        <v>162</v>
      </c>
      <c r="F788" s="66">
        <v>191</v>
      </c>
      <c r="I788" s="49">
        <f t="shared" si="92"/>
        <v>16.014234875444842</v>
      </c>
      <c r="J788" s="149">
        <f>1/((182/(ConditieGetal!$B$2*(E788/(I788*ConditieGetal!$B$2))))*24)*10</f>
        <v>2.3159340659340655E-2</v>
      </c>
      <c r="K788" s="149">
        <f t="shared" si="89"/>
        <v>5.1105258996471503E-2</v>
      </c>
      <c r="L788" s="149">
        <f t="shared" si="90"/>
        <v>3.8367333716697351E-2</v>
      </c>
    </row>
    <row r="789" spans="1:12" ht="13.5" customHeight="1">
      <c r="A789" s="395">
        <v>38413</v>
      </c>
      <c r="B789" s="177">
        <v>21.76</v>
      </c>
      <c r="C789" s="361">
        <v>6.5150462962962966E-2</v>
      </c>
      <c r="D789" s="181">
        <f t="shared" si="91"/>
        <v>2.9940470111655773E-3</v>
      </c>
      <c r="E789" s="66">
        <v>148</v>
      </c>
      <c r="F789" s="66">
        <v>152</v>
      </c>
      <c r="I789" s="49">
        <f t="shared" si="92"/>
        <v>13.916503819506129</v>
      </c>
      <c r="J789" s="149">
        <f>1/((182/(ConditieGetal!$B$2*(E789/(I789*ConditieGetal!$B$2))))*24)*10</f>
        <v>2.4347195475412382E-2</v>
      </c>
      <c r="K789" s="149">
        <f t="shared" si="89"/>
        <v>5.3726474726163168E-2</v>
      </c>
      <c r="L789" s="149">
        <f t="shared" si="90"/>
        <v>4.033521453012754E-2</v>
      </c>
    </row>
    <row r="790" spans="1:12" ht="13.5" customHeight="1">
      <c r="A790" s="395">
        <v>38414</v>
      </c>
      <c r="B790" s="177">
        <v>12</v>
      </c>
      <c r="C790" s="361">
        <v>3.1461805555555555E-2</v>
      </c>
      <c r="D790" s="181">
        <f t="shared" si="91"/>
        <v>2.6218171296296298E-3</v>
      </c>
      <c r="E790" s="66">
        <v>163</v>
      </c>
      <c r="F790" s="66">
        <v>183</v>
      </c>
      <c r="I790" s="49">
        <f t="shared" si="92"/>
        <v>15.892285619688776</v>
      </c>
      <c r="J790" s="149">
        <f>1/((182/(ConditieGetal!$B$2*(E790/(I790*ConditieGetal!$B$2))))*24)*10</f>
        <v>2.3481109457671959E-2</v>
      </c>
      <c r="K790" s="149">
        <f t="shared" si="89"/>
        <v>5.1815299839930162E-2</v>
      </c>
      <c r="L790" s="149">
        <f t="shared" si="90"/>
        <v>3.8900397720841126E-2</v>
      </c>
    </row>
    <row r="791" spans="1:12" ht="13.5" customHeight="1">
      <c r="A791" s="395">
        <v>38415</v>
      </c>
      <c r="B791" s="177">
        <v>10.26</v>
      </c>
      <c r="C791" s="361">
        <v>2.9967592592592598E-2</v>
      </c>
      <c r="D791" s="181">
        <f t="shared" si="91"/>
        <v>2.9208179914807599E-3</v>
      </c>
      <c r="E791" s="66">
        <v>149</v>
      </c>
      <c r="F791" s="66">
        <v>164</v>
      </c>
      <c r="I791" s="49">
        <f t="shared" si="92"/>
        <v>14.26541016530202</v>
      </c>
      <c r="J791" s="149">
        <f>1/((182/(ConditieGetal!$B$2*(E791/(I791*ConditieGetal!$B$2))))*24)*10</f>
        <v>2.3912191248935892E-2</v>
      </c>
      <c r="K791" s="149">
        <f t="shared" si="89"/>
        <v>5.2766559502943094E-2</v>
      </c>
      <c r="L791" s="149">
        <f t="shared" si="90"/>
        <v>3.9614557039446087E-2</v>
      </c>
    </row>
    <row r="792" spans="1:12" ht="13.5" customHeight="1">
      <c r="A792" s="395">
        <v>38416</v>
      </c>
      <c r="B792" s="177">
        <v>21.76</v>
      </c>
      <c r="C792" s="361">
        <v>6.6504629629629622E-2</v>
      </c>
      <c r="D792" s="181">
        <f t="shared" si="91"/>
        <v>3.0562789351851844E-3</v>
      </c>
      <c r="E792" s="66">
        <v>145</v>
      </c>
      <c r="F792" s="66">
        <v>161</v>
      </c>
      <c r="I792" s="49">
        <f t="shared" si="92"/>
        <v>13.63313609467456</v>
      </c>
      <c r="J792" s="149">
        <f>1/((182/(ConditieGetal!$B$2*(E792/(I792*ConditieGetal!$B$2))))*24)*10</f>
        <v>2.4349475033068779E-2</v>
      </c>
      <c r="K792" s="149">
        <f t="shared" si="89"/>
        <v>5.3731504980959334E-2</v>
      </c>
      <c r="L792" s="149">
        <f t="shared" si="90"/>
        <v>4.0338990999873196E-2</v>
      </c>
    </row>
    <row r="793" spans="1:12" ht="13.5" customHeight="1">
      <c r="A793" s="395">
        <v>38419</v>
      </c>
      <c r="B793" s="177">
        <v>5</v>
      </c>
      <c r="D793" s="181">
        <f t="shared" si="91"/>
        <v>0</v>
      </c>
    </row>
    <row r="794" spans="1:12" ht="13.5" customHeight="1">
      <c r="A794" s="395">
        <v>38420</v>
      </c>
      <c r="B794" s="177">
        <v>21.76</v>
      </c>
      <c r="C794" s="361">
        <v>6.3414351851851847E-2</v>
      </c>
      <c r="D794" s="181">
        <f t="shared" si="91"/>
        <v>2.9142624931917209E-3</v>
      </c>
      <c r="E794" s="66">
        <v>148</v>
      </c>
      <c r="F794" s="66">
        <v>156</v>
      </c>
      <c r="I794" s="49">
        <f>IF(D794&gt;0,(1/(D794*24)))</f>
        <v>14.297499543712357</v>
      </c>
      <c r="J794" s="149">
        <f>1/((182/(ConditieGetal!$B$2*(E794/(I794*ConditieGetal!$B$2))))*24)*10</f>
        <v>2.3698398296284322E-2</v>
      </c>
      <c r="K794" s="149">
        <f t="shared" si="89"/>
        <v>5.2294786822641326E-2</v>
      </c>
      <c r="L794" s="149">
        <f t="shared" si="90"/>
        <v>3.9260373140978647E-2</v>
      </c>
    </row>
    <row r="795" spans="1:12" ht="13.5" customHeight="1">
      <c r="A795" s="395">
        <v>38421</v>
      </c>
      <c r="B795" s="177">
        <v>12</v>
      </c>
      <c r="C795" s="361">
        <v>3.2108796296296295E-2</v>
      </c>
      <c r="D795" s="181">
        <f t="shared" si="91"/>
        <v>2.6757330246913579E-3</v>
      </c>
      <c r="E795" s="66">
        <v>160</v>
      </c>
      <c r="F795" s="66">
        <v>173</v>
      </c>
      <c r="I795" s="49">
        <f>IF(D795&gt;0,(1/(D795*24)))</f>
        <v>15.572056809170212</v>
      </c>
      <c r="J795" s="149">
        <f>1/((182/(ConditieGetal!$B$2*(E795/(I795*ConditieGetal!$B$2))))*24)*10</f>
        <v>2.3522927689594363E-2</v>
      </c>
      <c r="K795" s="149">
        <f>$J795*POWER(21.1/10,1.06)</f>
        <v>5.1907579305248489E-2</v>
      </c>
      <c r="L795" s="149">
        <f>$J795*POWER(16.1/10,1.06)</f>
        <v>3.8969676638717483E-2</v>
      </c>
    </row>
    <row r="796" spans="1:12" ht="13.5" customHeight="1">
      <c r="A796" s="395">
        <v>38423</v>
      </c>
      <c r="B796" s="177">
        <v>10.26</v>
      </c>
      <c r="C796" s="361">
        <v>3.0118055555555554E-2</v>
      </c>
      <c r="D796" s="181">
        <f t="shared" si="91"/>
        <v>2.9354829976175004E-3</v>
      </c>
      <c r="E796" s="66">
        <v>151</v>
      </c>
      <c r="F796" s="66">
        <v>157</v>
      </c>
      <c r="I796" s="49">
        <f>IF(D796&gt;0,(1/(D796*24)))</f>
        <v>14.194143417108601</v>
      </c>
      <c r="J796" s="149">
        <f>1/((182/(ConditieGetal!$B$2*(E796/(I796*ConditieGetal!$B$2))))*24)*10</f>
        <v>2.4354831463749591E-2</v>
      </c>
      <c r="K796" s="149">
        <f>$J796*POWER(21.1/10,1.06)</f>
        <v>5.374332491060526E-2</v>
      </c>
      <c r="L796" s="149">
        <f>$J796*POWER(16.1/10,1.06)</f>
        <v>4.0347864826053487E-2</v>
      </c>
    </row>
    <row r="797" spans="1:12" ht="13.5" customHeight="1">
      <c r="A797" s="395">
        <v>38424</v>
      </c>
      <c r="B797" s="177">
        <v>6</v>
      </c>
      <c r="D797" s="181"/>
      <c r="H797" s="28" t="s">
        <v>303</v>
      </c>
    </row>
    <row r="798" spans="1:12" ht="13.5" customHeight="1">
      <c r="A798" s="395">
        <v>38425</v>
      </c>
      <c r="B798" s="177">
        <v>21.76</v>
      </c>
      <c r="C798" s="361">
        <v>6.2766203703703713E-2</v>
      </c>
      <c r="D798" s="181">
        <f t="shared" si="91"/>
        <v>2.8844762731481482E-3</v>
      </c>
      <c r="E798" s="66">
        <v>149</v>
      </c>
      <c r="F798" s="66">
        <v>162</v>
      </c>
      <c r="I798" s="49">
        <f>IF(D798&gt;0,(1/(D798*24)))</f>
        <v>14.445141065830722</v>
      </c>
      <c r="J798" s="149">
        <f>1/((182/(ConditieGetal!$B$2*(E798/(I798*ConditieGetal!$B$2))))*24)*10</f>
        <v>2.3614668390059018E-2</v>
      </c>
      <c r="K798" s="149">
        <f>$J798*POWER(21.1/10,1.06)</f>
        <v>5.21100216945517E-2</v>
      </c>
      <c r="L798" s="149">
        <f>$J798*POWER(16.1/10,1.06)</f>
        <v>3.9121660502243902E-2</v>
      </c>
    </row>
    <row r="799" spans="1:12" ht="13.5" customHeight="1">
      <c r="A799" s="395">
        <v>38426</v>
      </c>
      <c r="B799" s="177">
        <v>8</v>
      </c>
      <c r="C799" s="361">
        <v>2.2910879629629632E-2</v>
      </c>
      <c r="D799" s="181">
        <f t="shared" si="91"/>
        <v>2.863859953703704E-3</v>
      </c>
      <c r="E799" s="66">
        <v>151</v>
      </c>
      <c r="F799" s="66">
        <v>156</v>
      </c>
      <c r="I799" s="49">
        <f>IF(D799&gt;0,(1/(D799*24)))</f>
        <v>14.549128567820157</v>
      </c>
      <c r="J799" s="149">
        <f>1/((182/(ConditieGetal!$B$2*(E799/(I799*ConditieGetal!$B$2))))*24)*10</f>
        <v>2.3760596319190069E-2</v>
      </c>
      <c r="K799" s="149">
        <f>$J799*POWER(21.1/10,1.06)</f>
        <v>5.2432037969658965E-2</v>
      </c>
      <c r="L799" s="149">
        <f>$J799*POWER(16.1/10,1.06)</f>
        <v>3.9363414602151724E-2</v>
      </c>
    </row>
    <row r="800" spans="1:12" ht="13.5" customHeight="1">
      <c r="A800" s="395">
        <v>38428</v>
      </c>
      <c r="B800" s="177">
        <v>8</v>
      </c>
      <c r="C800" s="361">
        <v>2.1667824074074072E-2</v>
      </c>
      <c r="D800" s="181">
        <f t="shared" si="91"/>
        <v>2.708478009259259E-3</v>
      </c>
      <c r="E800" s="66">
        <v>152</v>
      </c>
      <c r="F800" s="66">
        <v>159</v>
      </c>
      <c r="I800" s="49">
        <f>IF(D800&gt;0,(1/(D800*24)))</f>
        <v>15.38379360076919</v>
      </c>
      <c r="J800" s="149">
        <f>1/((182/(ConditieGetal!$B$2*(E800/(I800*ConditieGetal!$B$2))))*24)*10</f>
        <v>2.2620255901505903E-2</v>
      </c>
      <c r="K800" s="149">
        <f>$J800*POWER(21.1/10,1.06)</f>
        <v>4.9915671323167703E-2</v>
      </c>
      <c r="L800" s="149">
        <f>$J800*POWER(16.1/10,1.06)</f>
        <v>3.7474249362109351E-2</v>
      </c>
    </row>
    <row r="801" spans="1:12" ht="13.5" customHeight="1">
      <c r="A801" s="395">
        <v>38429</v>
      </c>
      <c r="B801" s="177">
        <v>10.26</v>
      </c>
      <c r="C801" s="361">
        <v>2.9876012419006479E-2</v>
      </c>
      <c r="D801" s="181">
        <f t="shared" si="91"/>
        <v>2.9118920486361092E-3</v>
      </c>
      <c r="E801" s="66">
        <v>145</v>
      </c>
      <c r="F801" s="66">
        <v>153</v>
      </c>
      <c r="I801" s="49">
        <f>IF(D801&gt;0,(1/(D801*24)))</f>
        <v>14.309138515688714</v>
      </c>
      <c r="J801" s="149">
        <f>1/((182/(ConditieGetal!$B$2*(E801/(I801*ConditieGetal!$B$2))))*24)*10</f>
        <v>2.3199139947925045E-2</v>
      </c>
      <c r="K801" s="149">
        <f>$J801*POWER(21.1/10,1.06)</f>
        <v>5.1193083299455711E-2</v>
      </c>
      <c r="L801" s="149">
        <f>$J801*POWER(16.1/10,1.06)</f>
        <v>3.8433267916175025E-2</v>
      </c>
    </row>
    <row r="802" spans="1:12" ht="13.5" customHeight="1">
      <c r="A802" s="395">
        <v>38430</v>
      </c>
      <c r="B802" s="177">
        <v>5</v>
      </c>
      <c r="D802" s="181"/>
    </row>
    <row r="803" spans="1:12" ht="13.5" customHeight="1">
      <c r="A803" s="395">
        <v>38431</v>
      </c>
      <c r="B803" s="177">
        <v>21.1</v>
      </c>
      <c r="C803" s="361">
        <v>5.1342592592592586E-2</v>
      </c>
      <c r="D803" s="181">
        <f t="shared" si="91"/>
        <v>2.4332982271370891E-3</v>
      </c>
      <c r="E803" s="66">
        <v>175</v>
      </c>
      <c r="F803" s="66">
        <v>183</v>
      </c>
      <c r="H803" s="28" t="s">
        <v>302</v>
      </c>
      <c r="I803" s="49">
        <f t="shared" ref="I803:I808" si="93">IF(D803&gt;0,(1/(D803*24)))</f>
        <v>17.123534715960329</v>
      </c>
      <c r="J803" s="149">
        <f>1/((182/(ConditieGetal!$B$2*(E803/(I803*ConditieGetal!$B$2))))*24)*10</f>
        <v>2.3397098337856623E-2</v>
      </c>
      <c r="K803" s="149">
        <f t="shared" ref="K803:K820" si="94">$J803*POWER(21.1/10,1.06)</f>
        <v>5.162991416337314E-2</v>
      </c>
      <c r="L803" s="149">
        <f t="shared" ref="L803:L820" si="95">$J803*POWER(16.1/10,1.06)</f>
        <v>3.8761219204609558E-2</v>
      </c>
    </row>
    <row r="804" spans="1:12" ht="13.5" customHeight="1">
      <c r="A804" s="395">
        <v>38432</v>
      </c>
      <c r="B804" s="177">
        <v>12.54</v>
      </c>
      <c r="C804" s="361">
        <v>3.6204861111111111E-2</v>
      </c>
      <c r="D804" s="181">
        <f t="shared" si="91"/>
        <v>2.8871500088605354E-3</v>
      </c>
      <c r="E804" s="66">
        <v>146</v>
      </c>
      <c r="F804" s="66">
        <v>150</v>
      </c>
      <c r="I804" s="49">
        <f t="shared" si="93"/>
        <v>14.431763690419103</v>
      </c>
      <c r="J804" s="149">
        <f>1/((182/(ConditieGetal!$B$2*(E804/(I804*ConditieGetal!$B$2))))*24)*10</f>
        <v>2.3160653917232866E-2</v>
      </c>
      <c r="K804" s="149">
        <f t="shared" si="94"/>
        <v>5.1108156936689131E-2</v>
      </c>
      <c r="L804" s="149">
        <f t="shared" si="95"/>
        <v>3.8369509348747832E-2</v>
      </c>
    </row>
    <row r="805" spans="1:12" ht="13.5" customHeight="1">
      <c r="A805" s="395">
        <v>38433</v>
      </c>
      <c r="B805" s="177">
        <v>8</v>
      </c>
      <c r="C805" s="361">
        <v>2.168287037037037E-2</v>
      </c>
      <c r="D805" s="181">
        <f t="shared" si="91"/>
        <v>2.7103587962962962E-3</v>
      </c>
      <c r="E805" s="66">
        <v>154</v>
      </c>
      <c r="F805" s="66">
        <v>167</v>
      </c>
      <c r="I805" s="49">
        <f t="shared" si="93"/>
        <v>15.373118394363189</v>
      </c>
      <c r="J805" s="149">
        <f>1/((182/(ConditieGetal!$B$2*(E805/(I805*ConditieGetal!$B$2))))*24)*10</f>
        <v>2.2933805199430203E-2</v>
      </c>
      <c r="K805" s="149">
        <f t="shared" si="94"/>
        <v>5.0607574357640329E-2</v>
      </c>
      <c r="L805" s="149">
        <f t="shared" si="95"/>
        <v>3.7993696384675847E-2</v>
      </c>
    </row>
    <row r="806" spans="1:12" ht="13.5" customHeight="1">
      <c r="A806" s="395">
        <v>38435</v>
      </c>
      <c r="B806" s="177">
        <v>12</v>
      </c>
      <c r="C806" s="361">
        <v>3.3790509259259256E-2</v>
      </c>
      <c r="D806" s="181">
        <f t="shared" si="91"/>
        <v>2.8158757716049382E-3</v>
      </c>
      <c r="E806" s="66">
        <v>151</v>
      </c>
      <c r="F806" s="66">
        <v>174</v>
      </c>
      <c r="I806" s="49">
        <f t="shared" si="93"/>
        <v>14.797054290118172</v>
      </c>
      <c r="J806" s="149">
        <f>1/((182/(ConditieGetal!$B$2*(E806/(I806*ConditieGetal!$B$2))))*24)*10</f>
        <v>2.3362485797381628E-2</v>
      </c>
      <c r="K806" s="149">
        <f t="shared" si="94"/>
        <v>5.155353535486043E-2</v>
      </c>
      <c r="L806" s="149">
        <f t="shared" si="95"/>
        <v>3.8703877723661517E-2</v>
      </c>
    </row>
    <row r="807" spans="1:12" ht="13.5" customHeight="1">
      <c r="A807" s="395">
        <v>38436</v>
      </c>
      <c r="B807" s="177">
        <v>21.76</v>
      </c>
      <c r="C807" s="361">
        <v>6.2534722222222228E-2</v>
      </c>
      <c r="D807" s="181">
        <f t="shared" si="91"/>
        <v>2.8738383374183009E-3</v>
      </c>
      <c r="E807" s="66">
        <v>145</v>
      </c>
      <c r="F807" s="66">
        <v>155</v>
      </c>
      <c r="I807" s="49">
        <f t="shared" si="93"/>
        <v>14.498611882287619</v>
      </c>
      <c r="J807" s="149">
        <f>1/((182/(ConditieGetal!$B$2*(E807/(I807*ConditieGetal!$B$2))))*24)*10</f>
        <v>2.289596477613481E-2</v>
      </c>
      <c r="K807" s="149">
        <f t="shared" si="94"/>
        <v>5.0524072643947669E-2</v>
      </c>
      <c r="L807" s="149">
        <f t="shared" si="95"/>
        <v>3.7931007374228144E-2</v>
      </c>
    </row>
    <row r="808" spans="1:12" ht="13.5" customHeight="1">
      <c r="A808" s="395">
        <v>38437</v>
      </c>
      <c r="B808" s="177">
        <v>16.62</v>
      </c>
      <c r="C808" s="361">
        <v>4.4756944444444446E-2</v>
      </c>
      <c r="D808" s="181">
        <f t="shared" si="91"/>
        <v>2.692956946115791E-3</v>
      </c>
      <c r="E808" s="66">
        <v>152</v>
      </c>
      <c r="F808" s="66">
        <v>160</v>
      </c>
      <c r="I808" s="49">
        <f t="shared" si="93"/>
        <v>15.472459270752521</v>
      </c>
      <c r="J808" s="149">
        <f>1/((182/(ConditieGetal!$B$2*(E808/(I808*ConditieGetal!$B$2))))*24)*10</f>
        <v>2.2490629440087923E-2</v>
      </c>
      <c r="K808" s="149">
        <f t="shared" si="94"/>
        <v>4.9629627174458735E-2</v>
      </c>
      <c r="L808" s="149">
        <f t="shared" si="95"/>
        <v>3.7259501378697636E-2</v>
      </c>
    </row>
    <row r="809" spans="1:12" ht="13.5" customHeight="1">
      <c r="A809" s="395">
        <v>38439</v>
      </c>
      <c r="B809" s="177">
        <v>19.3</v>
      </c>
      <c r="C809" s="361">
        <v>4.4837962962962961E-2</v>
      </c>
      <c r="D809" s="191">
        <f t="shared" si="91"/>
        <v>2.3232105162156974E-3</v>
      </c>
      <c r="E809" s="66">
        <v>174</v>
      </c>
      <c r="F809" s="66">
        <v>182</v>
      </c>
      <c r="H809" s="28" t="s">
        <v>301</v>
      </c>
      <c r="I809" s="49">
        <f>IF(D809&gt;0,(1/(D809*24)))</f>
        <v>17.934950955085185</v>
      </c>
      <c r="J809" s="149">
        <f>1/((182/(ConditieGetal!$B$2*(E809/(I809*ConditieGetal!$B$2))))*24)*10</f>
        <v>2.2210913726457764E-2</v>
      </c>
      <c r="K809" s="149">
        <f t="shared" si="94"/>
        <v>4.9012384041300427E-2</v>
      </c>
      <c r="L809" s="149">
        <f t="shared" si="95"/>
        <v>3.6796105365464245E-2</v>
      </c>
    </row>
    <row r="810" spans="1:12" ht="13.5" customHeight="1">
      <c r="A810" s="395">
        <v>38440</v>
      </c>
      <c r="B810" s="177">
        <v>15</v>
      </c>
      <c r="C810" s="361">
        <v>4.2581018518518525E-2</v>
      </c>
      <c r="D810" s="181">
        <f t="shared" si="91"/>
        <v>2.838734567901235E-3</v>
      </c>
      <c r="E810" s="66">
        <v>144</v>
      </c>
      <c r="F810" s="66">
        <v>165</v>
      </c>
      <c r="I810" s="49">
        <f>IF(D810&gt;0,(1/(D810*24)))</f>
        <v>14.677901603696656</v>
      </c>
      <c r="J810" s="149">
        <f>1/((182/(ConditieGetal!$B$2*(E810/(I810*ConditieGetal!$B$2))))*24)*10</f>
        <v>2.2460317460317462E-2</v>
      </c>
      <c r="K810" s="149">
        <f t="shared" si="94"/>
        <v>4.9562738328197888E-2</v>
      </c>
      <c r="L810" s="149">
        <f t="shared" si="95"/>
        <v>3.7209284498149357E-2</v>
      </c>
    </row>
    <row r="811" spans="1:12" ht="13.5" customHeight="1">
      <c r="A811" s="395">
        <v>38442</v>
      </c>
      <c r="B811" s="177">
        <v>4.5</v>
      </c>
      <c r="D811" s="181"/>
      <c r="H811" s="28" t="s">
        <v>269</v>
      </c>
    </row>
    <row r="812" spans="1:12" ht="13.5" customHeight="1">
      <c r="A812" s="395">
        <v>38443</v>
      </c>
      <c r="B812" s="177">
        <v>16.62</v>
      </c>
      <c r="C812" s="361">
        <v>4.6782407407407411E-2</v>
      </c>
      <c r="D812" s="187">
        <f t="shared" si="91"/>
        <v>2.8148259571243927E-3</v>
      </c>
      <c r="E812" s="66">
        <v>149</v>
      </c>
      <c r="F812" s="66">
        <v>157</v>
      </c>
      <c r="I812" s="49">
        <f>IF(D812&gt;0,(1/(D812*24)))</f>
        <v>14.802572983671451</v>
      </c>
      <c r="J812" s="149">
        <f>1/((182/(ConditieGetal!$B$2*(E812/(I812*ConditieGetal!$B$2))))*24)*10</f>
        <v>2.3044454264370025E-2</v>
      </c>
      <c r="K812" s="149">
        <f t="shared" si="94"/>
        <v>5.0851741460868564E-2</v>
      </c>
      <c r="L812" s="149">
        <f t="shared" si="95"/>
        <v>3.8177005126596983E-2</v>
      </c>
    </row>
    <row r="813" spans="1:12" ht="13.5" customHeight="1">
      <c r="A813" s="395">
        <v>38444</v>
      </c>
      <c r="B813" s="177">
        <v>20.52</v>
      </c>
      <c r="C813" s="361">
        <v>5.5405092592592596E-2</v>
      </c>
      <c r="D813" s="183">
        <f t="shared" si="91"/>
        <v>2.7000532452530505E-3</v>
      </c>
      <c r="E813" s="66">
        <v>154</v>
      </c>
      <c r="F813" s="66">
        <v>175</v>
      </c>
      <c r="I813" s="49">
        <f>IF(D813&gt;0,(1/(D813*24)))</f>
        <v>15.431794443283895</v>
      </c>
      <c r="J813" s="149">
        <f>1/((182/(ConditieGetal!$B$2*(E813/(I813*ConditieGetal!$B$2))))*24)*10</f>
        <v>2.2846604382910425E-2</v>
      </c>
      <c r="K813" s="149">
        <f t="shared" si="94"/>
        <v>5.0415150040450211E-2</v>
      </c>
      <c r="L813" s="149">
        <f t="shared" si="95"/>
        <v>3.7849233600652961E-2</v>
      </c>
    </row>
    <row r="814" spans="1:12" ht="13.5" customHeight="1">
      <c r="A814" s="395">
        <v>38445</v>
      </c>
      <c r="B814" s="177">
        <v>21.76</v>
      </c>
      <c r="C814" s="361">
        <v>6.011574074074074E-2</v>
      </c>
      <c r="D814" s="183">
        <f t="shared" si="91"/>
        <v>2.7626719090413942E-3</v>
      </c>
      <c r="E814" s="66">
        <v>147</v>
      </c>
      <c r="F814" s="66">
        <v>159</v>
      </c>
      <c r="I814" s="49">
        <f>IF(D814&gt;0,(1/(D814*24)))</f>
        <v>15.082017712745476</v>
      </c>
      <c r="J814" s="149">
        <f>1/((182/(ConditieGetal!$B$2*(E814/(I814*ConditieGetal!$B$2))))*24)*10</f>
        <v>2.2313888496103568E-2</v>
      </c>
      <c r="K814" s="149">
        <f t="shared" si="94"/>
        <v>4.9239616428882596E-2</v>
      </c>
      <c r="L814" s="149">
        <f t="shared" si="95"/>
        <v>3.6966700349557936E-2</v>
      </c>
    </row>
    <row r="815" spans="1:12" ht="13.5" customHeight="1">
      <c r="A815" s="395">
        <v>38446</v>
      </c>
      <c r="B815" s="177">
        <v>21.76</v>
      </c>
      <c r="C815" s="361">
        <v>6.1273148148148153E-2</v>
      </c>
      <c r="D815" s="183">
        <f t="shared" si="91"/>
        <v>2.8158615876906316E-3</v>
      </c>
      <c r="E815" s="66">
        <v>145</v>
      </c>
      <c r="F815" s="66">
        <v>157</v>
      </c>
      <c r="I815" s="49">
        <f>IF(D815&gt;0,(1/(D815*24)))</f>
        <v>14.797128825085002</v>
      </c>
      <c r="J815" s="149">
        <f>1/((182/(ConditieGetal!$B$2*(E815/(I815*ConditieGetal!$B$2))))*24)*10</f>
        <v>2.2434062099733056E-2</v>
      </c>
      <c r="K815" s="149">
        <f t="shared" si="94"/>
        <v>4.9504801143264665E-2</v>
      </c>
      <c r="L815" s="149">
        <f t="shared" si="95"/>
        <v>3.7165788087944442E-2</v>
      </c>
    </row>
    <row r="816" spans="1:12" ht="13.5" customHeight="1">
      <c r="A816" s="395">
        <v>38447</v>
      </c>
      <c r="B816" s="177">
        <f>0.8+0.6+2*0.4+3*0.3+4*0.2</f>
        <v>3.9000000000000004</v>
      </c>
      <c r="D816" s="183"/>
      <c r="H816" s="28" t="s">
        <v>269</v>
      </c>
    </row>
    <row r="817" spans="1:15" ht="13.5" customHeight="1">
      <c r="A817" s="395">
        <v>38449</v>
      </c>
      <c r="B817" s="177">
        <v>15</v>
      </c>
      <c r="C817" s="361">
        <v>4.0028935185185181E-2</v>
      </c>
      <c r="D817" s="183">
        <f t="shared" si="91"/>
        <v>2.6685956790123452E-3</v>
      </c>
      <c r="E817" s="66">
        <v>159</v>
      </c>
      <c r="I817" s="49">
        <f>IF(D817&gt;0,(1/(D817*24)))</f>
        <v>15.613705363596939</v>
      </c>
      <c r="J817" s="149">
        <f>1/((182/(ConditieGetal!$B$2*(E817/(I817*ConditieGetal!$B$2))))*24)*10</f>
        <v>2.3313555657305651E-2</v>
      </c>
      <c r="K817" s="149">
        <f t="shared" si="94"/>
        <v>5.144556218247618E-2</v>
      </c>
      <c r="L817" s="149">
        <f t="shared" si="95"/>
        <v>3.8622816736619006E-2</v>
      </c>
    </row>
    <row r="818" spans="1:15" ht="13.5" customHeight="1">
      <c r="A818" s="395">
        <v>38451</v>
      </c>
      <c r="B818" s="177">
        <v>21.76</v>
      </c>
      <c r="C818" s="361">
        <v>5.9988425925925924E-2</v>
      </c>
      <c r="D818" s="183">
        <f t="shared" si="91"/>
        <v>2.7568210443899778E-3</v>
      </c>
      <c r="E818" s="66">
        <v>150</v>
      </c>
      <c r="F818" s="66">
        <v>171</v>
      </c>
      <c r="I818" s="49">
        <f>IF(D818&gt;0,(1/(D818*24)))</f>
        <v>15.114026625506465</v>
      </c>
      <c r="J818" s="149">
        <f>1/((182/(ConditieGetal!$B$2*(E818/(I818*ConditieGetal!$B$2))))*24)*10</f>
        <v>2.2721052563653664E-2</v>
      </c>
      <c r="K818" s="149">
        <f t="shared" si="94"/>
        <v>5.0138097324011706E-2</v>
      </c>
      <c r="L818" s="149">
        <f t="shared" si="95"/>
        <v>3.7641235945667054E-2</v>
      </c>
    </row>
    <row r="819" spans="1:15" ht="13.5" customHeight="1" thickBot="1">
      <c r="A819" s="395">
        <v>38452</v>
      </c>
      <c r="B819" s="177">
        <v>21.76</v>
      </c>
      <c r="C819" s="361">
        <v>5.7314814814814818E-2</v>
      </c>
      <c r="D819" s="183">
        <f t="shared" si="91"/>
        <v>2.6339528867102397E-3</v>
      </c>
      <c r="E819" s="66">
        <v>155</v>
      </c>
      <c r="F819" s="66">
        <v>162</v>
      </c>
      <c r="I819" s="49">
        <f>IF(D819&gt;0,(1/(D819*24)))</f>
        <v>15.819063004846527</v>
      </c>
      <c r="J819" s="149">
        <f>1/((182/(ConditieGetal!$B$2*(E819/(I819*ConditieGetal!$B$2))))*24)*10</f>
        <v>2.2432016342861932E-2</v>
      </c>
      <c r="K819" s="149">
        <f t="shared" si="94"/>
        <v>4.9500286812037345E-2</v>
      </c>
      <c r="L819" s="149">
        <f t="shared" si="95"/>
        <v>3.7162398948429105E-2</v>
      </c>
    </row>
    <row r="820" spans="1:15" s="164" customFormat="1" ht="13.5" customHeight="1" thickTop="1">
      <c r="A820" s="397">
        <v>38453</v>
      </c>
      <c r="B820" s="289">
        <v>21.76</v>
      </c>
      <c r="C820" s="367">
        <v>6.0636574074074079E-2</v>
      </c>
      <c r="D820" s="193">
        <f t="shared" si="91"/>
        <v>2.7866072644335514E-3</v>
      </c>
      <c r="E820" s="161">
        <v>145</v>
      </c>
      <c r="F820" s="161">
        <v>157</v>
      </c>
      <c r="G820" s="161"/>
      <c r="H820" s="162"/>
      <c r="I820" s="163">
        <f>IF(D820&gt;0,(1/(D820*24)))</f>
        <v>14.952471845772093</v>
      </c>
      <c r="J820" s="271">
        <f>1/((182/(ConditieGetal!$B$2*(E820/(I820*ConditieGetal!$B$2))))*24)*10</f>
        <v>2.2200991941915656E-2</v>
      </c>
      <c r="K820" s="271">
        <f t="shared" si="94"/>
        <v>4.8990489835580575E-2</v>
      </c>
      <c r="L820" s="271">
        <f t="shared" si="95"/>
        <v>3.6779668264590275E-2</v>
      </c>
      <c r="N820" s="162"/>
      <c r="O820" s="162"/>
    </row>
    <row r="821" spans="1:15" s="156" customFormat="1" ht="13.5" customHeight="1">
      <c r="A821" s="398">
        <v>38454</v>
      </c>
      <c r="B821" s="290">
        <v>5</v>
      </c>
      <c r="C821" s="368"/>
      <c r="D821" s="194"/>
      <c r="E821" s="153"/>
      <c r="F821" s="153">
        <v>189</v>
      </c>
      <c r="G821" s="153"/>
      <c r="H821" s="154" t="s">
        <v>269</v>
      </c>
      <c r="I821" s="155"/>
      <c r="J821" s="270"/>
      <c r="K821" s="270"/>
      <c r="L821" s="270"/>
      <c r="N821" s="154"/>
      <c r="O821" s="154"/>
    </row>
    <row r="822" spans="1:15" s="156" customFormat="1" ht="13.5" customHeight="1">
      <c r="A822" s="398">
        <v>38455</v>
      </c>
      <c r="B822" s="290"/>
      <c r="C822" s="368"/>
      <c r="D822" s="194"/>
      <c r="E822" s="153"/>
      <c r="F822" s="153"/>
      <c r="G822" s="153"/>
      <c r="H822" s="154"/>
      <c r="I822" s="155"/>
      <c r="J822" s="270"/>
      <c r="K822" s="270"/>
      <c r="L822" s="270"/>
      <c r="N822" s="154"/>
      <c r="O822" s="154"/>
    </row>
    <row r="823" spans="1:15" s="156" customFormat="1" ht="13.5" customHeight="1">
      <c r="A823" s="398">
        <v>38456</v>
      </c>
      <c r="B823" s="290">
        <v>15</v>
      </c>
      <c r="C823" s="368">
        <v>4.014699074074074E-2</v>
      </c>
      <c r="D823" s="194">
        <f>IF(B823&gt;0,C823/B823,"")</f>
        <v>2.676466049382716E-3</v>
      </c>
      <c r="E823" s="153">
        <v>153</v>
      </c>
      <c r="F823" s="153">
        <v>167</v>
      </c>
      <c r="G823" s="153"/>
      <c r="H823" s="154"/>
      <c r="I823" s="155">
        <f>IF(D823&gt;0,(1/(D823*24)))</f>
        <v>15.567791968172514</v>
      </c>
      <c r="J823" s="270">
        <f>1/((182/(ConditieGetal!$B$2*(E823/(I823*ConditieGetal!$B$2))))*24)*10</f>
        <v>2.2499961843711849E-2</v>
      </c>
      <c r="K823" s="270">
        <f>$J823*POWER(21.1/10,1.06)</f>
        <v>4.965022080496298E-2</v>
      </c>
      <c r="L823" s="270">
        <f>$J823*POWER(16.1/10,1.06)</f>
        <v>3.7274962071188196E-2</v>
      </c>
      <c r="N823" s="154"/>
      <c r="O823" s="154"/>
    </row>
    <row r="824" spans="1:15" s="156" customFormat="1" ht="13.5" customHeight="1">
      <c r="A824" s="398">
        <v>38457</v>
      </c>
      <c r="B824" s="290"/>
      <c r="C824" s="368"/>
      <c r="D824" s="194"/>
      <c r="E824" s="153"/>
      <c r="F824" s="153"/>
      <c r="G824" s="153"/>
      <c r="H824" s="154"/>
      <c r="I824" s="155"/>
      <c r="J824" s="270"/>
      <c r="K824" s="270"/>
      <c r="L824" s="270"/>
      <c r="N824" s="154"/>
      <c r="O824" s="154"/>
    </row>
    <row r="825" spans="1:15" s="156" customFormat="1" ht="13.5" customHeight="1">
      <c r="A825" s="398">
        <v>38458</v>
      </c>
      <c r="B825" s="290">
        <v>10</v>
      </c>
      <c r="C825" s="368">
        <v>2.3518518518518518E-2</v>
      </c>
      <c r="D825" s="194">
        <f>IF(B825&gt;0,C825/B825,"")</f>
        <v>2.3518518518518519E-3</v>
      </c>
      <c r="E825" s="153">
        <v>176</v>
      </c>
      <c r="F825" s="153">
        <v>186</v>
      </c>
      <c r="G825" s="153"/>
      <c r="H825" s="154" t="s">
        <v>304</v>
      </c>
      <c r="I825" s="155">
        <f>IF(D825&gt;0,(1/(D825*24)))</f>
        <v>17.716535433070863</v>
      </c>
      <c r="J825" s="270">
        <f>1/((182/(ConditieGetal!$B$2*(E825/(I825*ConditieGetal!$B$2))))*24)*10</f>
        <v>2.2743182743182745E-2</v>
      </c>
      <c r="K825" s="270">
        <f>$J825*POWER(21.1/10,1.06)</f>
        <v>5.0186931553496385E-2</v>
      </c>
      <c r="L825" s="270">
        <f>$J825*POWER(16.1/10,1.06)</f>
        <v>3.7677898301288142E-2</v>
      </c>
      <c r="N825" s="154"/>
      <c r="O825" s="154"/>
    </row>
    <row r="826" spans="1:15" s="160" customFormat="1" ht="13.5" customHeight="1" thickBot="1">
      <c r="A826" s="399">
        <v>38459</v>
      </c>
      <c r="B826" s="291"/>
      <c r="C826" s="369"/>
      <c r="D826" s="195"/>
      <c r="E826" s="157"/>
      <c r="F826" s="157"/>
      <c r="G826" s="157"/>
      <c r="H826" s="158"/>
      <c r="I826" s="159"/>
      <c r="J826" s="272"/>
      <c r="K826" s="272"/>
      <c r="L826" s="272"/>
      <c r="N826" s="158"/>
      <c r="O826" s="158"/>
    </row>
    <row r="827" spans="1:15" s="168" customFormat="1" ht="13.5" customHeight="1" thickTop="1">
      <c r="A827" s="400">
        <v>38460</v>
      </c>
      <c r="B827" s="292"/>
      <c r="C827" s="370"/>
      <c r="D827" s="196"/>
      <c r="E827" s="165"/>
      <c r="F827" s="165"/>
      <c r="G827" s="165"/>
      <c r="H827" s="166"/>
      <c r="I827" s="167"/>
      <c r="J827" s="273"/>
      <c r="K827" s="273"/>
      <c r="L827" s="273"/>
      <c r="N827" s="166"/>
      <c r="O827" s="166"/>
    </row>
    <row r="828" spans="1:15" s="172" customFormat="1" ht="13.5" customHeight="1">
      <c r="A828" s="401">
        <v>38461</v>
      </c>
      <c r="B828" s="238">
        <f>3.6</f>
        <v>3.6</v>
      </c>
      <c r="C828" s="371"/>
      <c r="D828" s="197"/>
      <c r="E828" s="169"/>
      <c r="F828" s="169">
        <v>184</v>
      </c>
      <c r="G828" s="169"/>
      <c r="H828" s="170" t="s">
        <v>269</v>
      </c>
      <c r="I828" s="171"/>
      <c r="J828" s="274"/>
      <c r="K828" s="274"/>
      <c r="L828" s="274"/>
      <c r="N828" s="170"/>
      <c r="O828" s="170"/>
    </row>
    <row r="829" spans="1:15" s="172" customFormat="1" ht="13.5" customHeight="1">
      <c r="A829" s="401">
        <v>38462</v>
      </c>
      <c r="B829" s="238">
        <v>12.54</v>
      </c>
      <c r="C829" s="371">
        <v>3.6828703703703704E-2</v>
      </c>
      <c r="D829" s="197">
        <f t="shared" si="91"/>
        <v>2.9368982219859416E-3</v>
      </c>
      <c r="E829" s="169">
        <v>145</v>
      </c>
      <c r="F829" s="169">
        <v>173</v>
      </c>
      <c r="G829" s="169"/>
      <c r="H829" s="170"/>
      <c r="I829" s="171">
        <f>IF(D829&gt;0,(1/(D829*24)))</f>
        <v>14.187303582652419</v>
      </c>
      <c r="J829" s="274">
        <f>1/((182/(ConditieGetal!$B$2*(E829/(I829*ConditieGetal!$B$2))))*24)*10</f>
        <v>2.33983649553825E-2</v>
      </c>
      <c r="K829" s="274">
        <f>$J829*POWER(21.1/10,1.06)</f>
        <v>5.1632709183216823E-2</v>
      </c>
      <c r="L829" s="274">
        <f>$J829*POWER(16.1/10,1.06)</f>
        <v>3.8763317569067403E-2</v>
      </c>
      <c r="N829" s="170"/>
      <c r="O829" s="170"/>
    </row>
    <row r="830" spans="1:15" s="172" customFormat="1" ht="13.5" customHeight="1">
      <c r="A830" s="401">
        <v>38463</v>
      </c>
      <c r="B830" s="238">
        <v>15</v>
      </c>
      <c r="C830" s="371">
        <v>3.9018518518518515E-2</v>
      </c>
      <c r="D830" s="197">
        <f t="shared" si="91"/>
        <v>2.6012345679012343E-3</v>
      </c>
      <c r="E830" s="169"/>
      <c r="F830" s="169"/>
      <c r="G830" s="169"/>
      <c r="H830" s="170"/>
      <c r="I830" s="171"/>
      <c r="J830" s="274"/>
      <c r="K830" s="274"/>
      <c r="L830" s="274"/>
      <c r="N830" s="170"/>
      <c r="O830" s="170"/>
    </row>
    <row r="831" spans="1:15" s="172" customFormat="1" ht="13.5" customHeight="1">
      <c r="A831" s="401">
        <v>38464</v>
      </c>
      <c r="B831" s="238">
        <f>6.35*3</f>
        <v>19.049999999999997</v>
      </c>
      <c r="C831" s="371"/>
      <c r="D831" s="197"/>
      <c r="E831" s="169"/>
      <c r="F831" s="169"/>
      <c r="G831" s="169"/>
      <c r="H831" s="170"/>
      <c r="I831" s="171"/>
      <c r="J831" s="274"/>
      <c r="K831" s="274"/>
      <c r="L831" s="274"/>
      <c r="N831" s="170"/>
      <c r="O831" s="170"/>
    </row>
    <row r="832" spans="1:15" s="172" customFormat="1" ht="13.5" customHeight="1">
      <c r="A832" s="401">
        <v>38465</v>
      </c>
      <c r="B832" s="238">
        <v>21.76</v>
      </c>
      <c r="C832" s="371">
        <v>6.0451388888888895E-2</v>
      </c>
      <c r="D832" s="197">
        <f t="shared" si="91"/>
        <v>2.7780969158496733E-3</v>
      </c>
      <c r="E832" s="169">
        <v>148</v>
      </c>
      <c r="F832" s="169">
        <v>158</v>
      </c>
      <c r="G832" s="169"/>
      <c r="H832" s="170"/>
      <c r="I832" s="204">
        <f>IF(D832&gt;0,(1/(D832*24)))</f>
        <v>14.998276852383686</v>
      </c>
      <c r="J832" s="275">
        <f>1/((182/(ConditieGetal!$B$2*(E832/(I832*ConditieGetal!$B$2))))*24)*10</f>
        <v>2.2591117777239104E-2</v>
      </c>
      <c r="K832" s="275">
        <f>$J832*POWER(21.1/10,1.06)</f>
        <v>4.9851372800630726E-2</v>
      </c>
      <c r="L832" s="275">
        <f>$J832*POWER(16.1/10,1.06)</f>
        <v>3.7425977170164541E-2</v>
      </c>
      <c r="N832" s="170"/>
      <c r="O832" s="170"/>
    </row>
    <row r="833" spans="1:15" s="176" customFormat="1" ht="13.5" customHeight="1" thickBot="1">
      <c r="A833" s="402">
        <v>38466</v>
      </c>
      <c r="B833" s="293">
        <v>21.76</v>
      </c>
      <c r="C833" s="372">
        <v>6.7291666666666666E-2</v>
      </c>
      <c r="D833" s="198">
        <f t="shared" si="91"/>
        <v>3.0924479166666665E-3</v>
      </c>
      <c r="E833" s="173">
        <v>140</v>
      </c>
      <c r="F833" s="173">
        <v>149</v>
      </c>
      <c r="G833" s="173"/>
      <c r="H833" s="174"/>
      <c r="I833" s="175">
        <f>IF(D833&gt;0,(1/(D833*24)))</f>
        <v>13.473684210526315</v>
      </c>
      <c r="J833" s="276">
        <f>1/((182/(ConditieGetal!$B$2*(E833/(I833*ConditieGetal!$B$2))))*24)*10</f>
        <v>2.3788060897435896E-2</v>
      </c>
      <c r="K833" s="276">
        <f>$J833*POWER(21.1/10,1.06)</f>
        <v>5.249264351129021E-2</v>
      </c>
      <c r="L833" s="276">
        <f>$J833*POWER(16.1/10,1.06)</f>
        <v>3.9408914284307872E-2</v>
      </c>
      <c r="N833" s="174"/>
      <c r="O833" s="174"/>
    </row>
    <row r="834" spans="1:15" s="164" customFormat="1" ht="13.5" customHeight="1" thickTop="1">
      <c r="A834" s="397">
        <v>38467</v>
      </c>
      <c r="B834" s="289">
        <v>16.62</v>
      </c>
      <c r="C834" s="367">
        <v>4.6539351851851853E-2</v>
      </c>
      <c r="D834" s="193">
        <f t="shared" si="91"/>
        <v>2.8002016758033603E-3</v>
      </c>
      <c r="E834" s="161">
        <v>148</v>
      </c>
      <c r="F834" s="161">
        <v>156</v>
      </c>
      <c r="G834" s="161"/>
      <c r="H834" s="162"/>
      <c r="I834" s="205">
        <f>IF(D834&gt;0,(1/(D834*24)))</f>
        <v>14.879880626709774</v>
      </c>
      <c r="J834" s="277">
        <f>1/((182/(ConditieGetal!$B$2*(E834/(I834*ConditieGetal!$B$2))))*24)*10</f>
        <v>2.2770870770269083E-2</v>
      </c>
      <c r="K834" s="277">
        <f>$J834*POWER(21.1/10,1.06)</f>
        <v>5.0248030175264705E-2</v>
      </c>
      <c r="L834" s="277">
        <f>$J834*POWER(16.1/10,1.06)</f>
        <v>3.7723768163941164E-2</v>
      </c>
      <c r="N834" s="162"/>
      <c r="O834" s="162"/>
    </row>
    <row r="835" spans="1:15" s="156" customFormat="1" ht="13.5" customHeight="1">
      <c r="A835" s="398">
        <v>38468</v>
      </c>
      <c r="B835" s="290">
        <v>8</v>
      </c>
      <c r="C835" s="368"/>
      <c r="D835" s="194"/>
      <c r="E835" s="153"/>
      <c r="F835" s="153"/>
      <c r="G835" s="153"/>
      <c r="H835" s="154" t="s">
        <v>269</v>
      </c>
      <c r="I835" s="155"/>
      <c r="J835" s="270"/>
      <c r="K835" s="270"/>
      <c r="L835" s="270"/>
      <c r="N835" s="154"/>
      <c r="O835" s="154"/>
    </row>
    <row r="836" spans="1:15" s="156" customFormat="1" ht="13.5" customHeight="1">
      <c r="A836" s="398">
        <v>38469</v>
      </c>
      <c r="B836" s="290"/>
      <c r="C836" s="368"/>
      <c r="D836" s="194"/>
      <c r="E836" s="153"/>
      <c r="F836" s="153"/>
      <c r="G836" s="153"/>
      <c r="H836" s="154"/>
      <c r="I836" s="155"/>
      <c r="J836" s="270"/>
      <c r="K836" s="270"/>
      <c r="L836" s="270"/>
      <c r="N836" s="154"/>
      <c r="O836" s="154"/>
    </row>
    <row r="837" spans="1:15" s="156" customFormat="1" ht="13.5" customHeight="1">
      <c r="A837" s="398">
        <v>38470</v>
      </c>
      <c r="B837" s="290">
        <v>10.5</v>
      </c>
      <c r="C837" s="368">
        <v>2.8497685185185185E-2</v>
      </c>
      <c r="D837" s="194">
        <f t="shared" ref="D837:D900" si="96">IF(B837&gt;0,C837/B837,"")</f>
        <v>2.7140652557319225E-3</v>
      </c>
      <c r="E837" s="153">
        <v>155</v>
      </c>
      <c r="F837" s="153">
        <v>162</v>
      </c>
      <c r="G837" s="153"/>
      <c r="H837" s="154"/>
      <c r="I837" s="155">
        <f>IF(D837&gt;0,(1/(D837*24)))</f>
        <v>15.352124116643653</v>
      </c>
      <c r="J837" s="270">
        <f>1/((182/(ConditieGetal!$B$2*(E837/(I837*ConditieGetal!$B$2))))*24)*10</f>
        <v>2.3114292013101535E-2</v>
      </c>
      <c r="K837" s="270">
        <f>$J837*POWER(21.1/10,1.06)</f>
        <v>5.1005851039770365E-2</v>
      </c>
      <c r="L837" s="270">
        <f>$J837*POWER(16.1/10,1.06)</f>
        <v>3.8292703075472917E-2</v>
      </c>
      <c r="N837" s="154"/>
      <c r="O837" s="154"/>
    </row>
    <row r="838" spans="1:15" s="156" customFormat="1" ht="13.5" customHeight="1">
      <c r="A838" s="398">
        <v>38471</v>
      </c>
      <c r="B838" s="290">
        <v>10</v>
      </c>
      <c r="C838" s="368">
        <v>2.2718749999999999E-2</v>
      </c>
      <c r="D838" s="194">
        <f t="shared" si="96"/>
        <v>2.271875E-3</v>
      </c>
      <c r="E838" s="153">
        <v>183</v>
      </c>
      <c r="F838" s="153">
        <v>188</v>
      </c>
      <c r="G838" s="153"/>
      <c r="H838" s="154" t="s">
        <v>270</v>
      </c>
      <c r="I838" s="155">
        <f>IF(D838&gt;0,(1/(D838*24)))</f>
        <v>18.340210912425491</v>
      </c>
      <c r="J838" s="270">
        <f>1/((182/(ConditieGetal!$B$2*(E838/(I838*ConditieGetal!$B$2))))*24)*10</f>
        <v>2.2843578296703301E-2</v>
      </c>
      <c r="K838" s="270">
        <f>$J838*POWER(21.1/10,1.06)</f>
        <v>5.0408472435865714E-2</v>
      </c>
      <c r="L838" s="270">
        <f>$J838*POWER(16.1/10,1.06)</f>
        <v>3.7844220381102717E-2</v>
      </c>
      <c r="N838" s="154"/>
      <c r="O838" s="154"/>
    </row>
    <row r="839" spans="1:15" s="156" customFormat="1" ht="13.5" customHeight="1">
      <c r="A839" s="398">
        <v>38472</v>
      </c>
      <c r="B839" s="290"/>
      <c r="C839" s="368"/>
      <c r="D839" s="194"/>
      <c r="E839" s="153"/>
      <c r="F839" s="153"/>
      <c r="G839" s="153"/>
      <c r="H839" s="154"/>
      <c r="I839" s="155"/>
      <c r="J839" s="270"/>
      <c r="K839" s="270"/>
      <c r="L839" s="270"/>
      <c r="N839" s="154"/>
      <c r="O839" s="154"/>
    </row>
    <row r="840" spans="1:15" s="160" customFormat="1" ht="13.5" customHeight="1" thickBot="1">
      <c r="A840" s="399">
        <v>38473</v>
      </c>
      <c r="B840" s="291"/>
      <c r="C840" s="369"/>
      <c r="D840" s="195"/>
      <c r="E840" s="157"/>
      <c r="F840" s="157"/>
      <c r="G840" s="157"/>
      <c r="H840" s="158"/>
      <c r="I840" s="159"/>
      <c r="J840" s="272"/>
      <c r="K840" s="272"/>
      <c r="L840" s="272"/>
      <c r="N840" s="158"/>
      <c r="O840" s="158"/>
    </row>
    <row r="841" spans="1:15" s="168" customFormat="1" ht="13.5" customHeight="1" thickTop="1">
      <c r="A841" s="400">
        <v>38474</v>
      </c>
      <c r="B841" s="292">
        <v>12.54</v>
      </c>
      <c r="C841" s="370">
        <v>3.5378472222222221E-2</v>
      </c>
      <c r="D841" s="196">
        <f t="shared" si="96"/>
        <v>2.8212497784866207E-3</v>
      </c>
      <c r="E841" s="165">
        <v>151</v>
      </c>
      <c r="F841" s="165">
        <v>161</v>
      </c>
      <c r="G841" s="165"/>
      <c r="H841" s="166"/>
      <c r="I841" s="167">
        <f>IF(D841&gt;0,(1/(D841*24)))</f>
        <v>14.768868387476688</v>
      </c>
      <c r="J841" s="273">
        <f>1/((182/(ConditieGetal!$B$2*(E841/(I841*ConditieGetal!$B$2))))*24)*10</f>
        <v>2.3407072337993391E-2</v>
      </c>
      <c r="K841" s="273">
        <f>$J841*POWER(21.1/10,1.06)</f>
        <v>5.1651923592213024E-2</v>
      </c>
      <c r="L841" s="273">
        <f>$J841*POWER(16.1/10,1.06)</f>
        <v>3.8777742809377354E-2</v>
      </c>
      <c r="N841" s="166"/>
      <c r="O841" s="166"/>
    </row>
    <row r="842" spans="1:15" s="172" customFormat="1" ht="13.5" customHeight="1">
      <c r="A842" s="401">
        <v>38475</v>
      </c>
      <c r="B842" s="238">
        <v>6.2</v>
      </c>
      <c r="C842" s="371"/>
      <c r="D842" s="197"/>
      <c r="E842" s="169"/>
      <c r="F842" s="169"/>
      <c r="G842" s="169"/>
      <c r="H842" s="170" t="s">
        <v>269</v>
      </c>
      <c r="I842" s="171"/>
      <c r="J842" s="274"/>
      <c r="K842" s="274"/>
      <c r="L842" s="274"/>
      <c r="N842" s="170"/>
      <c r="O842" s="170"/>
    </row>
    <row r="843" spans="1:15" s="172" customFormat="1" ht="13.5" customHeight="1">
      <c r="A843" s="401">
        <v>38476</v>
      </c>
      <c r="B843" s="238">
        <v>12.54</v>
      </c>
      <c r="C843" s="371">
        <v>3.3637731481481477E-2</v>
      </c>
      <c r="D843" s="197">
        <f t="shared" si="96"/>
        <v>2.6824347273908676E-3</v>
      </c>
      <c r="E843" s="169">
        <v>152</v>
      </c>
      <c r="F843" s="169">
        <v>159</v>
      </c>
      <c r="G843" s="169"/>
      <c r="H843" s="170"/>
      <c r="I843" s="204">
        <f>IF(D843&gt;0,(1/(D843*24)))</f>
        <v>15.533152117813026</v>
      </c>
      <c r="J843" s="275">
        <f>1/((182/(ConditieGetal!$B$2*(E843/(I843*ConditieGetal!$B$2))))*24)*10</f>
        <v>2.2402751569418237E-2</v>
      </c>
      <c r="K843" s="275">
        <f>$J843*POWER(21.1/10,1.06)</f>
        <v>4.943570881526653E-2</v>
      </c>
      <c r="L843" s="275">
        <f>$J843*POWER(16.1/10,1.06)</f>
        <v>3.7113916940872259E-2</v>
      </c>
      <c r="N843" s="170"/>
      <c r="O843" s="170"/>
    </row>
    <row r="844" spans="1:15" s="172" customFormat="1" ht="13.5" customHeight="1">
      <c r="A844" s="401">
        <v>38477</v>
      </c>
      <c r="B844" s="238" t="s">
        <v>307</v>
      </c>
      <c r="C844" s="371"/>
      <c r="D844" s="197"/>
      <c r="E844" s="169"/>
      <c r="F844" s="169"/>
      <c r="G844" s="169"/>
      <c r="H844" s="170"/>
      <c r="I844" s="171"/>
      <c r="J844" s="274"/>
      <c r="K844" s="274"/>
      <c r="L844" s="274"/>
      <c r="N844" s="170"/>
      <c r="O844" s="170"/>
    </row>
    <row r="845" spans="1:15" s="172" customFormat="1" ht="13.5" customHeight="1">
      <c r="A845" s="401">
        <v>38478</v>
      </c>
      <c r="B845" s="238">
        <v>21.76</v>
      </c>
      <c r="C845" s="371">
        <v>6.1608796296296293E-2</v>
      </c>
      <c r="D845" s="197">
        <f t="shared" si="96"/>
        <v>2.8312865944989103E-3</v>
      </c>
      <c r="E845" s="169">
        <v>147</v>
      </c>
      <c r="F845" s="169">
        <v>154</v>
      </c>
      <c r="G845" s="169"/>
      <c r="H845" s="170"/>
      <c r="I845" s="204">
        <f>IF(D845&gt;0,(1/(D845*24)))</f>
        <v>14.716513244411049</v>
      </c>
      <c r="J845" s="275">
        <f>1/((182/(ConditieGetal!$B$2*(E845/(I845*ConditieGetal!$B$2))))*24)*10</f>
        <v>2.2868084032491201E-2</v>
      </c>
      <c r="K845" s="275">
        <f>$J845*POWER(21.1/10,1.06)</f>
        <v>5.0462548758363895E-2</v>
      </c>
      <c r="L845" s="275">
        <f>$J845*POWER(16.1/10,1.06)</f>
        <v>3.7884818244262014E-2</v>
      </c>
      <c r="N845" s="170"/>
      <c r="O845" s="170"/>
    </row>
    <row r="846" spans="1:15" s="172" customFormat="1" ht="13.5" customHeight="1">
      <c r="A846" s="401">
        <v>38479</v>
      </c>
      <c r="B846" s="238">
        <v>12.507</v>
      </c>
      <c r="C846" s="371">
        <v>3.0101851851851852E-2</v>
      </c>
      <c r="D846" s="197">
        <f t="shared" si="96"/>
        <v>2.4068003399577717E-3</v>
      </c>
      <c r="E846" s="169">
        <v>172</v>
      </c>
      <c r="F846" s="169">
        <v>183</v>
      </c>
      <c r="G846" s="169"/>
      <c r="H846" s="170" t="s">
        <v>474</v>
      </c>
      <c r="I846" s="204">
        <f>IF(D846&gt;0,(1/(D846*24)))</f>
        <v>17.312057828360505</v>
      </c>
      <c r="J846" s="275">
        <f>1/((182/(ConditieGetal!$B$2*(E846/(I846*ConditieGetal!$B$2))))*24)*10</f>
        <v>2.2745585630370151E-2</v>
      </c>
      <c r="K846" s="275">
        <f>$J846*POWER(21.1/10,1.06)</f>
        <v>5.0192233957129462E-2</v>
      </c>
      <c r="L846" s="275">
        <f>$J846*POWER(16.1/10,1.06)</f>
        <v>3.768187908709543E-2</v>
      </c>
      <c r="N846" s="170"/>
      <c r="O846" s="170"/>
    </row>
    <row r="847" spans="1:15" s="176" customFormat="1" ht="13.5" customHeight="1" thickBot="1">
      <c r="A847" s="402">
        <v>38480</v>
      </c>
      <c r="B847" s="293">
        <v>12.54</v>
      </c>
      <c r="C847" s="372">
        <v>3.955671296296296E-2</v>
      </c>
      <c r="D847" s="198">
        <f t="shared" si="96"/>
        <v>3.1544428200129954E-3</v>
      </c>
      <c r="E847" s="173">
        <v>143</v>
      </c>
      <c r="F847" s="173">
        <v>154</v>
      </c>
      <c r="G847" s="173"/>
      <c r="H847" s="174"/>
      <c r="I847" s="175">
        <f>IF(D847&gt;0,(1/(D847*24)))</f>
        <v>13.208883167042163</v>
      </c>
      <c r="J847" s="276">
        <f>1/((182/(ConditieGetal!$B$2*(E847/(I847*ConditieGetal!$B$2))))*24)*10</f>
        <v>2.4784907871530679E-2</v>
      </c>
      <c r="K847" s="276">
        <f>$J847*POWER(21.1/10,1.06)</f>
        <v>5.4692366013770692E-2</v>
      </c>
      <c r="L847" s="276">
        <f>$J847*POWER(16.1/10,1.06)</f>
        <v>4.1060358558225443E-2</v>
      </c>
      <c r="N847" s="174"/>
      <c r="O847" s="174"/>
    </row>
    <row r="848" spans="1:15" s="164" customFormat="1" ht="13.5" customHeight="1" thickTop="1">
      <c r="A848" s="397">
        <v>38481</v>
      </c>
      <c r="B848" s="289">
        <v>21.76</v>
      </c>
      <c r="C848" s="367">
        <v>6.2002314814814809E-2</v>
      </c>
      <c r="D848" s="193">
        <f t="shared" si="96"/>
        <v>2.8493710852396511E-3</v>
      </c>
      <c r="E848" s="161">
        <v>146</v>
      </c>
      <c r="F848" s="161">
        <v>167</v>
      </c>
      <c r="G848" s="161"/>
      <c r="H848" s="162"/>
      <c r="I848" s="205">
        <f>IF(D848&gt;0,(1/(D848*24)))</f>
        <v>14.623109949598659</v>
      </c>
      <c r="J848" s="277">
        <f>1/((182/(ConditieGetal!$B$2*(E848/(I848*ConditieGetal!$B$2))))*24)*10</f>
        <v>2.285759222225215E-2</v>
      </c>
      <c r="K848" s="277">
        <f>$J848*POWER(21.1/10,1.06)</f>
        <v>5.0439396688212353E-2</v>
      </c>
      <c r="L848" s="277">
        <f>$J848*POWER(16.1/10,1.06)</f>
        <v>3.7867436800176235E-2</v>
      </c>
      <c r="N848" s="162"/>
      <c r="O848" s="162"/>
    </row>
    <row r="849" spans="1:15" s="156" customFormat="1" ht="13.5" customHeight="1">
      <c r="A849" s="398">
        <v>38482</v>
      </c>
      <c r="B849" s="290">
        <f>0.6+2*0.4+5*0.3+5*0.2</f>
        <v>3.9</v>
      </c>
      <c r="C849" s="368"/>
      <c r="D849" s="194"/>
      <c r="E849" s="153"/>
      <c r="F849" s="153"/>
      <c r="G849" s="153"/>
      <c r="H849" s="154" t="s">
        <v>269</v>
      </c>
      <c r="I849" s="155"/>
      <c r="J849" s="270"/>
      <c r="K849" s="270"/>
      <c r="L849" s="270"/>
      <c r="N849" s="154"/>
      <c r="O849" s="154"/>
    </row>
    <row r="850" spans="1:15" s="156" customFormat="1" ht="13.5" customHeight="1">
      <c r="A850" s="398">
        <v>38483</v>
      </c>
      <c r="B850" s="290">
        <v>16.62</v>
      </c>
      <c r="C850" s="368">
        <v>5.2326388888888888E-2</v>
      </c>
      <c r="D850" s="194">
        <f t="shared" si="96"/>
        <v>3.1483988501136511E-3</v>
      </c>
      <c r="E850" s="153">
        <v>138</v>
      </c>
      <c r="F850" s="153">
        <v>147</v>
      </c>
      <c r="G850" s="153"/>
      <c r="H850" s="154"/>
      <c r="I850" s="155">
        <f>IF(D850&gt;0,(1/(D850*24)))</f>
        <v>13.234240212342405</v>
      </c>
      <c r="J850" s="270">
        <f>1/((182/(ConditieGetal!$B$2*(E850/(I850*ConditieGetal!$B$2))))*24)*10</f>
        <v>2.3872474797565043E-2</v>
      </c>
      <c r="K850" s="270">
        <f>$J850*POWER(21.1/10,1.06)</f>
        <v>5.2678917995199678E-2</v>
      </c>
      <c r="L850" s="270">
        <f>$J850*POWER(16.1/10,1.06)</f>
        <v>3.9548760073711928E-2</v>
      </c>
      <c r="N850" s="154"/>
      <c r="O850" s="154"/>
    </row>
    <row r="851" spans="1:15" s="156" customFormat="1" ht="13.5" customHeight="1">
      <c r="A851" s="398">
        <v>38484</v>
      </c>
      <c r="B851" s="290">
        <v>10.5</v>
      </c>
      <c r="C851" s="368">
        <v>3.0859953703703702E-2</v>
      </c>
      <c r="D851" s="194">
        <f t="shared" si="96"/>
        <v>2.9390432098765429E-3</v>
      </c>
      <c r="E851" s="153">
        <v>143</v>
      </c>
      <c r="F851" s="153">
        <v>151</v>
      </c>
      <c r="G851" s="153"/>
      <c r="H851" s="154"/>
      <c r="I851" s="155">
        <f>IF(D851&gt;0,(1/(D851*24)))</f>
        <v>14.176949330532949</v>
      </c>
      <c r="J851" s="270">
        <f>1/((182/(ConditieGetal!$B$2*(E851/(I851*ConditieGetal!$B$2))))*24)*10</f>
        <v>2.3092482363315701E-2</v>
      </c>
      <c r="K851" s="270">
        <f>$J851*POWER(21.1/10,1.06)</f>
        <v>5.0957724116930794E-2</v>
      </c>
      <c r="L851" s="270">
        <f>$J851*POWER(16.1/10,1.06)</f>
        <v>3.8256571731153322E-2</v>
      </c>
      <c r="N851" s="154"/>
      <c r="O851" s="154"/>
    </row>
    <row r="852" spans="1:15" s="156" customFormat="1" ht="13.5" customHeight="1">
      <c r="A852" s="398">
        <v>38485</v>
      </c>
      <c r="B852" s="290">
        <v>12.54</v>
      </c>
      <c r="C852" s="368">
        <v>3.0127314814814815E-2</v>
      </c>
      <c r="D852" s="194">
        <f t="shared" si="96"/>
        <v>2.4024971941638612E-3</v>
      </c>
      <c r="E852" s="153">
        <v>170</v>
      </c>
      <c r="F852" s="153">
        <v>172</v>
      </c>
      <c r="G852" s="153"/>
      <c r="H852" s="154" t="s">
        <v>305</v>
      </c>
      <c r="I852" s="155">
        <f>IF(D852&gt;0,(1/(D852*24)))</f>
        <v>17.343065693430656</v>
      </c>
      <c r="J852" s="270">
        <f>1/((182/(ConditieGetal!$B$2*(E852/(I852*ConditieGetal!$B$2))))*24)*10</f>
        <v>2.2440907857574528E-2</v>
      </c>
      <c r="K852" s="270">
        <f>$J852*POWER(21.1/10,1.06)</f>
        <v>4.9519907541700686E-2</v>
      </c>
      <c r="L852" s="270">
        <f>$J852*POWER(16.1/10,1.06)</f>
        <v>3.7177129234461127E-2</v>
      </c>
      <c r="N852" s="154"/>
      <c r="O852" s="154"/>
    </row>
    <row r="853" spans="1:15" s="156" customFormat="1" ht="13.5" customHeight="1">
      <c r="A853" s="398">
        <v>38486</v>
      </c>
      <c r="B853" s="290">
        <v>14</v>
      </c>
      <c r="C853" s="368">
        <v>4.4699074074074079E-2</v>
      </c>
      <c r="D853" s="194">
        <f t="shared" si="96"/>
        <v>3.1927910052910054E-3</v>
      </c>
      <c r="E853" s="153">
        <v>136</v>
      </c>
      <c r="F853" s="153">
        <v>146</v>
      </c>
      <c r="G853" s="153"/>
      <c r="H853" s="154"/>
      <c r="I853" s="155">
        <f>IF(D853&gt;0,(1/(D853*24)))</f>
        <v>13.050233039875712</v>
      </c>
      <c r="J853" s="270">
        <f>1/((182/(ConditieGetal!$B$2*(E853/(I853*ConditieGetal!$B$2))))*24)*10</f>
        <v>2.3858218501075643E-2</v>
      </c>
      <c r="K853" s="270">
        <f>$J853*POWER(21.1/10,1.06)</f>
        <v>5.2647458907692048E-2</v>
      </c>
      <c r="L853" s="270">
        <f>$J853*POWER(16.1/10,1.06)</f>
        <v>3.952514212650788E-2</v>
      </c>
      <c r="N853" s="154"/>
      <c r="O853" s="154"/>
    </row>
    <row r="854" spans="1:15" s="160" customFormat="1" ht="13.5" customHeight="1" thickBot="1">
      <c r="A854" s="399">
        <v>38487</v>
      </c>
      <c r="B854" s="291">
        <v>3</v>
      </c>
      <c r="C854" s="369">
        <v>6.1828703703703707E-3</v>
      </c>
      <c r="D854" s="195">
        <f t="shared" si="96"/>
        <v>2.0609567901234568E-3</v>
      </c>
      <c r="E854" s="157"/>
      <c r="F854" s="157"/>
      <c r="G854" s="157"/>
      <c r="H854" s="158"/>
      <c r="I854" s="159"/>
      <c r="J854" s="272"/>
      <c r="K854" s="272"/>
      <c r="L854" s="272"/>
      <c r="N854" s="158"/>
      <c r="O854" s="158"/>
    </row>
    <row r="855" spans="1:15" s="168" customFormat="1" ht="13.5" customHeight="1" thickTop="1">
      <c r="A855" s="400">
        <v>38488</v>
      </c>
      <c r="B855" s="292" t="s">
        <v>307</v>
      </c>
      <c r="C855" s="370"/>
      <c r="D855" s="196"/>
      <c r="E855" s="165"/>
      <c r="F855" s="165"/>
      <c r="G855" s="165"/>
      <c r="H855" s="166"/>
      <c r="I855" s="167"/>
      <c r="J855" s="273"/>
      <c r="K855" s="273"/>
      <c r="L855" s="273"/>
      <c r="N855" s="166"/>
      <c r="O855" s="166"/>
    </row>
    <row r="856" spans="1:15" s="172" customFormat="1" ht="13.5" customHeight="1">
      <c r="A856" s="401">
        <v>38489</v>
      </c>
      <c r="B856" s="238">
        <v>15</v>
      </c>
      <c r="C856" s="371">
        <v>3.8458333333333337E-2</v>
      </c>
      <c r="D856" s="197">
        <f t="shared" si="96"/>
        <v>2.563888888888889E-3</v>
      </c>
      <c r="E856" s="169">
        <v>155</v>
      </c>
      <c r="F856" s="169">
        <v>177</v>
      </c>
      <c r="G856" s="169"/>
      <c r="H856" s="170"/>
      <c r="I856" s="204">
        <f>IF(D856&gt;0,(1/(D856*24)))</f>
        <v>16.251354279523294</v>
      </c>
      <c r="J856" s="275">
        <f>1/((182/(ConditieGetal!$B$2*(E856/(I856*ConditieGetal!$B$2))))*24)*10</f>
        <v>2.1835317460317458E-2</v>
      </c>
      <c r="K856" s="275">
        <f>$J856*POWER(21.1/10,1.06)</f>
        <v>4.818356318920651E-2</v>
      </c>
      <c r="L856" s="275">
        <f>$J856*POWER(16.1/10,1.06)</f>
        <v>3.6173867129163748E-2</v>
      </c>
      <c r="N856" s="170"/>
      <c r="O856" s="170"/>
    </row>
    <row r="857" spans="1:15" s="172" customFormat="1" ht="13.5" customHeight="1">
      <c r="A857" s="401">
        <v>38490</v>
      </c>
      <c r="B857" s="238">
        <v>21.76</v>
      </c>
      <c r="C857" s="371">
        <v>6.6203703703703709E-2</v>
      </c>
      <c r="D857" s="197">
        <f t="shared" si="96"/>
        <v>3.0424496187363833E-3</v>
      </c>
      <c r="E857" s="169">
        <v>140</v>
      </c>
      <c r="F857" s="169">
        <v>151</v>
      </c>
      <c r="G857" s="169"/>
      <c r="H857" s="170"/>
      <c r="I857" s="204">
        <f>IF(D857&gt;0,(1/(D857*24)))</f>
        <v>13.695104895104897</v>
      </c>
      <c r="J857" s="275">
        <f>1/((182/(ConditieGetal!$B$2*(E857/(I857*ConditieGetal!$B$2))))*24)*10</f>
        <v>2.3403458605664482E-2</v>
      </c>
      <c r="K857" s="275">
        <f>$J857*POWER(21.1/10,1.06)</f>
        <v>5.1643949240553821E-2</v>
      </c>
      <c r="L857" s="275">
        <f>$J857*POWER(16.1/10,1.06)</f>
        <v>3.8771756055425009E-2</v>
      </c>
      <c r="N857" s="170"/>
      <c r="O857" s="170"/>
    </row>
    <row r="858" spans="1:15" s="172" customFormat="1" ht="13.5" customHeight="1">
      <c r="A858" s="401">
        <v>38491</v>
      </c>
      <c r="B858" s="238">
        <v>15</v>
      </c>
      <c r="C858" s="371">
        <v>4.1184027777777778E-2</v>
      </c>
      <c r="D858" s="197">
        <f t="shared" si="96"/>
        <v>2.7456018518518519E-3</v>
      </c>
      <c r="E858" s="169">
        <v>151</v>
      </c>
      <c r="F858" s="169">
        <v>159</v>
      </c>
      <c r="G858" s="169"/>
      <c r="H858" s="170"/>
      <c r="I858" s="204">
        <f>IF(D858&gt;0,(1/(D858*24)))</f>
        <v>15.175786190034566</v>
      </c>
      <c r="J858" s="275">
        <f>1/((182/(ConditieGetal!$B$2*(E858/(I858*ConditieGetal!$B$2))))*24)*10</f>
        <v>2.2779443935693935E-2</v>
      </c>
      <c r="K858" s="275">
        <f>$J858*POWER(21.1/10,1.06)</f>
        <v>5.0266948409850971E-2</v>
      </c>
      <c r="L858" s="275">
        <f>$J858*POWER(16.1/10,1.06)</f>
        <v>3.7737971050962091E-2</v>
      </c>
      <c r="N858" s="170"/>
      <c r="O858" s="170"/>
    </row>
    <row r="859" spans="1:15" s="172" customFormat="1" ht="13.5" customHeight="1">
      <c r="A859" s="401">
        <v>38492</v>
      </c>
      <c r="B859" s="238" t="s">
        <v>307</v>
      </c>
      <c r="C859" s="371"/>
      <c r="D859" s="197"/>
      <c r="E859" s="169"/>
      <c r="F859" s="169"/>
      <c r="G859" s="169"/>
      <c r="H859" s="170"/>
      <c r="I859" s="171"/>
      <c r="J859" s="274"/>
      <c r="K859" s="274"/>
      <c r="L859" s="274"/>
      <c r="N859" s="170"/>
      <c r="O859" s="170"/>
    </row>
    <row r="860" spans="1:15" s="172" customFormat="1" ht="13.5" customHeight="1">
      <c r="A860" s="401">
        <v>38493</v>
      </c>
      <c r="B860" s="238">
        <v>24.66</v>
      </c>
      <c r="C860" s="371">
        <v>7.5509259259259262E-2</v>
      </c>
      <c r="D860" s="197">
        <f t="shared" si="96"/>
        <v>3.0620137574719894E-3</v>
      </c>
      <c r="E860" s="169">
        <v>140</v>
      </c>
      <c r="F860" s="169">
        <v>161</v>
      </c>
      <c r="G860" s="169"/>
      <c r="H860" s="170"/>
      <c r="I860" s="204">
        <f>IF(D860&gt;0,(1/(D860*24)))</f>
        <v>13.607602697731455</v>
      </c>
      <c r="J860" s="275">
        <f>1/((182/(ConditieGetal!$B$2*(E860/(I860*ConditieGetal!$B$2))))*24)*10</f>
        <v>2.3553951980553767E-2</v>
      </c>
      <c r="K860" s="275">
        <f>$J860*POWER(21.1/10,1.06)</f>
        <v>5.1976039994522161E-2</v>
      </c>
      <c r="L860" s="275">
        <f>$J860*POWER(16.1/10,1.06)</f>
        <v>3.9021073582269215E-2</v>
      </c>
      <c r="N860" s="170"/>
      <c r="O860" s="170"/>
    </row>
    <row r="861" spans="1:15" s="176" customFormat="1" ht="13.5" customHeight="1" thickBot="1">
      <c r="A861" s="402">
        <v>38494</v>
      </c>
      <c r="B861" s="293">
        <v>20</v>
      </c>
      <c r="C861" s="372">
        <v>5.6157407407407406E-2</v>
      </c>
      <c r="D861" s="198">
        <f t="shared" si="96"/>
        <v>2.8078703703703703E-3</v>
      </c>
      <c r="E861" s="173">
        <v>152</v>
      </c>
      <c r="F861" s="173"/>
      <c r="G861" s="173"/>
      <c r="H861" s="174"/>
      <c r="I861" s="175"/>
      <c r="J861" s="276"/>
      <c r="K861" s="276"/>
      <c r="L861" s="276"/>
      <c r="N861" s="174"/>
      <c r="O861" s="174"/>
    </row>
    <row r="862" spans="1:15" s="164" customFormat="1" ht="13.5" customHeight="1" thickTop="1">
      <c r="A862" s="397">
        <v>38495</v>
      </c>
      <c r="B862" s="289" t="s">
        <v>307</v>
      </c>
      <c r="C862" s="367"/>
      <c r="D862" s="193"/>
      <c r="E862" s="161"/>
      <c r="F862" s="161"/>
      <c r="G862" s="161"/>
      <c r="H862" s="162"/>
      <c r="I862" s="163"/>
      <c r="J862" s="271"/>
      <c r="K862" s="271"/>
      <c r="L862" s="271"/>
      <c r="N862" s="162"/>
      <c r="O862" s="162"/>
    </row>
    <row r="863" spans="1:15" s="156" customFormat="1" ht="13.5" customHeight="1">
      <c r="A863" s="398">
        <v>38496</v>
      </c>
      <c r="B863" s="290" t="s">
        <v>307</v>
      </c>
      <c r="C863" s="368"/>
      <c r="D863" s="194"/>
      <c r="E863" s="153"/>
      <c r="F863" s="153"/>
      <c r="G863" s="153"/>
      <c r="H863" s="154"/>
      <c r="I863" s="155"/>
      <c r="J863" s="270"/>
      <c r="K863" s="270"/>
      <c r="L863" s="270"/>
      <c r="N863" s="154"/>
      <c r="O863" s="154"/>
    </row>
    <row r="864" spans="1:15" s="156" customFormat="1" ht="13.5" customHeight="1">
      <c r="A864" s="398">
        <v>38497</v>
      </c>
      <c r="B864" s="290">
        <v>21.76</v>
      </c>
      <c r="C864" s="368">
        <v>6.159722222222222E-2</v>
      </c>
      <c r="D864" s="194">
        <f t="shared" si="96"/>
        <v>2.8307546977124178E-3</v>
      </c>
      <c r="E864" s="153">
        <v>151</v>
      </c>
      <c r="F864" s="153">
        <v>179</v>
      </c>
      <c r="G864" s="153"/>
      <c r="H864" s="154"/>
      <c r="I864" s="155">
        <f>IF(D864&gt;0,(1/(D864*24)))</f>
        <v>14.719278466741828</v>
      </c>
      <c r="J864" s="270">
        <f>1/((182/(ConditieGetal!$B$2*(E864/(I864*ConditieGetal!$B$2))))*24)*10</f>
        <v>2.348593183266896E-2</v>
      </c>
      <c r="K864" s="270">
        <f>$J864*POWER(21.1/10,1.06)</f>
        <v>5.1825941279460969E-2</v>
      </c>
      <c r="L864" s="270">
        <f>$J864*POWER(16.1/10,1.06)</f>
        <v>3.8908386794171773E-2</v>
      </c>
      <c r="N864" s="154"/>
      <c r="O864" s="154"/>
    </row>
    <row r="865" spans="1:15" s="156" customFormat="1" ht="13.5" customHeight="1">
      <c r="A865" s="398">
        <v>38498</v>
      </c>
      <c r="B865" s="290">
        <v>15</v>
      </c>
      <c r="C865" s="368">
        <v>3.8341435185185187E-2</v>
      </c>
      <c r="D865" s="194">
        <f t="shared" si="96"/>
        <v>2.5560956790123459E-3</v>
      </c>
      <c r="E865" s="153">
        <v>161</v>
      </c>
      <c r="F865" s="153">
        <v>181</v>
      </c>
      <c r="G865" s="153"/>
      <c r="H865" s="154" t="s">
        <v>244</v>
      </c>
      <c r="I865" s="155">
        <f>IF(D865&gt;0,(1/(D865*24)))</f>
        <v>16.300902587013613</v>
      </c>
      <c r="J865" s="270">
        <f>1/((182/(ConditieGetal!$B$2*(E865/(I865*ConditieGetal!$B$2))))*24)*10</f>
        <v>2.2611615622032288E-2</v>
      </c>
      <c r="K865" s="270">
        <f>$J865*POWER(21.1/10,1.06)</f>
        <v>4.9896604989337387E-2</v>
      </c>
      <c r="L865" s="270">
        <f>$J865*POWER(16.1/10,1.06)</f>
        <v>3.7459935289405555E-2</v>
      </c>
      <c r="N865" s="154"/>
      <c r="O865" s="154"/>
    </row>
    <row r="866" spans="1:15" s="156" customFormat="1" ht="13.5" customHeight="1">
      <c r="A866" s="398">
        <v>38499</v>
      </c>
      <c r="B866" s="290">
        <v>12.54</v>
      </c>
      <c r="C866" s="368">
        <v>3.9305555555555559E-2</v>
      </c>
      <c r="D866" s="194">
        <f t="shared" si="96"/>
        <v>3.1344143186248456E-3</v>
      </c>
      <c r="E866" s="153">
        <v>145</v>
      </c>
      <c r="F866" s="153">
        <v>152</v>
      </c>
      <c r="G866" s="153"/>
      <c r="H866" s="154"/>
      <c r="I866" s="155">
        <f>IF(D866&gt;0,(1/(D866*24)))</f>
        <v>13.293286219081269</v>
      </c>
      <c r="J866" s="270">
        <f>1/((182/(ConditieGetal!$B$2*(E866/(I866*ConditieGetal!$B$2))))*24)*10</f>
        <v>2.4971982208824326E-2</v>
      </c>
      <c r="K866" s="270">
        <f>$J866*POWER(21.1/10,1.06)</f>
        <v>5.5105179253992588E-2</v>
      </c>
      <c r="L866" s="270">
        <f>$J866*POWER(16.1/10,1.06)</f>
        <v>4.1370278587225945E-2</v>
      </c>
      <c r="N866" s="154"/>
      <c r="O866" s="154"/>
    </row>
    <row r="867" spans="1:15" s="156" customFormat="1" ht="13.5" customHeight="1">
      <c r="A867" s="398">
        <v>38500</v>
      </c>
      <c r="B867" s="290" t="s">
        <v>307</v>
      </c>
      <c r="C867" s="368"/>
      <c r="D867" s="194"/>
      <c r="E867" s="153"/>
      <c r="F867" s="153"/>
      <c r="G867" s="153"/>
      <c r="H867" s="154"/>
      <c r="I867" s="155"/>
      <c r="J867" s="270"/>
      <c r="K867" s="270"/>
      <c r="L867" s="270"/>
      <c r="N867" s="154"/>
      <c r="O867" s="154"/>
    </row>
    <row r="868" spans="1:15" s="160" customFormat="1" ht="13.5" customHeight="1" thickBot="1">
      <c r="A868" s="399">
        <v>38501</v>
      </c>
      <c r="B868" s="291">
        <v>21.76</v>
      </c>
      <c r="C868" s="369">
        <v>6.2696759259259258E-2</v>
      </c>
      <c r="D868" s="195">
        <f t="shared" si="96"/>
        <v>2.8812848924291935E-3</v>
      </c>
      <c r="E868" s="157">
        <v>144</v>
      </c>
      <c r="F868" s="157">
        <v>162</v>
      </c>
      <c r="G868" s="157"/>
      <c r="H868" s="158"/>
      <c r="I868" s="159">
        <f>IF(D868&gt;0,(1/(D868*24)))</f>
        <v>14.461140852870596</v>
      </c>
      <c r="J868" s="272">
        <f>1/((182/(ConditieGetal!$B$2*(E868/(I868*ConditieGetal!$B$2))))*24)*10</f>
        <v>2.2796979368670537E-2</v>
      </c>
      <c r="K868" s="272">
        <f>$J868*POWER(21.1/10,1.06)</f>
        <v>5.0305643502991416E-2</v>
      </c>
      <c r="L868" s="272">
        <f>$J868*POWER(16.1/10,1.06)</f>
        <v>3.7767021437964739E-2</v>
      </c>
      <c r="N868" s="158"/>
      <c r="O868" s="158"/>
    </row>
    <row r="869" spans="1:15" s="168" customFormat="1" ht="13.5" customHeight="1" thickTop="1">
      <c r="A869" s="400">
        <v>38502</v>
      </c>
      <c r="B869" s="292">
        <v>12.54</v>
      </c>
      <c r="C869" s="370">
        <v>3.7693287037037039E-2</v>
      </c>
      <c r="D869" s="196">
        <f t="shared" si="96"/>
        <v>3.0058442613267178E-3</v>
      </c>
      <c r="E869" s="165">
        <v>143</v>
      </c>
      <c r="F869" s="165">
        <v>159</v>
      </c>
      <c r="G869" s="165"/>
      <c r="H869" s="166"/>
      <c r="I869" s="167">
        <f>IF(D869&gt;0,(1/(D869*24)))</f>
        <v>13.86188472994135</v>
      </c>
      <c r="J869" s="273">
        <f>1/((182/(ConditieGetal!$B$2*(E869/(I869*ConditieGetal!$B$2))))*24)*10</f>
        <v>2.3617347767567069E-2</v>
      </c>
      <c r="K869" s="273">
        <f>$J869*POWER(21.1/10,1.06)</f>
        <v>5.2115934223907021E-2</v>
      </c>
      <c r="L869" s="273">
        <f>$J869*POWER(16.1/10,1.06)</f>
        <v>3.9126099340659748E-2</v>
      </c>
      <c r="N869" s="166"/>
      <c r="O869" s="166"/>
    </row>
    <row r="870" spans="1:15" s="172" customFormat="1" ht="13.5" customHeight="1">
      <c r="A870" s="401">
        <v>38503</v>
      </c>
      <c r="B870" s="238">
        <f>0.5+1+1.5+1+1+0.5</f>
        <v>5.5</v>
      </c>
      <c r="C870" s="371"/>
      <c r="D870" s="197"/>
      <c r="E870" s="169"/>
      <c r="F870" s="169">
        <v>188</v>
      </c>
      <c r="G870" s="169"/>
      <c r="H870" s="170" t="s">
        <v>269</v>
      </c>
      <c r="I870" s="171"/>
      <c r="J870" s="274"/>
      <c r="K870" s="274"/>
      <c r="L870" s="274"/>
      <c r="N870" s="170"/>
      <c r="O870" s="170"/>
    </row>
    <row r="871" spans="1:15" s="172" customFormat="1" ht="13.5" customHeight="1">
      <c r="A871" s="401">
        <v>38504</v>
      </c>
      <c r="B871" s="238">
        <v>16.62</v>
      </c>
      <c r="C871" s="371">
        <v>4.9062500000000002E-2</v>
      </c>
      <c r="D871" s="197">
        <f t="shared" si="96"/>
        <v>2.9520156438026472E-3</v>
      </c>
      <c r="E871" s="169">
        <v>143</v>
      </c>
      <c r="F871" s="169">
        <v>156</v>
      </c>
      <c r="G871" s="169"/>
      <c r="H871" s="170"/>
      <c r="I871" s="204">
        <f>IF(D871&gt;0,(1/(D871*24)))</f>
        <v>14.114649681528663</v>
      </c>
      <c r="J871" s="275">
        <f>1/((182/(ConditieGetal!$B$2*(E871/(I871*ConditieGetal!$B$2))))*24)*10</f>
        <v>2.3194408629877948E-2</v>
      </c>
      <c r="K871" s="275">
        <f>$J871*POWER(21.1/10,1.06)</f>
        <v>5.1182642793495367E-2</v>
      </c>
      <c r="L871" s="275">
        <f>$J871*POWER(16.1/10,1.06)</f>
        <v>3.8425429693960372E-2</v>
      </c>
      <c r="N871" s="170"/>
      <c r="O871" s="170"/>
    </row>
    <row r="872" spans="1:15" s="172" customFormat="1" ht="13.5" customHeight="1">
      <c r="A872" s="401">
        <v>38505</v>
      </c>
      <c r="B872" s="238">
        <v>15</v>
      </c>
      <c r="C872" s="371">
        <v>3.9123842592592592E-2</v>
      </c>
      <c r="D872" s="197">
        <f t="shared" si="96"/>
        <v>2.6082561728395059E-3</v>
      </c>
      <c r="E872" s="169">
        <v>154</v>
      </c>
      <c r="F872" s="169">
        <v>175</v>
      </c>
      <c r="G872" s="169"/>
      <c r="H872" s="170"/>
      <c r="I872" s="204">
        <f>IF(D872&gt;0,(1/(D872*24)))</f>
        <v>15.974913469218711</v>
      </c>
      <c r="J872" s="275">
        <f>1/((182/(ConditieGetal!$B$2*(E872/(I872*ConditieGetal!$B$2))))*24)*10</f>
        <v>2.2069859924026585E-2</v>
      </c>
      <c r="K872" s="275">
        <f>$J872*POWER(21.1/10,1.06)</f>
        <v>4.8701123405183171E-2</v>
      </c>
      <c r="L872" s="275">
        <f>$J872*POWER(16.1/10,1.06)</f>
        <v>3.6562426074266317E-2</v>
      </c>
      <c r="N872" s="170"/>
      <c r="O872" s="170"/>
    </row>
    <row r="873" spans="1:15" s="172" customFormat="1" ht="13.5" customHeight="1">
      <c r="A873" s="401">
        <v>38506</v>
      </c>
      <c r="B873" s="238" t="s">
        <v>307</v>
      </c>
      <c r="C873" s="371"/>
      <c r="D873" s="197"/>
      <c r="E873" s="169"/>
      <c r="F873" s="169"/>
      <c r="G873" s="169"/>
      <c r="H873" s="170"/>
      <c r="I873" s="171"/>
      <c r="J873" s="274"/>
      <c r="K873" s="274"/>
      <c r="L873" s="274"/>
      <c r="N873" s="170"/>
      <c r="O873" s="170"/>
    </row>
    <row r="874" spans="1:15" s="172" customFormat="1" ht="13.5" customHeight="1">
      <c r="A874" s="401">
        <v>38507</v>
      </c>
      <c r="B874" s="238">
        <v>16.100000000000001</v>
      </c>
      <c r="C874" s="371">
        <v>3.7274305555555554E-2</v>
      </c>
      <c r="D874" s="197">
        <f t="shared" si="96"/>
        <v>2.3151742581090404E-3</v>
      </c>
      <c r="E874" s="169">
        <v>174</v>
      </c>
      <c r="F874" s="169">
        <v>188</v>
      </c>
      <c r="G874" s="169"/>
      <c r="H874" s="170" t="s">
        <v>473</v>
      </c>
      <c r="I874" s="204">
        <f>IF(D874&gt;0,(1/(D874*24)))</f>
        <v>17.997205402887754</v>
      </c>
      <c r="J874" s="275">
        <f>1/((182/(ConditieGetal!$B$2*(E874/(I874*ConditieGetal!$B$2))))*24)*10</f>
        <v>2.2134083566536979E-2</v>
      </c>
      <c r="K874" s="275">
        <f>$J874*POWER(21.1/10,1.06)</f>
        <v>4.8842844446920462E-2</v>
      </c>
      <c r="L874" s="275">
        <f>$J874*POWER(16.1/10,1.06)</f>
        <v>3.6668823314193973E-2</v>
      </c>
      <c r="N874" s="170"/>
      <c r="O874" s="170"/>
    </row>
    <row r="875" spans="1:15" s="176" customFormat="1" ht="13.5" customHeight="1" thickBot="1">
      <c r="A875" s="402">
        <v>38508</v>
      </c>
      <c r="B875" s="293">
        <v>16.62</v>
      </c>
      <c r="C875" s="372">
        <v>4.9594907407407407E-2</v>
      </c>
      <c r="D875" s="198">
        <f t="shared" si="96"/>
        <v>2.984049783839194E-3</v>
      </c>
      <c r="E875" s="173">
        <v>144</v>
      </c>
      <c r="F875" s="173">
        <v>156</v>
      </c>
      <c r="G875" s="173"/>
      <c r="H875" s="174"/>
      <c r="I875" s="175">
        <f>IF(D875&gt;0,(1/(D875*24)))</f>
        <v>13.963127187864645</v>
      </c>
      <c r="J875" s="276">
        <f>1/((182/(ConditieGetal!$B$2*(E875/(I875*ConditieGetal!$B$2))))*24)*10</f>
        <v>2.3610064223782635E-2</v>
      </c>
      <c r="K875" s="276">
        <f>$J875*POWER(21.1/10,1.06)</f>
        <v>5.2099861771889029E-2</v>
      </c>
      <c r="L875" s="276">
        <f>$J875*POWER(16.1/10,1.06)</f>
        <v>3.9114032928272278E-2</v>
      </c>
      <c r="N875" s="174"/>
      <c r="O875" s="174"/>
    </row>
    <row r="876" spans="1:15" s="164" customFormat="1" ht="13.5" customHeight="1" thickTop="1">
      <c r="A876" s="397">
        <v>38509</v>
      </c>
      <c r="B876" s="289">
        <v>10.26</v>
      </c>
      <c r="C876" s="367">
        <v>2.9447916666666667E-2</v>
      </c>
      <c r="D876" s="193">
        <f t="shared" si="96"/>
        <v>2.8701673164392462E-3</v>
      </c>
      <c r="E876" s="161">
        <v>145</v>
      </c>
      <c r="F876" s="161">
        <v>166</v>
      </c>
      <c r="G876" s="161"/>
      <c r="H876" s="162"/>
      <c r="I876" s="205">
        <f>IF(D876&gt;0,(1/(D876*24)))</f>
        <v>14.517155995755218</v>
      </c>
      <c r="J876" s="277">
        <f>1/((182/(ConditieGetal!$B$2*(E876/(I876*ConditieGetal!$B$2))))*24)*10</f>
        <v>2.2866717630972012E-2</v>
      </c>
      <c r="K876" s="277">
        <f>$J876*POWER(21.1/10,1.06)</f>
        <v>5.0459533547155662E-2</v>
      </c>
      <c r="L876" s="277">
        <f>$J876*POWER(16.1/10,1.06)</f>
        <v>3.7882554570876456E-2</v>
      </c>
      <c r="N876" s="162"/>
      <c r="O876" s="162"/>
    </row>
    <row r="877" spans="1:15" s="156" customFormat="1" ht="13.5" customHeight="1">
      <c r="A877" s="398">
        <v>38510</v>
      </c>
      <c r="B877" s="290">
        <v>8</v>
      </c>
      <c r="C877" s="368"/>
      <c r="D877" s="194"/>
      <c r="E877" s="153"/>
      <c r="F877" s="153">
        <v>187</v>
      </c>
      <c r="G877" s="153"/>
      <c r="H877" s="154" t="s">
        <v>269</v>
      </c>
      <c r="I877" s="155"/>
      <c r="J877" s="270"/>
      <c r="K877" s="270"/>
      <c r="L877" s="270"/>
      <c r="N877" s="154"/>
      <c r="O877" s="154"/>
    </row>
    <row r="878" spans="1:15" s="156" customFormat="1" ht="13.5" customHeight="1">
      <c r="A878" s="398">
        <v>38511</v>
      </c>
      <c r="B878" s="290">
        <v>21.76</v>
      </c>
      <c r="C878" s="368">
        <v>6.3865740740740737E-2</v>
      </c>
      <c r="D878" s="194">
        <f t="shared" si="96"/>
        <v>2.9350064678649234E-3</v>
      </c>
      <c r="E878" s="153">
        <v>141</v>
      </c>
      <c r="F878" s="153">
        <v>151</v>
      </c>
      <c r="G878" s="153"/>
      <c r="H878" s="154"/>
      <c r="I878" s="155">
        <f>IF(D878&gt;0,(1/(D878*24)))</f>
        <v>14.196447988401598</v>
      </c>
      <c r="J878" s="270">
        <f>1/((182/(ConditieGetal!$B$2*(E878/(I878*ConditieGetal!$B$2))))*24)*10</f>
        <v>2.2738236921371106E-2</v>
      </c>
      <c r="K878" s="270">
        <f>$J878*POWER(21.1/10,1.06)</f>
        <v>5.0176017706321199E-2</v>
      </c>
      <c r="L878" s="270">
        <f>$J878*POWER(16.1/10,1.06)</f>
        <v>3.7669704717595856E-2</v>
      </c>
      <c r="N878" s="154"/>
      <c r="O878" s="154"/>
    </row>
    <row r="879" spans="1:15" s="156" customFormat="1" ht="13.5" customHeight="1">
      <c r="A879" s="398">
        <v>38512</v>
      </c>
      <c r="B879" s="290">
        <v>10.5</v>
      </c>
      <c r="C879" s="368">
        <v>2.8630787037037034E-2</v>
      </c>
      <c r="D879" s="194">
        <f t="shared" si="96"/>
        <v>2.7267416225749555E-3</v>
      </c>
      <c r="E879" s="153">
        <v>146</v>
      </c>
      <c r="F879" s="153">
        <v>157</v>
      </c>
      <c r="G879" s="153"/>
      <c r="H879" s="154"/>
      <c r="I879" s="155">
        <f>IF(D879&gt;0,(1/(D879*24)))</f>
        <v>15.280753527105146</v>
      </c>
      <c r="J879" s="270">
        <f>1/((182/(ConditieGetal!$B$2*(E879/(I879*ConditieGetal!$B$2))))*24)*10</f>
        <v>2.1873861367908993E-2</v>
      </c>
      <c r="K879" s="270">
        <f>$J879*POWER(21.1/10,1.06)</f>
        <v>4.8268617267782234E-2</v>
      </c>
      <c r="L879" s="270">
        <f>$J879*POWER(16.1/10,1.06)</f>
        <v>3.6237721579385908E-2</v>
      </c>
      <c r="N879" s="154"/>
      <c r="O879" s="154"/>
    </row>
    <row r="880" spans="1:15" s="156" customFormat="1" ht="13.5" customHeight="1">
      <c r="A880" s="398">
        <v>38513</v>
      </c>
      <c r="B880" s="290" t="s">
        <v>307</v>
      </c>
      <c r="C880" s="368"/>
      <c r="D880" s="194"/>
      <c r="E880" s="153"/>
      <c r="F880" s="153"/>
      <c r="G880" s="153"/>
      <c r="H880" s="154"/>
      <c r="I880" s="155"/>
      <c r="J880" s="270"/>
      <c r="K880" s="270"/>
      <c r="L880" s="270"/>
      <c r="N880" s="154"/>
      <c r="O880" s="154"/>
    </row>
    <row r="881" spans="1:15" s="156" customFormat="1" ht="13.5" customHeight="1">
      <c r="A881" s="398">
        <v>38514</v>
      </c>
      <c r="B881" s="290">
        <v>16.100000000000001</v>
      </c>
      <c r="C881" s="368">
        <v>3.7621527777777775E-2</v>
      </c>
      <c r="D881" s="194">
        <f t="shared" si="96"/>
        <v>2.3367408557625944E-3</v>
      </c>
      <c r="E881" s="153">
        <v>174</v>
      </c>
      <c r="F881" s="153">
        <v>186</v>
      </c>
      <c r="G881" s="153"/>
      <c r="H881" s="154" t="s">
        <v>476</v>
      </c>
      <c r="I881" s="155">
        <f>IF(D881&gt;0,(1/(D881*24)))</f>
        <v>17.831102907245043</v>
      </c>
      <c r="J881" s="270">
        <f>1/((182/(ConditieGetal!$B$2*(E881/(I881*ConditieGetal!$B$2))))*24)*10</f>
        <v>2.2340269719928099E-2</v>
      </c>
      <c r="K881" s="270">
        <f>$J881*POWER(21.1/10,1.06)</f>
        <v>4.9297831353738532E-2</v>
      </c>
      <c r="L881" s="270">
        <f>$J881*POWER(16.1/10,1.06)</f>
        <v>3.7010405273338765E-2</v>
      </c>
      <c r="N881" s="154"/>
      <c r="O881" s="154"/>
    </row>
    <row r="882" spans="1:15" s="160" customFormat="1" ht="13.5" customHeight="1" thickBot="1">
      <c r="A882" s="399">
        <v>38515</v>
      </c>
      <c r="B882" s="291" t="s">
        <v>307</v>
      </c>
      <c r="C882" s="369"/>
      <c r="D882" s="195"/>
      <c r="E882" s="157"/>
      <c r="F882" s="157"/>
      <c r="G882" s="157"/>
      <c r="H882" s="158"/>
      <c r="I882" s="159"/>
      <c r="J882" s="272"/>
      <c r="K882" s="272"/>
      <c r="L882" s="272"/>
      <c r="N882" s="158"/>
      <c r="O882" s="158"/>
    </row>
    <row r="883" spans="1:15" s="168" customFormat="1" ht="13.5" customHeight="1" thickTop="1">
      <c r="A883" s="400">
        <v>38516</v>
      </c>
      <c r="B883" s="292">
        <v>10.26</v>
      </c>
      <c r="C883" s="370">
        <v>2.8850694444444446E-2</v>
      </c>
      <c r="D883" s="196">
        <f t="shared" si="96"/>
        <v>2.8119585228503358E-3</v>
      </c>
      <c r="E883" s="165">
        <v>146</v>
      </c>
      <c r="F883" s="165">
        <v>155</v>
      </c>
      <c r="G883" s="165"/>
      <c r="H883" s="166"/>
      <c r="I883" s="167">
        <f>IF(D883&gt;0,(1/(D883*24)))</f>
        <v>14.817667589360934</v>
      </c>
      <c r="J883" s="273">
        <f>1/((182/(ConditieGetal!$B$2*(E883/(I883*ConditieGetal!$B$2))))*24)*10</f>
        <v>2.2557469469019178E-2</v>
      </c>
      <c r="K883" s="273">
        <f>$J883*POWER(21.1/10,1.06)</f>
        <v>4.9777121744365056E-2</v>
      </c>
      <c r="L883" s="273">
        <f>$J883*POWER(16.1/10,1.06)</f>
        <v>3.7370233101735914E-2</v>
      </c>
      <c r="N883" s="166"/>
      <c r="O883" s="166"/>
    </row>
    <row r="884" spans="1:15" s="172" customFormat="1" ht="13.5" customHeight="1">
      <c r="A884" s="401">
        <v>38517</v>
      </c>
      <c r="B884" s="238" t="s">
        <v>475</v>
      </c>
      <c r="C884" s="371"/>
      <c r="D884" s="197"/>
      <c r="E884" s="169"/>
      <c r="F884" s="169"/>
      <c r="G884" s="169"/>
      <c r="H884" s="170"/>
      <c r="I884" s="171"/>
      <c r="J884" s="274"/>
      <c r="K884" s="274"/>
      <c r="L884" s="274"/>
      <c r="N884" s="170"/>
      <c r="O884" s="170"/>
    </row>
    <row r="885" spans="1:15" s="172" customFormat="1" ht="13.5" customHeight="1">
      <c r="A885" s="401">
        <v>38518</v>
      </c>
      <c r="B885" s="238">
        <v>21.76</v>
      </c>
      <c r="C885" s="371">
        <v>6.4953703703703694E-2</v>
      </c>
      <c r="D885" s="197">
        <f t="shared" si="96"/>
        <v>2.9850047657952062E-3</v>
      </c>
      <c r="E885" s="169">
        <v>138</v>
      </c>
      <c r="F885" s="169">
        <v>151</v>
      </c>
      <c r="G885" s="169"/>
      <c r="H885" s="170"/>
      <c r="I885" s="204">
        <f>IF(D885&gt;0,(1/(D885*24)))</f>
        <v>13.958660014255171</v>
      </c>
      <c r="J885" s="275">
        <f>1/((182/(ConditieGetal!$B$2*(E885/(I885*ConditieGetal!$B$2))))*24)*10</f>
        <v>2.2633552619765848E-2</v>
      </c>
      <c r="K885" s="275">
        <f>$J885*POWER(21.1/10,1.06)</f>
        <v>4.9945012928374562E-2</v>
      </c>
      <c r="L885" s="275">
        <f>$J885*POWER(16.1/10,1.06)</f>
        <v>3.7496277606968317E-2</v>
      </c>
      <c r="N885" s="170"/>
      <c r="O885" s="170"/>
    </row>
    <row r="886" spans="1:15" s="172" customFormat="1" ht="13.5" customHeight="1">
      <c r="A886" s="401">
        <v>38519</v>
      </c>
      <c r="B886" s="238">
        <v>12.54</v>
      </c>
      <c r="C886" s="371">
        <v>3.5214120370370368E-2</v>
      </c>
      <c r="D886" s="197">
        <f t="shared" si="96"/>
        <v>2.8081435702049739E-3</v>
      </c>
      <c r="E886" s="169">
        <v>146</v>
      </c>
      <c r="F886" s="169">
        <v>159</v>
      </c>
      <c r="G886" s="169"/>
      <c r="H886" s="170"/>
      <c r="I886" s="204">
        <f>IF(D886&gt;0,(1/(D886*24)))</f>
        <v>14.837797863599015</v>
      </c>
      <c r="J886" s="275">
        <f>1/((182/(ConditieGetal!$B$2*(E886/(I886*ConditieGetal!$B$2))))*24)*10</f>
        <v>2.2526866002743194E-2</v>
      </c>
      <c r="K886" s="275">
        <f>$J886*POWER(21.1/10,1.06)</f>
        <v>4.9709589680597382E-2</v>
      </c>
      <c r="L886" s="275">
        <f>$J886*POWER(16.1/10,1.06)</f>
        <v>3.7319533324882602E-2</v>
      </c>
      <c r="N886" s="170"/>
      <c r="O886" s="170"/>
    </row>
    <row r="887" spans="1:15" s="172" customFormat="1" ht="13.5" customHeight="1">
      <c r="A887" s="401">
        <v>38520</v>
      </c>
      <c r="B887" s="238">
        <v>15.9</v>
      </c>
      <c r="C887" s="371">
        <v>3.76087962962963E-2</v>
      </c>
      <c r="D887" s="197">
        <f t="shared" si="96"/>
        <v>2.3653331003959934E-3</v>
      </c>
      <c r="E887" s="169">
        <v>171</v>
      </c>
      <c r="F887" s="169">
        <v>188</v>
      </c>
      <c r="G887" s="169"/>
      <c r="H887" s="170" t="s">
        <v>97</v>
      </c>
      <c r="I887" s="204">
        <f>IF(D887&gt;0,(1/(D887*24)))</f>
        <v>17.615559795654583</v>
      </c>
      <c r="J887" s="275">
        <f>1/((182/(ConditieGetal!$B$2*(E887/(I887*ConditieGetal!$B$2))))*24)*10</f>
        <v>2.222373407514917E-2</v>
      </c>
      <c r="K887" s="275">
        <f>$J887*POWER(21.1/10,1.06)</f>
        <v>4.9040674451201846E-2</v>
      </c>
      <c r="L887" s="275">
        <f>$J887*POWER(16.1/10,1.06)</f>
        <v>3.6817344424202703E-2</v>
      </c>
      <c r="N887" s="170"/>
      <c r="O887" s="170"/>
    </row>
    <row r="888" spans="1:15" s="172" customFormat="1" ht="13.5" customHeight="1">
      <c r="A888" s="401">
        <v>38521</v>
      </c>
      <c r="B888" s="238">
        <v>24.3</v>
      </c>
      <c r="C888" s="371">
        <v>7.0000000000000007E-2</v>
      </c>
      <c r="D888" s="197">
        <f t="shared" si="96"/>
        <v>2.8806584362139919E-3</v>
      </c>
      <c r="E888" s="169">
        <v>142</v>
      </c>
      <c r="F888" s="169">
        <v>155</v>
      </c>
      <c r="G888" s="169"/>
      <c r="H888" s="170"/>
      <c r="I888" s="204">
        <f>IF(D888&gt;0,(1/(D888*24)))</f>
        <v>14.464285714285714</v>
      </c>
      <c r="J888" s="275">
        <f>1/((182/(ConditieGetal!$B$2*(E888/(I888*ConditieGetal!$B$2))))*24)*10</f>
        <v>2.2475466919911362E-2</v>
      </c>
      <c r="K888" s="275">
        <f>$J888*POWER(21.1/10,1.06)</f>
        <v>4.959616834106359E-2</v>
      </c>
      <c r="L888" s="275">
        <f>$J888*POWER(16.1/10,1.06)</f>
        <v>3.723438211990019E-2</v>
      </c>
      <c r="N888" s="170"/>
      <c r="O888" s="170"/>
    </row>
    <row r="889" spans="1:15" s="176" customFormat="1" ht="13.5" customHeight="1" thickBot="1">
      <c r="A889" s="402">
        <v>38522</v>
      </c>
      <c r="B889" s="293" t="s">
        <v>307</v>
      </c>
      <c r="C889" s="372"/>
      <c r="D889" s="198"/>
      <c r="E889" s="173"/>
      <c r="F889" s="173"/>
      <c r="G889" s="173"/>
      <c r="H889" s="174"/>
      <c r="I889" s="175"/>
      <c r="J889" s="276"/>
      <c r="K889" s="276"/>
      <c r="L889" s="276"/>
      <c r="N889" s="174"/>
      <c r="O889" s="174"/>
    </row>
    <row r="890" spans="1:15" s="164" customFormat="1" ht="13.5" customHeight="1" thickTop="1">
      <c r="A890" s="397">
        <v>38523</v>
      </c>
      <c r="B890" s="289">
        <v>16.62</v>
      </c>
      <c r="C890" s="367">
        <v>4.5138888888888888E-2</v>
      </c>
      <c r="D890" s="193">
        <f t="shared" si="96"/>
        <v>2.7159379596202698E-3</v>
      </c>
      <c r="E890" s="161">
        <v>158</v>
      </c>
      <c r="F890" s="161">
        <v>168</v>
      </c>
      <c r="G890" s="161"/>
      <c r="H890" s="162"/>
      <c r="I890" s="205">
        <f>IF(D890&gt;0,(1/(D890*24)))</f>
        <v>15.341538461538464</v>
      </c>
      <c r="J890" s="277">
        <f>1/((182/(ConditieGetal!$B$2*(E890/(I890*ConditieGetal!$B$2))))*24)*10</f>
        <v>2.357792294615399E-2</v>
      </c>
      <c r="K890" s="277">
        <f>$J890*POWER(21.1/10,1.06)</f>
        <v>5.2028936250223673E-2</v>
      </c>
      <c r="L890" s="277">
        <f>$J890*POWER(16.1/10,1.06)</f>
        <v>3.9060785508883339E-2</v>
      </c>
      <c r="N890" s="162"/>
      <c r="O890" s="162"/>
    </row>
    <row r="891" spans="1:15" s="156" customFormat="1" ht="13.5" customHeight="1">
      <c r="A891" s="398">
        <v>38524</v>
      </c>
      <c r="B891" s="290">
        <v>15</v>
      </c>
      <c r="C891" s="368">
        <v>4.0442708333333334E-2</v>
      </c>
      <c r="D891" s="194">
        <f t="shared" si="96"/>
        <v>2.6961805555555554E-3</v>
      </c>
      <c r="E891" s="153">
        <v>153</v>
      </c>
      <c r="F891" s="153">
        <v>166</v>
      </c>
      <c r="G891" s="153"/>
      <c r="H891" s="154"/>
      <c r="I891" s="155">
        <f>IF(D891&gt;0,(1/(D891*24)))</f>
        <v>15.453960077269802</v>
      </c>
      <c r="J891" s="270">
        <f>1/((182/(ConditieGetal!$B$2*(E891/(I891*ConditieGetal!$B$2))))*24)*10</f>
        <v>2.2665693681318679E-2</v>
      </c>
      <c r="K891" s="270">
        <f>$J891*POWER(21.1/10,1.06)</f>
        <v>5.0015937973229695E-2</v>
      </c>
      <c r="L891" s="270">
        <f>$J891*POWER(16.1/10,1.06)</f>
        <v>3.7549524668391419E-2</v>
      </c>
      <c r="N891" s="154"/>
      <c r="O891" s="154"/>
    </row>
    <row r="892" spans="1:15" s="156" customFormat="1" ht="13.5" customHeight="1">
      <c r="A892" s="398">
        <v>38525</v>
      </c>
      <c r="B892" s="290">
        <v>12.54</v>
      </c>
      <c r="C892" s="368">
        <v>3.9055555555555559E-2</v>
      </c>
      <c r="D892" s="194">
        <f t="shared" si="96"/>
        <v>3.1144781144781149E-3</v>
      </c>
      <c r="E892" s="153">
        <v>139</v>
      </c>
      <c r="F892" s="153">
        <v>148</v>
      </c>
      <c r="G892" s="153"/>
      <c r="H892" s="154"/>
      <c r="I892" s="155">
        <f>IF(D892&gt;0,(1/(D892*24)))</f>
        <v>13.378378378378377</v>
      </c>
      <c r="J892" s="270">
        <f>1/((182/(ConditieGetal!$B$2*(E892/(I892*ConditieGetal!$B$2))))*24)*10</f>
        <v>2.3786398786398794E-2</v>
      </c>
      <c r="K892" s="270">
        <f>$J892*POWER(21.1/10,1.06)</f>
        <v>5.2488975763737226E-2</v>
      </c>
      <c r="L892" s="270">
        <f>$J892*POWER(16.1/10,1.06)</f>
        <v>3.9406160718488674E-2</v>
      </c>
      <c r="N892" s="154"/>
      <c r="O892" s="154"/>
    </row>
    <row r="893" spans="1:15" s="156" customFormat="1" ht="13.5" customHeight="1">
      <c r="A893" s="398">
        <v>38526</v>
      </c>
      <c r="B893" s="290">
        <v>10.5</v>
      </c>
      <c r="C893" s="368">
        <v>3.1886574074074074E-2</v>
      </c>
      <c r="D893" s="194">
        <f t="shared" si="96"/>
        <v>3.0368165784832452E-3</v>
      </c>
      <c r="E893" s="153">
        <v>142</v>
      </c>
      <c r="F893" s="153">
        <v>151</v>
      </c>
      <c r="G893" s="153"/>
      <c r="H893" s="154"/>
      <c r="I893" s="155">
        <f>IF(D893&gt;0,(1/(D893*24)))</f>
        <v>13.720508166969147</v>
      </c>
      <c r="J893" s="270">
        <f>1/((182/(ConditieGetal!$B$2*(E893/(I893*ConditieGetal!$B$2))))*24)*10</f>
        <v>2.3693843634319825E-2</v>
      </c>
      <c r="K893" s="270">
        <f>$J893*POWER(21.1/10,1.06)</f>
        <v>5.2284736140164614E-2</v>
      </c>
      <c r="L893" s="270">
        <f>$J893*POWER(16.1/10,1.06)</f>
        <v>3.9252827579206007E-2</v>
      </c>
      <c r="N893" s="154"/>
      <c r="O893" s="154"/>
    </row>
    <row r="894" spans="1:15" s="156" customFormat="1" ht="13.5" customHeight="1">
      <c r="A894" s="398">
        <v>38527</v>
      </c>
      <c r="B894" s="290" t="s">
        <v>307</v>
      </c>
      <c r="C894" s="368"/>
      <c r="D894" s="194"/>
      <c r="E894" s="153"/>
      <c r="F894" s="153"/>
      <c r="G894" s="153"/>
      <c r="H894" s="154"/>
      <c r="I894" s="155"/>
      <c r="J894" s="270"/>
      <c r="K894" s="270"/>
      <c r="L894" s="270"/>
      <c r="N894" s="154"/>
      <c r="O894" s="154"/>
    </row>
    <row r="895" spans="1:15" s="156" customFormat="1" ht="13.5" customHeight="1">
      <c r="A895" s="398">
        <v>38528</v>
      </c>
      <c r="B895" s="290">
        <v>21.2</v>
      </c>
      <c r="C895" s="368">
        <v>5.0543981481481481E-2</v>
      </c>
      <c r="D895" s="194">
        <f t="shared" si="96"/>
        <v>2.3841500698812022E-3</v>
      </c>
      <c r="E895" s="153">
        <v>173</v>
      </c>
      <c r="F895" s="153">
        <v>178</v>
      </c>
      <c r="G895" s="153"/>
      <c r="H895" s="154" t="s">
        <v>306</v>
      </c>
      <c r="I895" s="155">
        <f>IF(D895&gt;0,(1/(D895*24)))</f>
        <v>17.4765285092741</v>
      </c>
      <c r="J895" s="270">
        <f>1/((182/(ConditieGetal!$B$2*(E895/(I895*ConditieGetal!$B$2))))*24)*10</f>
        <v>2.2662525389530109E-2</v>
      </c>
      <c r="K895" s="270">
        <f>$J895*POWER(21.1/10,1.06)</f>
        <v>5.0008946566401105E-2</v>
      </c>
      <c r="L895" s="270">
        <f>$J895*POWER(16.1/10,1.06)</f>
        <v>3.7544275861434773E-2</v>
      </c>
      <c r="N895" s="154"/>
      <c r="O895" s="154"/>
    </row>
    <row r="896" spans="1:15" s="160" customFormat="1" ht="13.5" customHeight="1" thickBot="1">
      <c r="A896" s="399">
        <v>38529</v>
      </c>
      <c r="B896" s="291" t="s">
        <v>307</v>
      </c>
      <c r="C896" s="369"/>
      <c r="D896" s="195"/>
      <c r="E896" s="157"/>
      <c r="F896" s="157"/>
      <c r="G896" s="157"/>
      <c r="H896" s="158"/>
      <c r="I896" s="159"/>
      <c r="J896" s="272"/>
      <c r="K896" s="272"/>
      <c r="L896" s="272"/>
      <c r="N896" s="158"/>
      <c r="O896" s="158"/>
    </row>
    <row r="897" spans="1:15" s="168" customFormat="1" ht="13.5" customHeight="1" thickTop="1">
      <c r="A897" s="400">
        <v>38530</v>
      </c>
      <c r="B897" s="292" t="s">
        <v>307</v>
      </c>
      <c r="C897" s="370"/>
      <c r="D897" s="196"/>
      <c r="E897" s="165"/>
      <c r="F897" s="165"/>
      <c r="G897" s="165"/>
      <c r="H897" s="166"/>
      <c r="I897" s="167"/>
      <c r="J897" s="273"/>
      <c r="K897" s="273"/>
      <c r="L897" s="273"/>
      <c r="N897" s="166"/>
      <c r="O897" s="166"/>
    </row>
    <row r="898" spans="1:15" s="172" customFormat="1" ht="13.5" customHeight="1">
      <c r="A898" s="401">
        <v>38531</v>
      </c>
      <c r="B898" s="238">
        <f>2+1.5+1+0.5</f>
        <v>5</v>
      </c>
      <c r="C898" s="371"/>
      <c r="D898" s="197"/>
      <c r="E898" s="169"/>
      <c r="F898" s="169">
        <v>187</v>
      </c>
      <c r="G898" s="169"/>
      <c r="H898" s="170" t="s">
        <v>269</v>
      </c>
      <c r="I898" s="171"/>
      <c r="J898" s="274"/>
      <c r="K898" s="274"/>
      <c r="L898" s="274"/>
      <c r="N898" s="170"/>
      <c r="O898" s="170"/>
    </row>
    <row r="899" spans="1:15" s="172" customFormat="1" ht="13.5" customHeight="1">
      <c r="A899" s="401">
        <v>38532</v>
      </c>
      <c r="B899" s="238" t="s">
        <v>307</v>
      </c>
      <c r="C899" s="371"/>
      <c r="D899" s="197"/>
      <c r="E899" s="169"/>
      <c r="F899" s="169"/>
      <c r="G899" s="169"/>
      <c r="H899" s="170"/>
      <c r="I899" s="171"/>
      <c r="J899" s="274"/>
      <c r="K899" s="274"/>
      <c r="L899" s="274"/>
      <c r="N899" s="170"/>
      <c r="O899" s="170"/>
    </row>
    <row r="900" spans="1:15" s="172" customFormat="1" ht="13.5" customHeight="1">
      <c r="A900" s="401">
        <v>38533</v>
      </c>
      <c r="B900" s="238">
        <v>15.8</v>
      </c>
      <c r="C900" s="371">
        <v>4.2465277777777775E-2</v>
      </c>
      <c r="D900" s="197">
        <f t="shared" si="96"/>
        <v>2.6876758087201122E-3</v>
      </c>
      <c r="E900" s="169">
        <v>159</v>
      </c>
      <c r="F900" s="169">
        <v>184</v>
      </c>
      <c r="G900" s="169"/>
      <c r="H900" s="170"/>
      <c r="I900" s="204">
        <f>IF(D900&gt;0,(1/(D900*24)))</f>
        <v>15.502861815208506</v>
      </c>
      <c r="J900" s="275">
        <f>1/((182/(ConditieGetal!$B$2*(E900/(I900*ConditieGetal!$B$2))))*24)*10</f>
        <v>2.3480244702554828E-2</v>
      </c>
      <c r="K900" s="275">
        <f>$J900*POWER(21.1/10,1.06)</f>
        <v>5.1813391601915983E-2</v>
      </c>
      <c r="L900" s="275">
        <f>$J900*POWER(16.1/10,1.06)</f>
        <v>3.8898965108892007E-2</v>
      </c>
      <c r="N900" s="170"/>
      <c r="O900" s="170"/>
    </row>
    <row r="901" spans="1:15" s="172" customFormat="1" ht="13.5" customHeight="1">
      <c r="A901" s="401">
        <v>38534</v>
      </c>
      <c r="B901" s="238">
        <v>8.1999999999999993</v>
      </c>
      <c r="C901" s="371"/>
      <c r="D901" s="197"/>
      <c r="E901" s="169"/>
      <c r="F901" s="169"/>
      <c r="G901" s="169"/>
      <c r="H901" s="170" t="s">
        <v>501</v>
      </c>
      <c r="I901" s="171"/>
      <c r="J901" s="274"/>
      <c r="K901" s="274"/>
      <c r="L901" s="274"/>
      <c r="N901" s="170"/>
      <c r="O901" s="170"/>
    </row>
    <row r="902" spans="1:15" s="172" customFormat="1" ht="13.5" customHeight="1">
      <c r="A902" s="401">
        <v>38535</v>
      </c>
      <c r="B902" s="238">
        <v>21.76</v>
      </c>
      <c r="C902" s="371">
        <v>6.3888888888888884E-2</v>
      </c>
      <c r="D902" s="197">
        <f t="shared" ref="D902:D954" si="97">IF(B902&gt;0,C902/B902,"")</f>
        <v>2.936070261437908E-3</v>
      </c>
      <c r="E902" s="169">
        <v>143</v>
      </c>
      <c r="F902" s="169">
        <v>154</v>
      </c>
      <c r="G902" s="169"/>
      <c r="H902" s="170"/>
      <c r="I902" s="204">
        <f>IF(D902&gt;0,(1/(D902*24)))</f>
        <v>14.19130434782609</v>
      </c>
      <c r="J902" s="275">
        <f>1/((182/(ConditieGetal!$B$2*(E902/(I902*ConditieGetal!$B$2))))*24)*10</f>
        <v>2.3069123482726418E-2</v>
      </c>
      <c r="K902" s="275">
        <f>$J902*POWER(21.1/10,1.06)</f>
        <v>5.090617853711734E-2</v>
      </c>
      <c r="L902" s="275">
        <f>$J902*POWER(16.1/10,1.06)</f>
        <v>3.8217873826061795E-2</v>
      </c>
      <c r="N902" s="170"/>
      <c r="O902" s="170"/>
    </row>
    <row r="903" spans="1:15" s="176" customFormat="1" ht="13.5" customHeight="1" thickBot="1">
      <c r="A903" s="402">
        <v>38536</v>
      </c>
      <c r="B903" s="293">
        <v>16.62</v>
      </c>
      <c r="C903" s="372">
        <v>4.5462962962962962E-2</v>
      </c>
      <c r="D903" s="198">
        <f t="shared" si="97"/>
        <v>2.735437001381646E-3</v>
      </c>
      <c r="E903" s="173">
        <v>152</v>
      </c>
      <c r="F903" s="173">
        <v>161</v>
      </c>
      <c r="G903" s="173"/>
      <c r="H903" s="174"/>
      <c r="I903" s="175">
        <f>IF(D903&gt;0,(1/(D903*24)))</f>
        <v>15.232179226069247</v>
      </c>
      <c r="J903" s="276">
        <f>1/((182/(ConditieGetal!$B$2*(E903/(I903*ConditieGetal!$B$2))))*24)*10</f>
        <v>2.284540792362693E-2</v>
      </c>
      <c r="K903" s="276">
        <f>$J903*POWER(21.1/10,1.06)</f>
        <v>5.0412509837412432E-2</v>
      </c>
      <c r="L903" s="276">
        <f>$J903*POWER(16.1/10,1.06)</f>
        <v>3.7847251465095495E-2</v>
      </c>
      <c r="N903" s="174"/>
      <c r="O903" s="174"/>
    </row>
    <row r="904" spans="1:15" s="164" customFormat="1" ht="13.5" customHeight="1" thickTop="1">
      <c r="A904" s="397">
        <v>38537</v>
      </c>
      <c r="B904" s="289">
        <v>16.62</v>
      </c>
      <c r="C904" s="367">
        <v>4.5451388888888888E-2</v>
      </c>
      <c r="D904" s="193">
        <f t="shared" si="97"/>
        <v>2.7347406070330257E-3</v>
      </c>
      <c r="E904" s="161">
        <v>149</v>
      </c>
      <c r="F904" s="161">
        <v>158</v>
      </c>
      <c r="G904" s="161"/>
      <c r="H904" s="162"/>
      <c r="I904" s="205">
        <f>IF(D904&gt;0,(1/(D904*24)))</f>
        <v>15.236058059587473</v>
      </c>
      <c r="J904" s="277">
        <f>1/((182/(ConditieGetal!$B$2*(E904/(I904*ConditieGetal!$B$2))))*24)*10</f>
        <v>2.2388810464171467E-2</v>
      </c>
      <c r="K904" s="277">
        <f>$J904*POWER(21.1/10,1.06)</f>
        <v>4.9404945254040281E-2</v>
      </c>
      <c r="L904" s="277">
        <f>$J904*POWER(16.1/10,1.06)</f>
        <v>3.7090821160847678E-2</v>
      </c>
      <c r="N904" s="162"/>
      <c r="O904" s="162"/>
    </row>
    <row r="905" spans="1:15" s="156" customFormat="1" ht="13.5" customHeight="1">
      <c r="A905" s="398">
        <v>38538</v>
      </c>
      <c r="B905" s="290">
        <v>6</v>
      </c>
      <c r="C905" s="368"/>
      <c r="D905" s="194"/>
      <c r="E905" s="153"/>
      <c r="F905" s="153"/>
      <c r="G905" s="153"/>
      <c r="H905" s="154" t="s">
        <v>269</v>
      </c>
      <c r="I905" s="155"/>
      <c r="J905" s="270"/>
      <c r="K905" s="270"/>
      <c r="L905" s="270"/>
      <c r="N905" s="154"/>
      <c r="O905" s="154"/>
    </row>
    <row r="906" spans="1:15" s="156" customFormat="1" ht="13.5" customHeight="1">
      <c r="A906" s="398">
        <v>38539</v>
      </c>
      <c r="B906" s="290" t="s">
        <v>307</v>
      </c>
      <c r="C906" s="368"/>
      <c r="D906" s="194"/>
      <c r="E906" s="153"/>
      <c r="F906" s="153"/>
      <c r="G906" s="153"/>
      <c r="H906" s="154"/>
      <c r="I906" s="155"/>
      <c r="J906" s="270"/>
      <c r="K906" s="270"/>
      <c r="L906" s="270"/>
      <c r="N906" s="154"/>
      <c r="O906" s="154"/>
    </row>
    <row r="907" spans="1:15" s="156" customFormat="1" ht="13.5" customHeight="1">
      <c r="A907" s="398">
        <v>38540</v>
      </c>
      <c r="B907" s="290">
        <v>14.8</v>
      </c>
      <c r="C907" s="368">
        <v>4.1416666666666664E-2</v>
      </c>
      <c r="D907" s="194">
        <f t="shared" si="97"/>
        <v>2.798423423423423E-3</v>
      </c>
      <c r="E907" s="153">
        <v>149</v>
      </c>
      <c r="F907" s="153">
        <v>169</v>
      </c>
      <c r="G907" s="153"/>
      <c r="H907" s="154"/>
      <c r="I907" s="155">
        <f>IF(D907&gt;0,(1/(D907*24)))</f>
        <v>14.88933601609658</v>
      </c>
      <c r="J907" s="270">
        <f>1/((182/(ConditieGetal!$B$2*(E907/(I907*ConditieGetal!$B$2))))*24)*10</f>
        <v>2.2910169785169777E-2</v>
      </c>
      <c r="K907" s="270">
        <f>$J907*POWER(21.1/10,1.06)</f>
        <v>5.0555418556443944E-2</v>
      </c>
      <c r="L907" s="270">
        <f>$J907*POWER(16.1/10,1.06)</f>
        <v>3.7954540355158384E-2</v>
      </c>
      <c r="N907" s="154"/>
      <c r="O907" s="154"/>
    </row>
    <row r="908" spans="1:15" s="156" customFormat="1" ht="13.5" customHeight="1">
      <c r="A908" s="398">
        <v>38541</v>
      </c>
      <c r="B908" s="290">
        <v>16.62</v>
      </c>
      <c r="C908" s="368">
        <v>4.5081018518518513E-2</v>
      </c>
      <c r="D908" s="194">
        <f t="shared" si="97"/>
        <v>2.7124559878771667E-3</v>
      </c>
      <c r="E908" s="153">
        <v>148</v>
      </c>
      <c r="F908" s="153">
        <v>162</v>
      </c>
      <c r="G908" s="153"/>
      <c r="H908" s="154"/>
      <c r="I908" s="155">
        <f>IF(D908&gt;0,(1/(D908*24)))</f>
        <v>15.361232349165599</v>
      </c>
      <c r="J908" s="270">
        <f>1/((182/(ConditieGetal!$B$2*(E908/(I908*ConditieGetal!$B$2))))*24)*10</f>
        <v>2.2057334406913223E-2</v>
      </c>
      <c r="K908" s="270">
        <f>$J908*POWER(21.1/10,1.06)</f>
        <v>4.8673483594293958E-2</v>
      </c>
      <c r="L908" s="270">
        <f>$J908*POWER(16.1/10,1.06)</f>
        <v>3.6541675453506797E-2</v>
      </c>
      <c r="N908" s="154"/>
      <c r="O908" s="154"/>
    </row>
    <row r="909" spans="1:15" s="156" customFormat="1" ht="13.5" customHeight="1">
      <c r="A909" s="398">
        <v>38542</v>
      </c>
      <c r="B909" s="290">
        <v>17.5</v>
      </c>
      <c r="C909" s="368">
        <v>5.0254629629629628E-2</v>
      </c>
      <c r="D909" s="194">
        <v>2.8716931216931215E-3</v>
      </c>
      <c r="E909" s="153">
        <v>143.33714285714282</v>
      </c>
      <c r="F909" s="153">
        <v>165</v>
      </c>
      <c r="G909" s="153"/>
      <c r="H909" s="154" t="s">
        <v>503</v>
      </c>
      <c r="I909" s="155">
        <f>IF(D909&gt;0,(1/(D909*24)))</f>
        <v>14.509442653155229</v>
      </c>
      <c r="J909" s="270">
        <f>1/((182/(ConditieGetal!$B$2*(E909/(I909*ConditieGetal!$B$2))))*24)*10</f>
        <v>2.2616499298131948E-2</v>
      </c>
      <c r="K909" s="270">
        <f>$J909*POWER(21.1/10,1.06)</f>
        <v>4.9907381700799044E-2</v>
      </c>
      <c r="L909" s="270">
        <f>$J909*POWER(16.1/10,1.06)</f>
        <v>3.7468025918298495E-2</v>
      </c>
      <c r="N909" s="154"/>
      <c r="O909" s="154"/>
    </row>
    <row r="910" spans="1:15" s="160" customFormat="1" ht="13.5" customHeight="1" thickBot="1">
      <c r="A910" s="399">
        <v>38543</v>
      </c>
      <c r="B910" s="291">
        <v>16.260000000000002</v>
      </c>
      <c r="C910" s="369">
        <v>4.5648148148148153E-2</v>
      </c>
      <c r="D910" s="195">
        <f t="shared" si="97"/>
        <v>2.8073891850029613E-3</v>
      </c>
      <c r="E910" s="157">
        <v>147</v>
      </c>
      <c r="F910" s="157">
        <v>160</v>
      </c>
      <c r="G910" s="157"/>
      <c r="H910" s="158"/>
      <c r="I910" s="159">
        <f>IF(D910&gt;0,(1/(D910*24)))</f>
        <v>14.841784989858011</v>
      </c>
      <c r="J910" s="272">
        <f>1/((182/(ConditieGetal!$B$2*(E910/(I910*ConditieGetal!$B$2))))*24)*10</f>
        <v>2.2675066494254693E-2</v>
      </c>
      <c r="K910" s="272">
        <f>$J910*POWER(21.1/10,1.06)</f>
        <v>5.0036620774163723E-2</v>
      </c>
      <c r="L910" s="272">
        <f>$J910*POWER(16.1/10,1.06)</f>
        <v>3.7565052305687741E-2</v>
      </c>
      <c r="N910" s="158"/>
      <c r="O910" s="158"/>
    </row>
    <row r="911" spans="1:15" s="168" customFormat="1" ht="13.5" customHeight="1" thickTop="1">
      <c r="A911" s="400">
        <v>38544</v>
      </c>
      <c r="B911" s="292">
        <v>6</v>
      </c>
      <c r="C911" s="370">
        <v>1.6120370370370372E-2</v>
      </c>
      <c r="D911" s="196">
        <f t="shared" si="97"/>
        <v>2.6867283950617288E-3</v>
      </c>
      <c r="E911" s="165">
        <v>150</v>
      </c>
      <c r="F911" s="165">
        <v>163</v>
      </c>
      <c r="G911" s="165"/>
      <c r="H911" s="166"/>
      <c r="I911" s="167">
        <f>IF(D911&gt;0,(1/(D911*24)))</f>
        <v>15.508328546812175</v>
      </c>
      <c r="J911" s="273">
        <f>1/((182/(ConditieGetal!$B$2*(E911/(I911*ConditieGetal!$B$2))))*24)*10</f>
        <v>2.21433658933659E-2</v>
      </c>
      <c r="K911" s="273">
        <f>$J911*POWER(21.1/10,1.06)</f>
        <v>4.8863327573951565E-2</v>
      </c>
      <c r="L911" s="273">
        <f>$J911*POWER(16.1/10,1.06)</f>
        <v>3.6684201046071195E-2</v>
      </c>
      <c r="N911" s="166"/>
      <c r="O911" s="166"/>
    </row>
    <row r="912" spans="1:15" s="172" customFormat="1" ht="13.5" customHeight="1">
      <c r="A912" s="401">
        <v>38545</v>
      </c>
      <c r="B912" s="238">
        <f>0.5+1+1.5+2</f>
        <v>5</v>
      </c>
      <c r="C912" s="371"/>
      <c r="D912" s="197"/>
      <c r="E912" s="169"/>
      <c r="F912" s="169"/>
      <c r="G912" s="169"/>
      <c r="H912" s="170" t="s">
        <v>269</v>
      </c>
      <c r="I912" s="241"/>
      <c r="J912" s="274"/>
      <c r="K912" s="274"/>
      <c r="L912" s="274"/>
      <c r="N912" s="170"/>
      <c r="O912" s="170"/>
    </row>
    <row r="913" spans="1:15" s="172" customFormat="1" ht="13.5" customHeight="1">
      <c r="A913" s="401">
        <v>38546</v>
      </c>
      <c r="B913" s="238">
        <v>12</v>
      </c>
      <c r="C913" s="371">
        <v>2.7476851851851853E-2</v>
      </c>
      <c r="D913" s="197">
        <f t="shared" si="97"/>
        <v>2.2897376543209876E-3</v>
      </c>
      <c r="E913" s="169">
        <v>174</v>
      </c>
      <c r="F913" s="169">
        <v>181</v>
      </c>
      <c r="G913" s="169"/>
      <c r="H913" s="170" t="s">
        <v>477</v>
      </c>
      <c r="I913" s="204">
        <f>IF(D913&gt;0,(1/(D913*24)))</f>
        <v>18.19713563605729</v>
      </c>
      <c r="J913" s="275">
        <f>1/((182/(ConditieGetal!$B$2*(E913/(I913*ConditieGetal!$B$2))))*24)*10</f>
        <v>2.189089845339845E-2</v>
      </c>
      <c r="K913" s="275">
        <f>$J913*POWER(21.1/10,1.06)</f>
        <v>4.8306212667378917E-2</v>
      </c>
      <c r="L913" s="275">
        <f>$J913*POWER(16.1/10,1.06)</f>
        <v>3.6265946370158189E-2</v>
      </c>
      <c r="N913" s="170"/>
      <c r="O913" s="170"/>
    </row>
    <row r="914" spans="1:15" s="172" customFormat="1" ht="13.5" customHeight="1">
      <c r="A914" s="401">
        <v>38547</v>
      </c>
      <c r="B914" s="238">
        <v>10.568</v>
      </c>
      <c r="C914" s="371">
        <v>3.0347222222222223E-2</v>
      </c>
      <c r="D914" s="197">
        <f t="shared" si="97"/>
        <v>2.871614517621331E-3</v>
      </c>
      <c r="E914" s="169">
        <v>146</v>
      </c>
      <c r="F914" s="169">
        <v>163</v>
      </c>
      <c r="G914" s="169"/>
      <c r="H914" s="170"/>
      <c r="I914" s="204">
        <f>IF(D914&gt;0,(1/(D914*24)))</f>
        <v>14.509839816933637</v>
      </c>
      <c r="J914" s="275">
        <f>1/((182/(ConditieGetal!$B$2*(E914/(I914*ConditieGetal!$B$2))))*24)*10</f>
        <v>2.3036028547951337E-2</v>
      </c>
      <c r="K914" s="275">
        <f>$J914*POWER(21.1/10,1.06)</f>
        <v>5.083314859908801E-2</v>
      </c>
      <c r="L914" s="275">
        <f>$J914*POWER(16.1/10,1.06)</f>
        <v>3.816304651359529E-2</v>
      </c>
      <c r="N914" s="170"/>
      <c r="O914" s="170"/>
    </row>
    <row r="915" spans="1:15" s="172" customFormat="1" ht="13.5" customHeight="1">
      <c r="A915" s="401">
        <v>38548</v>
      </c>
      <c r="B915" s="238">
        <v>19.600000000000001</v>
      </c>
      <c r="C915" s="371">
        <v>5.3528935185185179E-2</v>
      </c>
      <c r="D915" s="197">
        <f t="shared" si="97"/>
        <v>2.7310681216931214E-3</v>
      </c>
      <c r="E915" s="169">
        <v>153</v>
      </c>
      <c r="F915" s="169">
        <v>162</v>
      </c>
      <c r="G915" s="169"/>
      <c r="H915" s="170"/>
      <c r="I915" s="204">
        <f>IF(D915&gt;0,(1/(D915*24)))</f>
        <v>15.256546087482972</v>
      </c>
      <c r="J915" s="275">
        <f>1/((182/(ConditieGetal!$B$2*(E915/(I915*ConditieGetal!$B$2))))*24)*10</f>
        <v>2.2958979264782839E-2</v>
      </c>
      <c r="K915" s="275">
        <f>$J915*POWER(21.1/10,1.06)</f>
        <v>5.0663125469771052E-2</v>
      </c>
      <c r="L915" s="275">
        <f>$J915*POWER(16.1/10,1.06)</f>
        <v>3.8035401447898402E-2</v>
      </c>
      <c r="N915" s="170"/>
      <c r="O915" s="170"/>
    </row>
    <row r="916" spans="1:15" s="172" customFormat="1" ht="13.5" customHeight="1">
      <c r="A916" s="401">
        <v>38549</v>
      </c>
      <c r="B916" s="238">
        <v>22.1</v>
      </c>
      <c r="C916" s="371">
        <v>6.37488425925926E-2</v>
      </c>
      <c r="D916" s="197">
        <f t="shared" si="97"/>
        <v>2.8845630132394839E-3</v>
      </c>
      <c r="E916" s="169">
        <v>145</v>
      </c>
      <c r="F916" s="169">
        <v>158</v>
      </c>
      <c r="G916" s="169"/>
      <c r="H916" s="170"/>
      <c r="I916" s="204">
        <f>IF(D916&gt;0,(1/(D916*24)))</f>
        <v>14.444706694021315</v>
      </c>
      <c r="J916" s="275">
        <f>1/((182/(ConditieGetal!$B$2*(E916/(I916*ConditieGetal!$B$2))))*24)*10</f>
        <v>2.2981408621962924E-2</v>
      </c>
      <c r="K916" s="275">
        <f>$J916*POWER(21.1/10,1.06)</f>
        <v>5.071261988866118E-2</v>
      </c>
      <c r="L916" s="275">
        <f>$J916*POWER(16.1/10,1.06)</f>
        <v>3.8072559441497511E-2</v>
      </c>
      <c r="N916" s="170"/>
      <c r="O916" s="170"/>
    </row>
    <row r="917" spans="1:15" s="176" customFormat="1" ht="13.5" customHeight="1" thickBot="1">
      <c r="A917" s="402">
        <v>38550</v>
      </c>
      <c r="B917" s="293" t="s">
        <v>307</v>
      </c>
      <c r="C917" s="372"/>
      <c r="D917" s="198"/>
      <c r="E917" s="173"/>
      <c r="F917" s="173"/>
      <c r="G917" s="173"/>
      <c r="H917" s="174"/>
      <c r="I917" s="175"/>
      <c r="J917" s="276"/>
      <c r="K917" s="276"/>
      <c r="L917" s="276"/>
      <c r="N917" s="174"/>
      <c r="O917" s="174"/>
    </row>
    <row r="918" spans="1:15" s="164" customFormat="1" ht="13.5" customHeight="1" thickTop="1">
      <c r="A918" s="397">
        <v>38551</v>
      </c>
      <c r="B918" s="289" t="s">
        <v>307</v>
      </c>
      <c r="C918" s="367"/>
      <c r="D918" s="193"/>
      <c r="E918" s="161"/>
      <c r="F918" s="161"/>
      <c r="G918" s="161"/>
      <c r="H918" s="162"/>
      <c r="I918" s="163"/>
      <c r="J918" s="271"/>
      <c r="K918" s="271"/>
      <c r="L918" s="271"/>
      <c r="N918" s="162"/>
      <c r="O918" s="162"/>
    </row>
    <row r="919" spans="1:15" s="156" customFormat="1" ht="13.5" customHeight="1">
      <c r="A919" s="398">
        <v>38552</v>
      </c>
      <c r="B919" s="290">
        <v>10.4</v>
      </c>
      <c r="C919" s="368"/>
      <c r="D919" s="194"/>
      <c r="E919" s="153"/>
      <c r="F919" s="153"/>
      <c r="G919" s="153"/>
      <c r="H919" s="154" t="s">
        <v>269</v>
      </c>
      <c r="I919" s="155"/>
      <c r="J919" s="270"/>
      <c r="K919" s="270"/>
      <c r="L919" s="270"/>
      <c r="N919" s="154"/>
      <c r="O919" s="154"/>
    </row>
    <row r="920" spans="1:15" s="156" customFormat="1" ht="13.5" customHeight="1">
      <c r="A920" s="398">
        <v>38553</v>
      </c>
      <c r="B920" s="290">
        <v>17.3</v>
      </c>
      <c r="C920" s="368">
        <v>4.6844907407407405E-2</v>
      </c>
      <c r="D920" s="194">
        <f t="shared" si="97"/>
        <v>2.7077981160351099E-3</v>
      </c>
      <c r="E920" s="153">
        <v>149</v>
      </c>
      <c r="F920" s="153">
        <v>168</v>
      </c>
      <c r="G920" s="153"/>
      <c r="H920" s="154"/>
      <c r="I920" s="155">
        <f>IF(D920&gt;0,(1/(D920*24)))</f>
        <v>15.387656273163019</v>
      </c>
      <c r="J920" s="270">
        <f>1/((182/(ConditieGetal!$B$2*(E920/(I920*ConditieGetal!$B$2))))*24)*10</f>
        <v>2.2168237323584139E-2</v>
      </c>
      <c r="K920" s="270">
        <f>$J920*POWER(21.1/10,1.06)</f>
        <v>4.8918210867116611E-2</v>
      </c>
      <c r="L920" s="270">
        <f>$J920*POWER(16.1/10,1.06)</f>
        <v>3.6725404743414361E-2</v>
      </c>
      <c r="N920" s="154"/>
      <c r="O920" s="154"/>
    </row>
    <row r="921" spans="1:15" s="156" customFormat="1" ht="13.5" customHeight="1">
      <c r="A921" s="398">
        <v>38554</v>
      </c>
      <c r="B921" s="290">
        <v>17.5</v>
      </c>
      <c r="C921" s="368">
        <v>4.7100694444444445E-2</v>
      </c>
      <c r="D921" s="194">
        <f t="shared" si="97"/>
        <v>2.6914682539682538E-3</v>
      </c>
      <c r="E921" s="153">
        <v>150</v>
      </c>
      <c r="F921" s="153">
        <v>168</v>
      </c>
      <c r="G921" s="153"/>
      <c r="H921" s="154"/>
      <c r="I921" s="155">
        <f>IF(D921&gt;0,(1/(D921*24)))</f>
        <v>15.481017323995577</v>
      </c>
      <c r="J921" s="270">
        <f>1/((182/(ConditieGetal!$B$2*(E921/(I921*ConditieGetal!$B$2))))*24)*10</f>
        <v>2.2182430664573524E-2</v>
      </c>
      <c r="K921" s="270">
        <f>$J921*POWER(21.1/10,1.06)</f>
        <v>4.8949531031967468E-2</v>
      </c>
      <c r="L921" s="270">
        <f>$J921*POWER(16.1/10,1.06)</f>
        <v>3.674891839426931E-2</v>
      </c>
      <c r="N921" s="154"/>
      <c r="O921" s="154"/>
    </row>
    <row r="922" spans="1:15" s="156" customFormat="1" ht="13.5" customHeight="1">
      <c r="A922" s="398">
        <v>38555</v>
      </c>
      <c r="B922" s="290">
        <v>22.4</v>
      </c>
      <c r="C922" s="368">
        <v>5.8391203703703702E-2</v>
      </c>
      <c r="D922" s="194">
        <f t="shared" si="97"/>
        <v>2.6067501653439153E-3</v>
      </c>
      <c r="E922" s="153">
        <v>152</v>
      </c>
      <c r="F922" s="153">
        <v>172</v>
      </c>
      <c r="G922" s="153"/>
      <c r="H922" s="154"/>
      <c r="I922" s="155">
        <f>IF(D922&gt;0,(1/(D922*24)))</f>
        <v>15.98414271555996</v>
      </c>
      <c r="J922" s="270">
        <f>1/((182/(ConditieGetal!$B$2*(E922/(I922*ConditieGetal!$B$2))))*24)*10</f>
        <v>2.1770660721553581E-2</v>
      </c>
      <c r="K922" s="270">
        <f>$J922*POWER(21.1/10,1.06)</f>
        <v>4.8040886442532273E-2</v>
      </c>
      <c r="L922" s="270">
        <f>$J922*POWER(16.1/10,1.06)</f>
        <v>3.6066752392622817E-2</v>
      </c>
      <c r="N922" s="154"/>
      <c r="O922" s="154"/>
    </row>
    <row r="923" spans="1:15" s="156" customFormat="1" ht="13.5" customHeight="1">
      <c r="A923" s="398">
        <v>38556</v>
      </c>
      <c r="B923" s="290" t="s">
        <v>307</v>
      </c>
      <c r="C923" s="368"/>
      <c r="D923" s="194"/>
      <c r="E923" s="153"/>
      <c r="F923" s="153"/>
      <c r="G923" s="153"/>
      <c r="H923" s="154"/>
      <c r="I923" s="155"/>
      <c r="J923" s="270"/>
      <c r="K923" s="270"/>
      <c r="L923" s="270"/>
      <c r="N923" s="154"/>
      <c r="O923" s="154"/>
    </row>
    <row r="924" spans="1:15" s="160" customFormat="1" ht="13.5" customHeight="1" thickBot="1">
      <c r="A924" s="399">
        <v>38557</v>
      </c>
      <c r="B924" s="291">
        <v>21.7</v>
      </c>
      <c r="C924" s="369">
        <v>5.9717592592592586E-2</v>
      </c>
      <c r="D924" s="195">
        <v>2.7519627922853724E-3</v>
      </c>
      <c r="E924" s="240">
        <v>151.46082949308752</v>
      </c>
      <c r="F924" s="157">
        <v>182</v>
      </c>
      <c r="G924" s="157"/>
      <c r="H924" s="158"/>
      <c r="I924" s="159">
        <f t="shared" ref="I924:I929" si="98">IF(D924&gt;0,(1/(D924*24)))</f>
        <v>15.140708582060629</v>
      </c>
      <c r="J924" s="272">
        <f>1/((182/(ConditieGetal!$B$2*(E924/(I924*ConditieGetal!$B$2))))*24)*10</f>
        <v>2.2901899299651415E-2</v>
      </c>
      <c r="K924" s="272">
        <f t="shared" ref="K924:K932" si="99">$J924*POWER(21.1/10,1.06)</f>
        <v>5.0537168239621046E-2</v>
      </c>
      <c r="L924" s="272">
        <f t="shared" ref="L924:L932" si="100">$J924*POWER(16.1/10,1.06)</f>
        <v>3.7940838908189334E-2</v>
      </c>
      <c r="N924" s="158"/>
      <c r="O924" s="158"/>
    </row>
    <row r="925" spans="1:15" s="168" customFormat="1" ht="13.5" customHeight="1" thickTop="1">
      <c r="A925" s="400">
        <v>38558</v>
      </c>
      <c r="B925" s="292">
        <v>10.8</v>
      </c>
      <c r="C925" s="370">
        <v>2.9280092592592594E-2</v>
      </c>
      <c r="D925" s="196">
        <f t="shared" si="97"/>
        <v>2.7111196844993141E-3</v>
      </c>
      <c r="E925" s="165">
        <v>150</v>
      </c>
      <c r="F925" s="165">
        <v>158</v>
      </c>
      <c r="G925" s="165"/>
      <c r="H925" s="166"/>
      <c r="I925" s="167">
        <f t="shared" si="98"/>
        <v>15.368803858012493</v>
      </c>
      <c r="J925" s="273">
        <f>1/((182/(ConditieGetal!$B$2*(E925/(I925*ConditieGetal!$B$2))))*24)*10</f>
        <v>2.2344393004115226E-2</v>
      </c>
      <c r="K925" s="273">
        <f t="shared" si="99"/>
        <v>4.9306930123405542E-2</v>
      </c>
      <c r="L925" s="273">
        <f t="shared" si="100"/>
        <v>3.701723618544215E-2</v>
      </c>
      <c r="N925" s="166"/>
      <c r="O925" s="166"/>
    </row>
    <row r="926" spans="1:15" s="172" customFormat="1" ht="13.5" customHeight="1">
      <c r="A926" s="401">
        <v>38559</v>
      </c>
      <c r="B926" s="238">
        <v>10.5</v>
      </c>
      <c r="C926" s="371">
        <v>3.0260416666666668E-2</v>
      </c>
      <c r="D926" s="197">
        <f t="shared" si="97"/>
        <v>2.8819444444444448E-3</v>
      </c>
      <c r="E926" s="169">
        <v>146</v>
      </c>
      <c r="F926" s="169">
        <v>160</v>
      </c>
      <c r="G926" s="169"/>
      <c r="H926" s="170"/>
      <c r="I926" s="171">
        <f t="shared" si="98"/>
        <v>14.457831325301202</v>
      </c>
      <c r="J926" s="274">
        <f>1/((182/(ConditieGetal!$B$2*(E926/(I926*ConditieGetal!$B$2))))*24)*10</f>
        <v>2.3118894993894995E-2</v>
      </c>
      <c r="K926" s="274">
        <f t="shared" si="99"/>
        <v>5.1016008346451314E-2</v>
      </c>
      <c r="L926" s="274">
        <f t="shared" si="100"/>
        <v>3.8300328685493164E-2</v>
      </c>
      <c r="N926" s="170"/>
      <c r="O926" s="170"/>
    </row>
    <row r="927" spans="1:15" s="172" customFormat="1" ht="13.5" customHeight="1">
      <c r="A927" s="401">
        <v>38560</v>
      </c>
      <c r="B927" s="238">
        <v>15</v>
      </c>
      <c r="C927" s="371">
        <v>3.8856481481481485E-2</v>
      </c>
      <c r="D927" s="197">
        <f t="shared" si="97"/>
        <v>2.5904320987654322E-3</v>
      </c>
      <c r="E927" s="169">
        <v>157</v>
      </c>
      <c r="F927" s="169">
        <v>173</v>
      </c>
      <c r="G927" s="169"/>
      <c r="H927" s="170"/>
      <c r="I927" s="171">
        <f t="shared" si="98"/>
        <v>16.084832598594065</v>
      </c>
      <c r="J927" s="274">
        <f>1/((182/(ConditieGetal!$B$2*(E927/(I927*ConditieGetal!$B$2))))*24)*10</f>
        <v>2.2346035137701805E-2</v>
      </c>
      <c r="K927" s="274">
        <f t="shared" si="99"/>
        <v>4.9310553787113562E-2</v>
      </c>
      <c r="L927" s="274">
        <f t="shared" si="100"/>
        <v>3.7019956655262531E-2</v>
      </c>
      <c r="N927" s="170"/>
      <c r="O927" s="170"/>
    </row>
    <row r="928" spans="1:15" s="172" customFormat="1" ht="13.5" customHeight="1">
      <c r="A928" s="401">
        <v>38561</v>
      </c>
      <c r="B928" s="238">
        <v>10.5</v>
      </c>
      <c r="C928" s="371">
        <v>2.8671296296296295E-2</v>
      </c>
      <c r="D928" s="197">
        <f t="shared" si="97"/>
        <v>2.7305996472663137E-3</v>
      </c>
      <c r="E928" s="239">
        <v>153</v>
      </c>
      <c r="F928" s="169">
        <v>161</v>
      </c>
      <c r="G928" s="169"/>
      <c r="H928" s="170"/>
      <c r="I928" s="171">
        <f t="shared" si="98"/>
        <v>15.259163571774586</v>
      </c>
      <c r="J928" s="274">
        <f>1/((182/(ConditieGetal!$B$2*(E928/(I928*ConditieGetal!$B$2))))*24)*10</f>
        <v>2.2955040990755276E-2</v>
      </c>
      <c r="K928" s="274">
        <f t="shared" si="99"/>
        <v>5.0654434958364088E-2</v>
      </c>
      <c r="L928" s="274">
        <f t="shared" si="100"/>
        <v>3.8028877036167266E-2</v>
      </c>
      <c r="N928" s="170"/>
      <c r="O928" s="170"/>
    </row>
    <row r="929" spans="1:15" s="172" customFormat="1" ht="13.5" customHeight="1">
      <c r="A929" s="401">
        <v>38562</v>
      </c>
      <c r="B929" s="238">
        <v>21.1</v>
      </c>
      <c r="C929" s="371">
        <v>6.1774305555555555E-2</v>
      </c>
      <c r="D929" s="197">
        <f t="shared" si="97"/>
        <v>2.9276922064244335E-3</v>
      </c>
      <c r="E929" s="169">
        <v>144</v>
      </c>
      <c r="F929" s="169">
        <v>156</v>
      </c>
      <c r="G929" s="169"/>
      <c r="H929" s="170"/>
      <c r="I929" s="171">
        <f t="shared" si="98"/>
        <v>14.231915013208928</v>
      </c>
      <c r="J929" s="274">
        <f>1/((182/(ConditieGetal!$B$2*(E929/(I929*ConditieGetal!$B$2))))*24)*10</f>
        <v>2.3164158116764744E-2</v>
      </c>
      <c r="K929" s="274">
        <f t="shared" si="99"/>
        <v>5.1115889584491425E-2</v>
      </c>
      <c r="L929" s="274">
        <f t="shared" si="100"/>
        <v>3.8375314643243355E-2</v>
      </c>
      <c r="N929" s="170"/>
      <c r="O929" s="170"/>
    </row>
    <row r="930" spans="1:15" s="172" customFormat="1" ht="13.5" customHeight="1">
      <c r="A930" s="401">
        <v>38563</v>
      </c>
      <c r="B930" s="294" t="s">
        <v>307</v>
      </c>
      <c r="C930" s="376"/>
      <c r="E930" s="170"/>
      <c r="F930" s="170"/>
      <c r="G930" s="170"/>
      <c r="H930" s="170"/>
      <c r="I930" s="171"/>
      <c r="J930" s="274"/>
      <c r="K930" s="274"/>
      <c r="L930" s="274"/>
      <c r="N930" s="170"/>
      <c r="O930" s="170"/>
    </row>
    <row r="931" spans="1:15" s="176" customFormat="1" ht="13.5" customHeight="1" thickBot="1">
      <c r="A931" s="402">
        <v>38564</v>
      </c>
      <c r="B931" s="238">
        <v>19.3</v>
      </c>
      <c r="C931" s="371">
        <v>5.3587962962962962E-2</v>
      </c>
      <c r="D931" s="197">
        <v>2.776578391863366E-3</v>
      </c>
      <c r="E931" s="242">
        <v>148.15544041450775</v>
      </c>
      <c r="F931" s="169">
        <v>159</v>
      </c>
      <c r="G931" s="407"/>
      <c r="H931" s="174"/>
      <c r="I931" s="175">
        <f>IF(D931&gt;0,(1/(D931*24)))</f>
        <v>15.006479481641469</v>
      </c>
      <c r="J931" s="276">
        <f>1/((182/(ConditieGetal!$B$2*(E931/(I931*ConditieGetal!$B$2))))*24)*10</f>
        <v>2.2602483213841909E-2</v>
      </c>
      <c r="K931" s="276">
        <f t="shared" si="99"/>
        <v>4.9876452684800919E-2</v>
      </c>
      <c r="L931" s="276">
        <f t="shared" si="100"/>
        <v>3.7444805922907984E-2</v>
      </c>
      <c r="N931" s="174"/>
      <c r="O931" s="174"/>
    </row>
    <row r="932" spans="1:15" s="164" customFormat="1" ht="13.5" customHeight="1" thickTop="1">
      <c r="A932" s="397">
        <v>38565</v>
      </c>
      <c r="B932" s="289">
        <v>22.3</v>
      </c>
      <c r="C932" s="367">
        <v>6.4081018518518523E-2</v>
      </c>
      <c r="D932" s="193">
        <v>2.873588274373028E-3</v>
      </c>
      <c r="E932" s="161">
        <v>144.7847533632287</v>
      </c>
      <c r="F932" s="161">
        <v>155</v>
      </c>
      <c r="G932" s="161"/>
      <c r="H932" s="162" t="s">
        <v>502</v>
      </c>
      <c r="I932" s="163">
        <f>IF(D932&gt;0,(1/(D932*24)))</f>
        <v>14.499873568616115</v>
      </c>
      <c r="J932" s="271">
        <f>1/((182/(ConditieGetal!$B$2*(E932/(I932*ConditieGetal!$B$2))))*24)*10</f>
        <v>2.2859987339151917E-2</v>
      </c>
      <c r="K932" s="271">
        <f t="shared" si="99"/>
        <v>5.0444681945305367E-2</v>
      </c>
      <c r="L932" s="271">
        <f t="shared" si="100"/>
        <v>3.7871404713198262E-2</v>
      </c>
      <c r="N932" s="162"/>
      <c r="O932" s="162"/>
    </row>
    <row r="933" spans="1:15" s="156" customFormat="1" ht="13.5" customHeight="1">
      <c r="A933" s="398">
        <v>38566</v>
      </c>
      <c r="B933" s="290">
        <v>10</v>
      </c>
      <c r="C933" s="368"/>
      <c r="D933" s="194"/>
      <c r="E933" s="153"/>
      <c r="F933" s="153"/>
      <c r="G933" s="153"/>
      <c r="H933" s="154" t="s">
        <v>269</v>
      </c>
      <c r="I933" s="155"/>
      <c r="J933" s="270"/>
      <c r="K933" s="270"/>
      <c r="L933" s="270"/>
      <c r="N933" s="154"/>
      <c r="O933" s="154"/>
    </row>
    <row r="934" spans="1:15" s="156" customFormat="1" ht="13.5" customHeight="1">
      <c r="A934" s="398">
        <v>38567</v>
      </c>
      <c r="B934" s="290" t="s">
        <v>307</v>
      </c>
      <c r="C934" s="368"/>
      <c r="D934" s="194"/>
      <c r="E934" s="153"/>
      <c r="F934" s="153"/>
      <c r="G934" s="153"/>
      <c r="H934" s="154"/>
      <c r="I934" s="155"/>
      <c r="J934" s="270"/>
      <c r="K934" s="270"/>
      <c r="L934" s="270"/>
      <c r="N934" s="154"/>
      <c r="O934" s="154"/>
    </row>
    <row r="935" spans="1:15" s="156" customFormat="1" ht="13.5" customHeight="1">
      <c r="A935" s="398">
        <v>38568</v>
      </c>
      <c r="B935" s="290">
        <v>10.3</v>
      </c>
      <c r="C935" s="368">
        <v>2.8502314814814817E-2</v>
      </c>
      <c r="D935" s="194">
        <f t="shared" si="97"/>
        <v>2.7672150305645452E-3</v>
      </c>
      <c r="E935" s="153">
        <v>149</v>
      </c>
      <c r="F935" s="153">
        <v>157</v>
      </c>
      <c r="G935" s="153"/>
      <c r="H935" s="154"/>
      <c r="I935" s="155"/>
      <c r="J935" s="270"/>
      <c r="K935" s="270"/>
      <c r="L935" s="270"/>
      <c r="N935" s="154"/>
      <c r="O935" s="154"/>
    </row>
    <row r="936" spans="1:15" s="156" customFormat="1" ht="13.5" customHeight="1">
      <c r="A936" s="398">
        <v>38569</v>
      </c>
      <c r="B936" s="290">
        <v>21</v>
      </c>
      <c r="C936" s="368">
        <v>6.0042824074074075E-2</v>
      </c>
      <c r="D936" s="194">
        <v>2.8591820987654321E-3</v>
      </c>
      <c r="E936" s="243">
        <v>142.4238095238095</v>
      </c>
      <c r="F936" s="153">
        <v>164</v>
      </c>
      <c r="G936" s="153"/>
      <c r="H936" s="154"/>
      <c r="I936" s="155">
        <f>IF(D936&gt;0,(1/(D936*24)))</f>
        <v>14.572932127917959</v>
      </c>
      <c r="J936" s="270">
        <f>1/((182/(ConditieGetal!$B$2*(E936/(I936*ConditieGetal!$B$2))))*24)*10</f>
        <v>2.2374483880684273E-2</v>
      </c>
      <c r="K936" s="270">
        <f>$J936*POWER(21.1/10,1.06)</f>
        <v>4.9373331065604723E-2</v>
      </c>
      <c r="L936" s="270">
        <f>$J936*POWER(16.1/10,1.06)</f>
        <v>3.7067086771438294E-2</v>
      </c>
      <c r="N936" s="154"/>
      <c r="O936" s="154"/>
    </row>
    <row r="937" spans="1:15" s="156" customFormat="1" ht="13.5" customHeight="1">
      <c r="A937" s="398">
        <v>38570</v>
      </c>
      <c r="B937" s="290">
        <v>21.3</v>
      </c>
      <c r="C937" s="368">
        <v>6.0457175925925921E-2</v>
      </c>
      <c r="D937" s="194">
        <f t="shared" si="97"/>
        <v>2.8383650669448787E-3</v>
      </c>
      <c r="E937" s="153">
        <v>146</v>
      </c>
      <c r="F937" s="153">
        <v>154</v>
      </c>
      <c r="G937" s="153"/>
      <c r="H937" s="154"/>
      <c r="I937" s="155">
        <f>IF(D937&gt;0,(1/(D937*24)))</f>
        <v>14.679812386331006</v>
      </c>
      <c r="J937" s="270">
        <f>1/((182/(ConditieGetal!$B$2*(E937/(I937*ConditieGetal!$B$2))))*24)*10</f>
        <v>2.2769302185381996E-2</v>
      </c>
      <c r="K937" s="270">
        <f>$J937*POWER(21.1/10,1.06)</f>
        <v>5.0244568810017237E-2</v>
      </c>
      <c r="L937" s="270">
        <f>$J937*POWER(16.1/10,1.06)</f>
        <v>3.7721169539882256E-2</v>
      </c>
      <c r="N937" s="154"/>
      <c r="O937" s="154"/>
    </row>
    <row r="938" spans="1:15" s="160" customFormat="1" ht="13.5" customHeight="1" thickBot="1">
      <c r="A938" s="399">
        <v>38571</v>
      </c>
      <c r="B938" s="291" t="s">
        <v>307</v>
      </c>
      <c r="C938" s="369"/>
      <c r="D938" s="195"/>
      <c r="E938" s="157"/>
      <c r="F938" s="157"/>
      <c r="G938" s="157"/>
      <c r="H938" s="158"/>
      <c r="I938" s="159"/>
      <c r="J938" s="272"/>
      <c r="K938" s="272"/>
      <c r="L938" s="272"/>
      <c r="N938" s="158"/>
      <c r="O938" s="158"/>
    </row>
    <row r="939" spans="1:15" s="168" customFormat="1" ht="13.5" customHeight="1" thickTop="1">
      <c r="A939" s="400">
        <v>38572</v>
      </c>
      <c r="B939" s="292" t="s">
        <v>307</v>
      </c>
      <c r="C939" s="370"/>
      <c r="D939" s="196"/>
      <c r="E939" s="165"/>
      <c r="F939" s="165"/>
      <c r="G939" s="165"/>
      <c r="H939" s="166"/>
      <c r="I939" s="167"/>
      <c r="J939" s="273"/>
      <c r="K939" s="273"/>
      <c r="L939" s="273"/>
      <c r="N939" s="166"/>
      <c r="O939" s="166"/>
    </row>
    <row r="940" spans="1:15" s="172" customFormat="1" ht="13.5" customHeight="1">
      <c r="A940" s="401">
        <v>38573</v>
      </c>
      <c r="B940" s="238">
        <v>14.2</v>
      </c>
      <c r="C940" s="371">
        <v>3.9751157407407409E-2</v>
      </c>
      <c r="D940" s="197">
        <f t="shared" si="97"/>
        <v>2.7993772822117896E-3</v>
      </c>
      <c r="E940" s="169">
        <v>147</v>
      </c>
      <c r="F940" s="169">
        <v>157</v>
      </c>
      <c r="G940" s="169"/>
      <c r="H940" s="170"/>
      <c r="I940" s="171">
        <f>IF(D940&gt;0,(1/(D940*24)))</f>
        <v>14.884262629203667</v>
      </c>
      <c r="J940" s="274">
        <f>1/((182/(ConditieGetal!$B$2*(E940/(I940*ConditieGetal!$B$2))))*24)*10</f>
        <v>2.2610354971710607E-2</v>
      </c>
      <c r="K940" s="274">
        <f>$J940*POWER(21.1/10,1.06)</f>
        <v>4.9893823137205189E-2</v>
      </c>
      <c r="L940" s="274">
        <f>$J940*POWER(16.1/10,1.06)</f>
        <v>3.7457846810622697E-2</v>
      </c>
      <c r="N940" s="170"/>
      <c r="O940" s="170"/>
    </row>
    <row r="941" spans="1:15" s="172" customFormat="1" ht="13.5" customHeight="1">
      <c r="A941" s="401">
        <v>38574</v>
      </c>
      <c r="B941" s="238">
        <v>20.8</v>
      </c>
      <c r="C941" s="371">
        <v>6.0927083333333333E-2</v>
      </c>
      <c r="D941" s="197">
        <f t="shared" si="97"/>
        <v>2.9291866987179488E-3</v>
      </c>
      <c r="E941" s="169">
        <v>142</v>
      </c>
      <c r="F941" s="169">
        <v>152</v>
      </c>
      <c r="G941" s="169"/>
      <c r="H941" s="170"/>
      <c r="I941" s="171">
        <f>IF(D941&gt;0,(1/(D941*24)))</f>
        <v>14.22465378697213</v>
      </c>
      <c r="J941" s="274">
        <f>1/((182/(ConditieGetal!$B$2*(E941/(I941*ConditieGetal!$B$2))))*24)*10</f>
        <v>2.2854094022964219E-2</v>
      </c>
      <c r="K941" s="274">
        <f>$J941*POWER(21.1/10,1.06)</f>
        <v>5.0431677281029708E-2</v>
      </c>
      <c r="L941" s="274">
        <f>$J941*POWER(16.1/10,1.06)</f>
        <v>3.7861641446091596E-2</v>
      </c>
      <c r="N941" s="170"/>
      <c r="O941" s="170"/>
    </row>
    <row r="942" spans="1:15" s="172" customFormat="1" ht="13.5" customHeight="1">
      <c r="A942" s="401">
        <v>38575</v>
      </c>
      <c r="B942" s="238">
        <v>14.7</v>
      </c>
      <c r="C942" s="371">
        <v>4.1326388888888892E-2</v>
      </c>
      <c r="D942" s="197">
        <f t="shared" si="97"/>
        <v>2.8113189720332583E-3</v>
      </c>
      <c r="E942" s="169">
        <v>155</v>
      </c>
      <c r="F942" s="169">
        <v>168</v>
      </c>
      <c r="G942" s="169"/>
      <c r="H942" s="170"/>
      <c r="I942" s="171">
        <f>IF(D942&gt;0,(1/(D942*24)))</f>
        <v>14.821038480927571</v>
      </c>
      <c r="J942" s="274">
        <f>1/((182/(ConditieGetal!$B$2*(E942/(I942*ConditieGetal!$B$2))))*24)*10</f>
        <v>2.3942551684898627E-2</v>
      </c>
      <c r="K942" s="274">
        <f>$J942*POWER(21.1/10,1.06)</f>
        <v>5.2833555276525085E-2</v>
      </c>
      <c r="L942" s="274">
        <f>$J942*POWER(16.1/10,1.06)</f>
        <v>3.9664854195807356E-2</v>
      </c>
      <c r="N942" s="170"/>
      <c r="O942" s="170"/>
    </row>
    <row r="943" spans="1:15" s="172" customFormat="1" ht="13.5" customHeight="1">
      <c r="A943" s="401">
        <v>38576</v>
      </c>
      <c r="B943" s="238" t="s">
        <v>307</v>
      </c>
      <c r="C943" s="371"/>
      <c r="D943" s="197"/>
      <c r="E943" s="169"/>
      <c r="F943" s="169"/>
      <c r="G943" s="169"/>
      <c r="H943" s="170"/>
      <c r="I943" s="171"/>
      <c r="J943" s="274"/>
      <c r="K943" s="274"/>
      <c r="L943" s="274"/>
      <c r="N943" s="170"/>
      <c r="O943" s="170"/>
    </row>
    <row r="944" spans="1:15" s="172" customFormat="1" ht="13.5" customHeight="1">
      <c r="A944" s="401">
        <v>38577</v>
      </c>
      <c r="B944" s="238">
        <v>20.9</v>
      </c>
      <c r="C944" s="371">
        <v>6.1298611111111109E-2</v>
      </c>
      <c r="D944" s="197">
        <f t="shared" si="97"/>
        <v>2.9329479000531635E-3</v>
      </c>
      <c r="E944" s="169">
        <v>151.73684210526318</v>
      </c>
      <c r="F944" s="169">
        <v>182</v>
      </c>
      <c r="G944" s="169"/>
      <c r="H944" s="170"/>
      <c r="I944" s="171">
        <f>IF(D944&gt;0,(1/(D944*24)))</f>
        <v>14.206412144556474</v>
      </c>
      <c r="J944" s="274">
        <f>1/((182/(ConditieGetal!$B$2*(E944/(I944*ConditieGetal!$B$2))))*24)*10</f>
        <v>2.445254134139176E-2</v>
      </c>
      <c r="K944" s="274">
        <f>$J944*POWER(21.1/10,1.06)</f>
        <v>5.3958939365130014E-2</v>
      </c>
      <c r="L944" s="274">
        <f>$J944*POWER(16.1/10,1.06)</f>
        <v>4.0509737633144943E-2</v>
      </c>
      <c r="N944" s="170"/>
      <c r="O944" s="170"/>
    </row>
    <row r="945" spans="1:15" s="176" customFormat="1" ht="13.5" customHeight="1" thickBot="1">
      <c r="A945" s="402">
        <v>38578</v>
      </c>
      <c r="B945" s="293" t="s">
        <v>307</v>
      </c>
      <c r="C945" s="372"/>
      <c r="D945" s="198"/>
      <c r="E945" s="173"/>
      <c r="F945" s="173"/>
      <c r="G945" s="173"/>
      <c r="H945" s="174"/>
      <c r="I945" s="175"/>
      <c r="J945" s="276"/>
      <c r="K945" s="276"/>
      <c r="L945" s="276"/>
      <c r="N945" s="174"/>
      <c r="O945" s="174"/>
    </row>
    <row r="946" spans="1:15" s="164" customFormat="1" ht="13.5" customHeight="1" thickTop="1">
      <c r="A946" s="397">
        <v>38579</v>
      </c>
      <c r="B946" s="289">
        <v>6.3</v>
      </c>
      <c r="C946" s="367">
        <v>1.7542824074074075E-2</v>
      </c>
      <c r="D946" s="193">
        <f t="shared" si="97"/>
        <v>2.7845752498530281E-3</v>
      </c>
      <c r="E946" s="161">
        <v>149</v>
      </c>
      <c r="F946" s="161">
        <v>158</v>
      </c>
      <c r="G946" s="161"/>
      <c r="H946" s="162"/>
      <c r="I946" s="205">
        <f>IF(D946&gt;0,(1/(D946*24)))</f>
        <v>14.963383255261594</v>
      </c>
      <c r="J946" s="277">
        <f>1/((182/(ConditieGetal!$B$2*(E946/(I946*ConditieGetal!$B$2))))*24)*10</f>
        <v>2.2796797375170399E-2</v>
      </c>
      <c r="K946" s="277">
        <f>$J946*POWER(21.1/10,1.06)</f>
        <v>5.0305241901534056E-2</v>
      </c>
      <c r="L946" s="277">
        <f>$J946*POWER(16.1/10,1.06)</f>
        <v>3.7766719935195002E-2</v>
      </c>
      <c r="N946" s="162"/>
      <c r="O946" s="162"/>
    </row>
    <row r="947" spans="1:15" s="156" customFormat="1" ht="13.5" customHeight="1">
      <c r="A947" s="398">
        <v>38580</v>
      </c>
      <c r="B947" s="290">
        <v>10.3</v>
      </c>
      <c r="C947" s="368">
        <v>2.8552083333333336E-2</v>
      </c>
      <c r="D947" s="194">
        <f t="shared" si="97"/>
        <v>2.772046925566343E-3</v>
      </c>
      <c r="E947" s="153">
        <v>151</v>
      </c>
      <c r="F947" s="153">
        <v>163</v>
      </c>
      <c r="G947" s="153"/>
      <c r="H947" s="154"/>
      <c r="I947" s="155">
        <f>IF(D947&gt;0,(1/(D947*24)))</f>
        <v>15.031010580080261</v>
      </c>
      <c r="J947" s="270">
        <f>1/((182/(ConditieGetal!$B$2*(E947/(I947*ConditieGetal!$B$2))))*24)*10</f>
        <v>2.2998850865962525E-2</v>
      </c>
      <c r="K947" s="270">
        <f>$J947*POWER(21.1/10,1.06)</f>
        <v>5.0751109343529131E-2</v>
      </c>
      <c r="L947" s="270">
        <f>$J947*POWER(16.1/10,1.06)</f>
        <v>3.8101455445323548E-2</v>
      </c>
      <c r="N947" s="154"/>
      <c r="O947" s="154"/>
    </row>
    <row r="948" spans="1:15" s="156" customFormat="1" ht="13.5" customHeight="1">
      <c r="A948" s="398">
        <v>38581</v>
      </c>
      <c r="B948" s="290" t="s">
        <v>307</v>
      </c>
      <c r="C948" s="368"/>
      <c r="D948" s="194"/>
      <c r="E948" s="153"/>
      <c r="F948" s="153"/>
      <c r="G948" s="153"/>
      <c r="H948" s="154"/>
      <c r="I948" s="155"/>
      <c r="J948" s="270"/>
      <c r="K948" s="270"/>
      <c r="L948" s="270"/>
      <c r="N948" s="154"/>
      <c r="O948" s="154"/>
    </row>
    <row r="949" spans="1:15" s="156" customFormat="1" ht="13.5" customHeight="1">
      <c r="A949" s="398">
        <v>38582</v>
      </c>
      <c r="B949" s="290">
        <v>10.3</v>
      </c>
      <c r="C949" s="368">
        <v>3.0368055555555554E-2</v>
      </c>
      <c r="D949" s="194">
        <f t="shared" si="97"/>
        <v>2.9483549083063644E-3</v>
      </c>
      <c r="E949" s="153">
        <v>152</v>
      </c>
      <c r="F949" s="153">
        <v>160</v>
      </c>
      <c r="G949" s="153"/>
      <c r="H949" s="154"/>
      <c r="I949" s="155">
        <f>IF(D949&gt;0,(1/(D949*24)))</f>
        <v>14.132174708438145</v>
      </c>
      <c r="J949" s="270">
        <f>1/((182/(ConditieGetal!$B$2*(E949/(I949*ConditieGetal!$B$2))))*24)*10</f>
        <v>2.4623623410031176E-2</v>
      </c>
      <c r="K949" s="270">
        <f>$J949*POWER(21.1/10,1.06)</f>
        <v>5.4336462782401528E-2</v>
      </c>
      <c r="L949" s="270">
        <f>$J949*POWER(16.1/10,1.06)</f>
        <v>4.0793163785770928E-2</v>
      </c>
      <c r="N949" s="154"/>
      <c r="O949" s="154"/>
    </row>
    <row r="950" spans="1:15" s="156" customFormat="1" ht="13.5" customHeight="1">
      <c r="A950" s="398">
        <v>38583</v>
      </c>
      <c r="B950" s="430" t="s">
        <v>504</v>
      </c>
      <c r="C950" s="431"/>
      <c r="D950" s="431"/>
      <c r="E950" s="431"/>
      <c r="F950" s="432"/>
      <c r="G950" s="299"/>
      <c r="H950" s="154"/>
      <c r="I950" s="155"/>
      <c r="J950" s="270"/>
      <c r="K950" s="270"/>
      <c r="L950" s="270"/>
      <c r="N950" s="154"/>
      <c r="O950" s="154"/>
    </row>
    <row r="951" spans="1:15" s="176" customFormat="1" ht="13.5" customHeight="1" thickBot="1">
      <c r="A951" s="402">
        <v>38592</v>
      </c>
      <c r="B951" s="433"/>
      <c r="C951" s="434"/>
      <c r="D951" s="434"/>
      <c r="E951" s="434"/>
      <c r="F951" s="435"/>
      <c r="G951" s="300"/>
      <c r="H951" s="174"/>
      <c r="I951" s="175"/>
      <c r="J951" s="276"/>
      <c r="K951" s="276"/>
      <c r="L951" s="276"/>
      <c r="N951" s="174"/>
      <c r="O951" s="174"/>
    </row>
    <row r="952" spans="1:15" s="164" customFormat="1" ht="13.5" customHeight="1" thickTop="1">
      <c r="A952" s="397">
        <v>38593</v>
      </c>
      <c r="B952" s="289">
        <v>11.1</v>
      </c>
      <c r="C952" s="367">
        <v>3.5366898148148147E-2</v>
      </c>
      <c r="D952" s="193">
        <f t="shared" si="97"/>
        <v>3.1862070403737069E-3</v>
      </c>
      <c r="E952" s="161">
        <v>146</v>
      </c>
      <c r="F952" s="161">
        <v>161</v>
      </c>
      <c r="G952" s="161"/>
      <c r="H952" s="162"/>
      <c r="I952" s="205">
        <f>IF(D952&gt;0,(1/(D952*24)))</f>
        <v>13.077199986909712</v>
      </c>
      <c r="J952" s="277">
        <f>1/((182/(ConditieGetal!$B$2*(E952/(I952*ConditieGetal!$B$2))))*24)*10</f>
        <v>2.5559682851349519E-2</v>
      </c>
      <c r="K952" s="277">
        <f>$J952*POWER(21.1/10,1.06)</f>
        <v>5.6402046638536589E-2</v>
      </c>
      <c r="L952" s="277">
        <f>$J952*POWER(16.1/10,1.06)</f>
        <v>4.234390331208128E-2</v>
      </c>
      <c r="N952" s="162"/>
      <c r="O952" s="162"/>
    </row>
    <row r="953" spans="1:15" s="156" customFormat="1" ht="13.5" customHeight="1">
      <c r="A953" s="398">
        <v>38594</v>
      </c>
      <c r="B953" s="290" t="s">
        <v>307</v>
      </c>
      <c r="C953" s="368"/>
      <c r="D953" s="194"/>
      <c r="E953" s="153"/>
      <c r="F953" s="153"/>
      <c r="G953" s="153"/>
      <c r="H953" s="154"/>
      <c r="I953" s="155"/>
      <c r="J953" s="270"/>
      <c r="K953" s="270"/>
      <c r="L953" s="270"/>
      <c r="N953" s="154"/>
      <c r="O953" s="154"/>
    </row>
    <row r="954" spans="1:15" s="156" customFormat="1" ht="13.5" customHeight="1">
      <c r="A954" s="398">
        <v>38595</v>
      </c>
      <c r="B954" s="290">
        <v>13.5</v>
      </c>
      <c r="C954" s="368">
        <v>3.9851851851851854E-2</v>
      </c>
      <c r="D954" s="194">
        <f t="shared" si="97"/>
        <v>2.9519890260631004E-3</v>
      </c>
      <c r="E954" s="153">
        <v>158</v>
      </c>
      <c r="F954" s="153">
        <v>187</v>
      </c>
      <c r="G954" s="153"/>
      <c r="H954" s="154"/>
      <c r="I954" s="155">
        <f>IF(D954&gt;0,(1/(D954*24)))</f>
        <v>14.114776951672861</v>
      </c>
      <c r="J954" s="270">
        <f>1/((182/(ConditieGetal!$B$2*(E954/(I954*ConditieGetal!$B$2))))*24)*10</f>
        <v>2.562715747900934E-2</v>
      </c>
      <c r="K954" s="270">
        <f>$J954*POWER(21.1/10,1.06)</f>
        <v>5.6550941564906386E-2</v>
      </c>
      <c r="L954" s="270">
        <f>$J954*POWER(16.1/10,1.06)</f>
        <v>4.2455686354392987E-2</v>
      </c>
      <c r="N954" s="154"/>
      <c r="O954" s="154"/>
    </row>
    <row r="955" spans="1:15" s="156" customFormat="1" ht="13.5" customHeight="1">
      <c r="A955" s="398">
        <v>38596</v>
      </c>
      <c r="B955" s="290"/>
      <c r="C955" s="368"/>
      <c r="D955" s="194"/>
      <c r="E955" s="153"/>
      <c r="F955" s="153"/>
      <c r="G955" s="153"/>
      <c r="H955" s="154"/>
      <c r="I955" s="155"/>
      <c r="J955" s="270"/>
      <c r="K955" s="270"/>
      <c r="L955" s="270"/>
      <c r="N955" s="154"/>
      <c r="O955" s="154"/>
    </row>
    <row r="956" spans="1:15" s="156" customFormat="1" ht="13.5" customHeight="1">
      <c r="A956" s="398">
        <v>38597</v>
      </c>
      <c r="B956" s="290"/>
      <c r="C956" s="368"/>
      <c r="D956" s="194"/>
      <c r="E956" s="153"/>
      <c r="F956" s="153"/>
      <c r="G956" s="153"/>
      <c r="H956" s="154"/>
      <c r="I956" s="155"/>
      <c r="J956" s="270"/>
      <c r="K956" s="270"/>
      <c r="L956" s="270"/>
      <c r="N956" s="154"/>
      <c r="O956" s="154"/>
    </row>
    <row r="957" spans="1:15" s="156" customFormat="1" ht="13.5" customHeight="1">
      <c r="A957" s="398">
        <v>38598</v>
      </c>
      <c r="B957" s="290"/>
      <c r="C957" s="368"/>
      <c r="D957" s="194"/>
      <c r="E957" s="153"/>
      <c r="F957" s="153"/>
      <c r="G957" s="153"/>
      <c r="H957" s="154"/>
      <c r="I957" s="155"/>
      <c r="J957" s="270"/>
      <c r="K957" s="270"/>
      <c r="L957" s="270"/>
      <c r="N957" s="154"/>
      <c r="O957" s="154"/>
    </row>
    <row r="958" spans="1:15" s="160" customFormat="1" ht="13.5" customHeight="1" thickBot="1">
      <c r="A958" s="399">
        <v>38599</v>
      </c>
      <c r="B958" s="291">
        <v>14.3</v>
      </c>
      <c r="C958" s="369">
        <v>4.9957175925925933E-2</v>
      </c>
      <c r="D958" s="195">
        <f>IF(B958&gt;0,C958/B958,"")</f>
        <v>3.4935088060088063E-3</v>
      </c>
      <c r="E958" s="157">
        <v>146</v>
      </c>
      <c r="F958" s="157">
        <v>170</v>
      </c>
      <c r="G958" s="157"/>
      <c r="H958" s="158"/>
      <c r="I958" s="159">
        <f>IF(D958&gt;0,(1/(D958*24)))</f>
        <v>11.92688182007738</v>
      </c>
      <c r="J958" s="272">
        <f>1/((182/(ConditieGetal!$B$2*(E958/(I958*ConditieGetal!$B$2))))*24)*10</f>
        <v>2.8024850861389318E-2</v>
      </c>
      <c r="K958" s="272">
        <f>$J958*POWER(21.1/10,1.06)</f>
        <v>6.1841884131150548E-2</v>
      </c>
      <c r="L958" s="272">
        <f>$J958*POWER(16.1/10,1.06)</f>
        <v>4.6427867752181905E-2</v>
      </c>
      <c r="N958" s="158"/>
      <c r="O958" s="158"/>
    </row>
    <row r="959" spans="1:15" s="168" customFormat="1" ht="13.5" customHeight="1" thickTop="1">
      <c r="A959" s="400">
        <v>38600</v>
      </c>
      <c r="B959" s="292"/>
      <c r="C959" s="370"/>
      <c r="D959" s="196"/>
      <c r="E959" s="165"/>
      <c r="F959" s="165"/>
      <c r="G959" s="165"/>
      <c r="H959" s="166"/>
      <c r="I959" s="167"/>
      <c r="J959" s="273"/>
      <c r="K959" s="273"/>
      <c r="L959" s="273"/>
      <c r="N959" s="166"/>
      <c r="O959" s="166"/>
    </row>
    <row r="960" spans="1:15" s="172" customFormat="1" ht="13.5" customHeight="1">
      <c r="A960" s="401">
        <v>38601</v>
      </c>
      <c r="B960" s="238">
        <v>10</v>
      </c>
      <c r="C960" s="371"/>
      <c r="D960" s="197"/>
      <c r="E960" s="169"/>
      <c r="F960" s="169"/>
      <c r="G960" s="169"/>
      <c r="H960" s="170" t="s">
        <v>269</v>
      </c>
      <c r="I960" s="171"/>
      <c r="J960" s="274"/>
      <c r="K960" s="274"/>
      <c r="L960" s="274"/>
      <c r="N960" s="170"/>
      <c r="O960" s="170"/>
    </row>
    <row r="961" spans="1:15" s="172" customFormat="1" ht="13.5" customHeight="1">
      <c r="A961" s="401">
        <v>38602</v>
      </c>
      <c r="B961" s="238">
        <v>18.600000000000001</v>
      </c>
      <c r="C961" s="371">
        <v>5.3217592592592594E-2</v>
      </c>
      <c r="D961" s="197">
        <f>IF(B961&gt;0,C961/B961,"")</f>
        <v>2.8611608920748703E-3</v>
      </c>
      <c r="E961" s="169">
        <v>155</v>
      </c>
      <c r="F961" s="169">
        <v>173</v>
      </c>
      <c r="G961" s="169"/>
      <c r="H961" s="170"/>
      <c r="I961" s="171">
        <f>IF(D961&gt;0,(1/(D961*24)))</f>
        <v>14.562853414528057</v>
      </c>
      <c r="J961" s="274">
        <f>1/((182/(ConditieGetal!$B$2*(E961/(I961*ConditieGetal!$B$2))))*24)*10</f>
        <v>2.4367029575362908E-2</v>
      </c>
      <c r="K961" s="274">
        <f>$J961*POWER(21.1/10,1.06)</f>
        <v>5.3770242242252832E-2</v>
      </c>
      <c r="L961" s="274">
        <f>$J961*POWER(16.1/10,1.06)</f>
        <v>4.0368073044666691E-2</v>
      </c>
      <c r="N961" s="170"/>
      <c r="O961" s="170"/>
    </row>
    <row r="962" spans="1:15" s="172" customFormat="1" ht="13.5" customHeight="1">
      <c r="A962" s="401">
        <v>38603</v>
      </c>
      <c r="B962" s="238"/>
      <c r="C962" s="371"/>
      <c r="D962" s="197"/>
      <c r="E962" s="169"/>
      <c r="F962" s="169"/>
      <c r="G962" s="169"/>
      <c r="H962" s="170"/>
      <c r="I962" s="171"/>
      <c r="J962" s="274"/>
      <c r="K962" s="274"/>
      <c r="L962" s="274"/>
      <c r="N962" s="170"/>
      <c r="O962" s="170"/>
    </row>
    <row r="963" spans="1:15" s="172" customFormat="1" ht="13.5" customHeight="1">
      <c r="A963" s="401">
        <v>38604</v>
      </c>
      <c r="B963" s="238">
        <v>5.5</v>
      </c>
      <c r="C963" s="371">
        <v>1.5112268518518518E-2</v>
      </c>
      <c r="D963" s="197">
        <f>IF(B963&gt;0,C963/B963,"")</f>
        <v>2.747685185185185E-3</v>
      </c>
      <c r="E963" s="169">
        <v>163</v>
      </c>
      <c r="F963" s="169">
        <v>179</v>
      </c>
      <c r="G963" s="169"/>
      <c r="H963" s="170"/>
      <c r="I963" s="171">
        <f>IF(D963&gt;0,(1/(D963*24)))</f>
        <v>15.164279696714406</v>
      </c>
      <c r="J963" s="274">
        <f>1/((182/(ConditieGetal!$B$2*(E963/(I963*ConditieGetal!$B$2))))*24)*10</f>
        <v>2.4608389295889301E-2</v>
      </c>
      <c r="K963" s="274">
        <f>$J963*POWER(21.1/10,1.06)</f>
        <v>5.4302845964019075E-2</v>
      </c>
      <c r="L963" s="274">
        <f>$J963*POWER(16.1/10,1.06)</f>
        <v>4.0767925919557156E-2</v>
      </c>
      <c r="N963" s="170"/>
      <c r="O963" s="170"/>
    </row>
    <row r="964" spans="1:15" s="172" customFormat="1" ht="13.5" customHeight="1">
      <c r="A964" s="401">
        <v>38605</v>
      </c>
      <c r="B964" s="238"/>
      <c r="C964" s="371"/>
      <c r="D964" s="197"/>
      <c r="E964" s="169"/>
      <c r="F964" s="169"/>
      <c r="G964" s="169"/>
      <c r="H964" s="170"/>
      <c r="I964" s="171"/>
      <c r="J964" s="274"/>
      <c r="K964" s="274"/>
      <c r="L964" s="274"/>
      <c r="N964" s="170"/>
      <c r="O964" s="170"/>
    </row>
    <row r="965" spans="1:15" s="176" customFormat="1" ht="13.5" customHeight="1" thickBot="1">
      <c r="A965" s="402">
        <v>38606</v>
      </c>
      <c r="B965" s="293"/>
      <c r="C965" s="372"/>
      <c r="D965" s="198"/>
      <c r="E965" s="173"/>
      <c r="F965" s="173"/>
      <c r="G965" s="173"/>
      <c r="H965" s="174"/>
      <c r="I965" s="175"/>
      <c r="J965" s="276"/>
      <c r="K965" s="276"/>
      <c r="L965" s="276"/>
      <c r="N965" s="174"/>
      <c r="O965" s="174"/>
    </row>
    <row r="966" spans="1:15" s="164" customFormat="1" ht="13.5" customHeight="1" thickTop="1">
      <c r="A966" s="397">
        <v>38607</v>
      </c>
      <c r="B966" s="289">
        <v>8.9</v>
      </c>
      <c r="C966" s="367">
        <v>2.7356481481481482E-2</v>
      </c>
      <c r="D966" s="193">
        <f t="shared" ref="D966:D971" si="101">IF(B966&gt;0,C966/B966,"")</f>
        <v>3.0737619642114025E-3</v>
      </c>
      <c r="E966" s="161">
        <v>158</v>
      </c>
      <c r="F966" s="161">
        <v>187</v>
      </c>
      <c r="G966" s="161"/>
      <c r="H966" s="162" t="s">
        <v>508</v>
      </c>
      <c r="I966" s="163"/>
      <c r="J966" s="271"/>
      <c r="K966" s="271"/>
      <c r="L966" s="271"/>
      <c r="N966" s="162"/>
      <c r="O966" s="162"/>
    </row>
    <row r="967" spans="1:15" s="156" customFormat="1" ht="13.5" customHeight="1">
      <c r="A967" s="398">
        <v>38608</v>
      </c>
      <c r="B967" s="290">
        <v>5.4</v>
      </c>
      <c r="C967" s="368">
        <v>1.7200231481481483E-2</v>
      </c>
      <c r="D967" s="194">
        <f t="shared" si="101"/>
        <v>3.1852280521262005E-3</v>
      </c>
      <c r="E967" s="153">
        <v>165</v>
      </c>
      <c r="F967" s="153">
        <v>185</v>
      </c>
      <c r="G967" s="153"/>
      <c r="H967" s="154" t="s">
        <v>509</v>
      </c>
      <c r="I967" s="155">
        <f>IF(D967&gt;0,(1/(D967*24)))</f>
        <v>13.08121929883588</v>
      </c>
      <c r="J967" s="270">
        <f>1/((182/(ConditieGetal!$B$2*(E967/(I967*ConditieGetal!$B$2))))*24)*10</f>
        <v>2.8877067505539727E-2</v>
      </c>
      <c r="K967" s="270">
        <f>$J967*POWER(21.1/10,1.06)</f>
        <v>6.3722453744985585E-2</v>
      </c>
      <c r="L967" s="270">
        <f>$J967*POWER(16.1/10,1.06)</f>
        <v>4.7839707616969034E-2</v>
      </c>
      <c r="N967" s="154"/>
      <c r="O967" s="154"/>
    </row>
    <row r="968" spans="1:15" s="156" customFormat="1" ht="13.5" customHeight="1">
      <c r="A968" s="398">
        <v>38609</v>
      </c>
      <c r="B968" s="290"/>
      <c r="C968" s="368"/>
      <c r="D968" s="194"/>
      <c r="E968" s="153"/>
      <c r="F968" s="153"/>
      <c r="G968" s="153"/>
      <c r="H968" s="154"/>
      <c r="I968" s="155"/>
      <c r="J968" s="270"/>
      <c r="K968" s="270"/>
      <c r="L968" s="270"/>
      <c r="N968" s="154"/>
      <c r="O968" s="154"/>
    </row>
    <row r="969" spans="1:15" s="156" customFormat="1" ht="13.5" customHeight="1">
      <c r="A969" s="398">
        <v>38610</v>
      </c>
      <c r="B969" s="290">
        <v>11.4</v>
      </c>
      <c r="C969" s="368">
        <v>3.4123842592592595E-2</v>
      </c>
      <c r="D969" s="194">
        <f t="shared" si="101"/>
        <v>2.9933195256660172E-3</v>
      </c>
      <c r="E969" s="153">
        <v>157</v>
      </c>
      <c r="F969" s="153">
        <v>177</v>
      </c>
      <c r="G969" s="153"/>
      <c r="H969" s="154" t="s">
        <v>508</v>
      </c>
      <c r="I969" s="155">
        <f>IF(D969&gt;0,(1/(D969*24)))</f>
        <v>13.919886036020756</v>
      </c>
      <c r="J969" s="270">
        <f>1/((182/(ConditieGetal!$B$2*(E969/(I969*ConditieGetal!$B$2))))*24)*10</f>
        <v>2.5821492611514542E-2</v>
      </c>
      <c r="K969" s="270">
        <f>$J969*POWER(21.1/10,1.06)</f>
        <v>5.697977705832042E-2</v>
      </c>
      <c r="L969" s="270">
        <f>$J969*POWER(16.1/10,1.06)</f>
        <v>4.2777635108952994E-2</v>
      </c>
      <c r="N969" s="154"/>
      <c r="O969" s="154"/>
    </row>
    <row r="970" spans="1:15" s="156" customFormat="1" ht="13.5" customHeight="1">
      <c r="A970" s="398">
        <v>38611</v>
      </c>
      <c r="B970" s="290">
        <v>10.199999999999999</v>
      </c>
      <c r="C970" s="368">
        <v>2.836805555555556E-2</v>
      </c>
      <c r="D970" s="194">
        <f t="shared" si="101"/>
        <v>2.7811819172113296E-3</v>
      </c>
      <c r="E970" s="153">
        <v>166</v>
      </c>
      <c r="F970" s="153">
        <v>182</v>
      </c>
      <c r="G970" s="153"/>
      <c r="H970" s="154" t="s">
        <v>508</v>
      </c>
      <c r="I970" s="155">
        <f>IF(D970&gt;0,(1/(D970*24)))</f>
        <v>14.981640146878823</v>
      </c>
      <c r="J970" s="270">
        <f>1/((182/(ConditieGetal!$B$2*(E970/(I970*ConditieGetal!$B$2))))*24)*10</f>
        <v>2.5366824080059379E-2</v>
      </c>
      <c r="K970" s="270">
        <f>$J970*POWER(21.1/10,1.06)</f>
        <v>5.5976469002216936E-2</v>
      </c>
      <c r="L970" s="270">
        <f>$J970*POWER(16.1/10,1.06)</f>
        <v>4.2024400397593233E-2</v>
      </c>
      <c r="N970" s="154"/>
      <c r="O970" s="154"/>
    </row>
    <row r="971" spans="1:15" s="156" customFormat="1" ht="13.5" customHeight="1">
      <c r="A971" s="398">
        <v>38612</v>
      </c>
      <c r="B971" s="290">
        <v>11.9</v>
      </c>
      <c r="C971" s="368">
        <v>3.5548611111111114E-2</v>
      </c>
      <c r="D971" s="194">
        <f t="shared" si="101"/>
        <v>2.9872782446311859E-3</v>
      </c>
      <c r="E971" s="153">
        <v>163</v>
      </c>
      <c r="F971" s="153">
        <v>180</v>
      </c>
      <c r="G971" s="153"/>
      <c r="H971" s="154" t="s">
        <v>508</v>
      </c>
      <c r="I971" s="155">
        <f>IF(D971&gt;0,(1/(D971*24)))</f>
        <v>13.948036725923032</v>
      </c>
      <c r="J971" s="270">
        <f>1/((182/(ConditieGetal!$B$2*(E971/(I971*ConditieGetal!$B$2))))*24)*10</f>
        <v>2.6754195267850729E-2</v>
      </c>
      <c r="K971" s="270">
        <f>$J971*POWER(21.1/10,1.06)</f>
        <v>5.9037953563424547E-2</v>
      </c>
      <c r="L971" s="270">
        <f>$J971*POWER(16.1/10,1.06)</f>
        <v>4.4322813557704198E-2</v>
      </c>
      <c r="N971" s="154"/>
      <c r="O971" s="154"/>
    </row>
    <row r="972" spans="1:15" s="160" customFormat="1" ht="13.5" customHeight="1" thickBot="1">
      <c r="A972" s="399">
        <v>38613</v>
      </c>
      <c r="B972" s="291"/>
      <c r="C972" s="369"/>
      <c r="D972" s="195"/>
      <c r="E972" s="157"/>
      <c r="F972" s="157"/>
      <c r="G972" s="157"/>
      <c r="H972" s="158"/>
      <c r="I972" s="159"/>
      <c r="J972" s="272"/>
      <c r="K972" s="272"/>
      <c r="L972" s="272"/>
      <c r="N972" s="158"/>
      <c r="O972" s="158"/>
    </row>
    <row r="973" spans="1:15" s="168" customFormat="1" ht="13.5" customHeight="1" thickTop="1">
      <c r="A973" s="400">
        <v>38614</v>
      </c>
      <c r="B973" s="292">
        <v>20.9</v>
      </c>
      <c r="C973" s="370">
        <v>6.1366898148148143E-2</v>
      </c>
      <c r="D973" s="196">
        <f t="shared" ref="D973:D1001" si="102">IF(B973&gt;0,C973/B973,"")</f>
        <v>2.9362152223994329E-3</v>
      </c>
      <c r="E973" s="165">
        <v>150</v>
      </c>
      <c r="F973" s="165">
        <v>175</v>
      </c>
      <c r="G973" s="165"/>
      <c r="H973" s="166"/>
      <c r="I973" s="167">
        <f t="shared" ref="I973:I978" si="103">IF(D973&gt;0,(1/(D973*24)))</f>
        <v>14.19060372305313</v>
      </c>
      <c r="J973" s="273">
        <f>1/((182/(ConditieGetal!$B$2*(E973/(I973*ConditieGetal!$B$2))))*24)*10</f>
        <v>2.4199576008786531E-2</v>
      </c>
      <c r="K973" s="273">
        <f t="shared" ref="K973:K978" si="104">$J973*POWER(21.1/10,1.06)</f>
        <v>5.3400725768720708E-2</v>
      </c>
      <c r="L973" s="273">
        <f t="shared" ref="L973:L978" si="105">$J973*POWER(16.1/10,1.06)</f>
        <v>4.0090658114535861E-2</v>
      </c>
      <c r="N973" s="166"/>
      <c r="O973" s="166"/>
    </row>
    <row r="974" spans="1:15" s="172" customFormat="1" ht="13.5" customHeight="1">
      <c r="A974" s="401">
        <v>38615</v>
      </c>
      <c r="B974" s="238">
        <v>10.3</v>
      </c>
      <c r="C974" s="371">
        <v>3.1037037037037037E-2</v>
      </c>
      <c r="D974" s="197">
        <f t="shared" si="102"/>
        <v>3.0133045667026246E-3</v>
      </c>
      <c r="E974" s="169">
        <v>146.73786407766991</v>
      </c>
      <c r="F974" s="169">
        <v>176</v>
      </c>
      <c r="G974" s="169"/>
      <c r="H974" s="170" t="s">
        <v>128</v>
      </c>
      <c r="I974" s="171">
        <f t="shared" si="103"/>
        <v>13.827565632458235</v>
      </c>
      <c r="J974" s="274">
        <f>1/((182/(ConditieGetal!$B$2*(E974/(I974*ConditieGetal!$B$2))))*24)*10</f>
        <v>2.4294828347990755E-2</v>
      </c>
      <c r="K974" s="274">
        <f t="shared" si="104"/>
        <v>5.3610917221778687E-2</v>
      </c>
      <c r="L974" s="274">
        <f t="shared" si="105"/>
        <v>4.024845959685356E-2</v>
      </c>
      <c r="N974" s="170"/>
      <c r="O974" s="170"/>
    </row>
    <row r="975" spans="1:15" s="172" customFormat="1" ht="13.5" customHeight="1">
      <c r="A975" s="401">
        <v>38616</v>
      </c>
      <c r="B975" s="238">
        <v>15.7</v>
      </c>
      <c r="C975" s="371">
        <v>4.6050925925925926E-2</v>
      </c>
      <c r="D975" s="197">
        <v>2.9331799952819061E-3</v>
      </c>
      <c r="E975" s="169">
        <v>150.83439490445858</v>
      </c>
      <c r="F975" s="169">
        <v>179</v>
      </c>
      <c r="G975" s="169"/>
      <c r="H975" s="170" t="s">
        <v>506</v>
      </c>
      <c r="I975" s="171">
        <f t="shared" si="103"/>
        <v>14.205288026540666</v>
      </c>
      <c r="J975" s="274">
        <f>1/((182/(ConditieGetal!$B$2*(E975/(I975*ConditieGetal!$B$2))))*24)*10</f>
        <v>2.4309034600780714E-2</v>
      </c>
      <c r="K975" s="274">
        <f t="shared" si="104"/>
        <v>5.3642265878844513E-2</v>
      </c>
      <c r="L975" s="274">
        <f t="shared" si="105"/>
        <v>4.0271994638272642E-2</v>
      </c>
      <c r="N975" s="170"/>
      <c r="O975" s="170"/>
    </row>
    <row r="976" spans="1:15" s="172" customFormat="1" ht="13.5" customHeight="1">
      <c r="A976" s="401">
        <v>38617</v>
      </c>
      <c r="B976" s="238">
        <v>10.9</v>
      </c>
      <c r="C976" s="371">
        <v>3.1291666666666662E-2</v>
      </c>
      <c r="D976" s="197">
        <f t="shared" si="102"/>
        <v>2.8707951070336387E-3</v>
      </c>
      <c r="E976" s="169">
        <v>152.10091743119267</v>
      </c>
      <c r="F976" s="169">
        <v>169</v>
      </c>
      <c r="G976" s="169"/>
      <c r="H976" s="170"/>
      <c r="I976" s="171">
        <f t="shared" si="103"/>
        <v>14.513981358189081</v>
      </c>
      <c r="J976" s="274">
        <f>1/((182/(ConditieGetal!$B$2*(E976/(I976*ConditieGetal!$B$2))))*24)*10</f>
        <v>2.3991789534988761E-2</v>
      </c>
      <c r="K976" s="274">
        <f t="shared" si="104"/>
        <v>5.2942207466511799E-2</v>
      </c>
      <c r="L976" s="274">
        <f t="shared" si="105"/>
        <v>3.9746424956119089E-2</v>
      </c>
      <c r="N976" s="170"/>
      <c r="O976" s="170"/>
    </row>
    <row r="977" spans="1:15" s="172" customFormat="1" ht="13.5" customHeight="1">
      <c r="A977" s="401">
        <v>38618</v>
      </c>
      <c r="B977" s="238">
        <v>10.199999999999999</v>
      </c>
      <c r="C977" s="371">
        <v>2.8557870370370372E-2</v>
      </c>
      <c r="D977" s="197">
        <f t="shared" si="102"/>
        <v>2.7997912127814091E-3</v>
      </c>
      <c r="E977" s="169">
        <v>154</v>
      </c>
      <c r="F977" s="169">
        <v>159</v>
      </c>
      <c r="G977" s="169"/>
      <c r="H977" s="170"/>
      <c r="I977" s="171">
        <f t="shared" si="103"/>
        <v>14.882062089649024</v>
      </c>
      <c r="J977" s="274">
        <f>1/((182/(ConditieGetal!$B$2*(E977/(I977*ConditieGetal!$B$2))))*24)*10</f>
        <v>2.3690541031227301E-2</v>
      </c>
      <c r="K977" s="274">
        <f t="shared" si="104"/>
        <v>5.2277448351237953E-2</v>
      </c>
      <c r="L977" s="274">
        <f t="shared" si="105"/>
        <v>3.9247356263038227E-2</v>
      </c>
      <c r="N977" s="170"/>
      <c r="O977" s="170"/>
    </row>
    <row r="978" spans="1:15" s="172" customFormat="1" ht="13.5" customHeight="1">
      <c r="A978" s="401">
        <v>38619</v>
      </c>
      <c r="B978" s="238">
        <v>9</v>
      </c>
      <c r="C978" s="371">
        <v>2.1685185185185186E-2</v>
      </c>
      <c r="D978" s="197">
        <f t="shared" si="102"/>
        <v>2.4094650205761319E-3</v>
      </c>
      <c r="E978" s="169">
        <v>173</v>
      </c>
      <c r="F978" s="169">
        <v>184</v>
      </c>
      <c r="G978" s="169"/>
      <c r="H978" s="170" t="s">
        <v>236</v>
      </c>
      <c r="I978" s="171">
        <f t="shared" si="103"/>
        <v>17.292912040990604</v>
      </c>
      <c r="J978" s="274">
        <f>1/((182/(ConditieGetal!$B$2*(E978/(I978*ConditieGetal!$B$2))))*24)*10</f>
        <v>2.2903156514267629E-2</v>
      </c>
      <c r="K978" s="274">
        <f t="shared" si="104"/>
        <v>5.0539942510249937E-2</v>
      </c>
      <c r="L978" s="274">
        <f t="shared" si="105"/>
        <v>3.7942921695149609E-2</v>
      </c>
      <c r="N978" s="170"/>
      <c r="O978" s="170"/>
    </row>
    <row r="979" spans="1:15" s="176" customFormat="1" ht="13.5" customHeight="1" thickBot="1">
      <c r="A979" s="402">
        <v>38620</v>
      </c>
      <c r="B979" s="293" t="s">
        <v>307</v>
      </c>
      <c r="C979" s="372"/>
      <c r="D979" s="198"/>
      <c r="E979" s="173"/>
      <c r="F979" s="173"/>
      <c r="G979" s="173"/>
      <c r="H979" s="174" t="s">
        <v>510</v>
      </c>
      <c r="I979" s="175"/>
      <c r="J979" s="276"/>
      <c r="K979" s="276"/>
      <c r="L979" s="276"/>
      <c r="N979" s="174"/>
      <c r="O979" s="174"/>
    </row>
    <row r="980" spans="1:15" s="164" customFormat="1" ht="13.5" customHeight="1" thickTop="1">
      <c r="A980" s="397">
        <v>38621</v>
      </c>
      <c r="B980" s="289" t="s">
        <v>307</v>
      </c>
      <c r="C980" s="367"/>
      <c r="D980" s="193"/>
      <c r="E980" s="161"/>
      <c r="F980" s="161"/>
      <c r="G980" s="161"/>
      <c r="H980" s="162" t="s">
        <v>510</v>
      </c>
      <c r="I980" s="163"/>
      <c r="J980" s="271"/>
      <c r="K980" s="271"/>
      <c r="L980" s="271"/>
      <c r="N980" s="162"/>
      <c r="O980" s="162"/>
    </row>
    <row r="981" spans="1:15" s="156" customFormat="1" ht="13.5" customHeight="1">
      <c r="A981" s="398">
        <v>38622</v>
      </c>
      <c r="B981" s="290">
        <v>10.4</v>
      </c>
      <c r="C981" s="368">
        <v>3.2224537037037038E-2</v>
      </c>
      <c r="D981" s="194">
        <f t="shared" si="102"/>
        <v>3.0985131766381765E-3</v>
      </c>
      <c r="E981" s="153">
        <v>144</v>
      </c>
      <c r="F981" s="153">
        <v>164</v>
      </c>
      <c r="G981" s="153"/>
      <c r="H981" s="154"/>
      <c r="I981" s="155">
        <f>IF(D981&gt;0,(1/(D981*24)))</f>
        <v>13.447309819696862</v>
      </c>
      <c r="J981" s="270">
        <f>1/((182/(ConditieGetal!$B$2*(E981/(I981*ConditieGetal!$B$2))))*24)*10</f>
        <v>2.4515708650324035E-2</v>
      </c>
      <c r="K981" s="270">
        <f>$J981*POWER(21.1/10,1.06)</f>
        <v>5.409832941645222E-2</v>
      </c>
      <c r="L981" s="270">
        <f>$J981*POWER(16.1/10,1.06)</f>
        <v>4.0614384879257837E-2</v>
      </c>
      <c r="N981" s="154"/>
      <c r="O981" s="154"/>
    </row>
    <row r="982" spans="1:15" s="156" customFormat="1" ht="13.5" customHeight="1">
      <c r="A982" s="398">
        <v>38623</v>
      </c>
      <c r="B982" s="290">
        <v>10</v>
      </c>
      <c r="C982" s="368">
        <v>2.7950231481481482E-2</v>
      </c>
      <c r="D982" s="194">
        <f t="shared" si="102"/>
        <v>2.795023148148148E-3</v>
      </c>
      <c r="E982" s="153">
        <v>151</v>
      </c>
      <c r="F982" s="153">
        <v>165</v>
      </c>
      <c r="G982" s="153"/>
      <c r="H982" s="154"/>
      <c r="I982" s="155">
        <f>IF(D982&gt;0,(1/(D982*24)))</f>
        <v>14.907449583833698</v>
      </c>
      <c r="J982" s="270">
        <f>1/((182/(ConditieGetal!$B$2*(E982/(I982*ConditieGetal!$B$2))))*24)*10</f>
        <v>2.3189477767602766E-2</v>
      </c>
      <c r="K982" s="270">
        <f>$J982*POWER(21.1/10,1.06)</f>
        <v>5.1171761957233414E-2</v>
      </c>
      <c r="L982" s="270">
        <f>$J982*POWER(16.1/10,1.06)</f>
        <v>3.8417260893250295E-2</v>
      </c>
      <c r="N982" s="154"/>
      <c r="O982" s="154"/>
    </row>
    <row r="983" spans="1:15" s="156" customFormat="1" ht="13.5" customHeight="1">
      <c r="A983" s="398">
        <v>38624</v>
      </c>
      <c r="B983" s="290">
        <v>10.3</v>
      </c>
      <c r="C983" s="368">
        <v>3.0180555555555558E-2</v>
      </c>
      <c r="D983" s="194">
        <f t="shared" si="102"/>
        <v>2.9301510248112188E-3</v>
      </c>
      <c r="E983" s="153">
        <v>149</v>
      </c>
      <c r="F983" s="153">
        <v>159</v>
      </c>
      <c r="G983" s="153"/>
      <c r="H983" s="154"/>
      <c r="I983" s="155">
        <f>IF(D983&gt;0,(1/(D983*24)))</f>
        <v>14.219972388403129</v>
      </c>
      <c r="J983" s="270">
        <f>1/((182/(ConditieGetal!$B$2*(E983/(I983*ConditieGetal!$B$2))))*24)*10</f>
        <v>2.3988599049278657E-2</v>
      </c>
      <c r="K983" s="270">
        <f>$J983*POWER(21.1/10,1.06)</f>
        <v>5.2935167084795509E-2</v>
      </c>
      <c r="L983" s="270">
        <f>$J983*POWER(16.1/10,1.06)</f>
        <v>3.9741139381207505E-2</v>
      </c>
      <c r="N983" s="154"/>
      <c r="O983" s="154"/>
    </row>
    <row r="984" spans="1:15" s="156" customFormat="1" ht="13.5" customHeight="1">
      <c r="A984" s="398">
        <v>38625</v>
      </c>
      <c r="B984" s="290" t="s">
        <v>307</v>
      </c>
      <c r="C984" s="368"/>
      <c r="D984" s="194"/>
      <c r="E984" s="153"/>
      <c r="F984" s="153"/>
      <c r="G984" s="153"/>
      <c r="H984" s="154"/>
      <c r="I984" s="155"/>
      <c r="J984" s="270"/>
      <c r="K984" s="270"/>
      <c r="L984" s="270"/>
      <c r="N984" s="154"/>
      <c r="O984" s="154"/>
    </row>
    <row r="985" spans="1:15" s="156" customFormat="1" ht="13.5" customHeight="1">
      <c r="A985" s="398">
        <v>38626</v>
      </c>
      <c r="B985" s="290">
        <v>5.2329999999999997</v>
      </c>
      <c r="C985" s="368">
        <v>1.2475694444444444E-2</v>
      </c>
      <c r="D985" s="194">
        <f>IF(B985&gt;0,C985/B985,"")</f>
        <v>2.3840425080153727E-3</v>
      </c>
      <c r="E985" s="153">
        <v>186</v>
      </c>
      <c r="F985" s="244">
        <v>193</v>
      </c>
      <c r="G985" s="408"/>
      <c r="H985" s="436" t="s">
        <v>511</v>
      </c>
      <c r="I985" s="155">
        <f>IF(D985&gt;0,(1/(D985*24)))</f>
        <v>17.477317005288057</v>
      </c>
      <c r="J985" s="270">
        <f>1/((182/(ConditieGetal!$B$2*(E985/(I985*ConditieGetal!$B$2))))*24)*10</f>
        <v>2.436439046653073E-2</v>
      </c>
      <c r="K985" s="270">
        <f>$J985*POWER(21.1/10,1.06)</f>
        <v>5.3764418572988137E-2</v>
      </c>
      <c r="L985" s="270">
        <f>$J985*POWER(16.1/10,1.06)</f>
        <v>4.0363700918069123E-2</v>
      </c>
      <c r="N985" s="154"/>
      <c r="O985" s="154"/>
    </row>
    <row r="986" spans="1:15" s="156" customFormat="1" ht="13.5" customHeight="1">
      <c r="A986" s="398">
        <v>38626</v>
      </c>
      <c r="B986" s="290">
        <v>2.621</v>
      </c>
      <c r="C986" s="368">
        <v>6.1585648148148155E-3</v>
      </c>
      <c r="D986" s="186">
        <f>IF(B986&gt;0,C986/B986,"")</f>
        <v>2.3497004253394947E-3</v>
      </c>
      <c r="E986" s="179">
        <v>179</v>
      </c>
      <c r="F986" s="179">
        <v>187</v>
      </c>
      <c r="G986" s="409"/>
      <c r="H986" s="437"/>
      <c r="I986" s="155">
        <f>IF(D986&gt;0,(1/(D986*24)))</f>
        <v>17.732757000563801</v>
      </c>
      <c r="J986" s="270">
        <f>1/((182/(ConditieGetal!$B$2*(E986/(I986*ConditieGetal!$B$2))))*24)*10</f>
        <v>2.3109690996470852E-2</v>
      </c>
      <c r="K986" s="270">
        <f>$J986*POWER(21.1/10,1.06)</f>
        <v>5.0995698067368561E-2</v>
      </c>
      <c r="L986" s="270">
        <f>$J986*POWER(16.1/10,1.06)</f>
        <v>3.8285080719417872E-2</v>
      </c>
      <c r="N986" s="154"/>
      <c r="O986" s="154"/>
    </row>
    <row r="987" spans="1:15" s="160" customFormat="1" ht="13.5" customHeight="1">
      <c r="A987" s="399">
        <v>38627</v>
      </c>
      <c r="B987" s="291"/>
      <c r="C987" s="369"/>
      <c r="D987" s="195" t="str">
        <f t="shared" si="102"/>
        <v/>
      </c>
      <c r="E987" s="157"/>
      <c r="F987" s="157"/>
      <c r="G987" s="157"/>
      <c r="H987" s="158"/>
      <c r="I987" s="159"/>
      <c r="J987" s="272"/>
      <c r="K987" s="272"/>
      <c r="L987" s="272"/>
      <c r="N987" s="158"/>
      <c r="O987" s="158"/>
    </row>
    <row r="988" spans="1:15" s="248" customFormat="1" ht="13.5" customHeight="1">
      <c r="A988" s="403">
        <v>38810</v>
      </c>
      <c r="B988" s="295"/>
      <c r="C988" s="373"/>
      <c r="D988" s="245" t="str">
        <f t="shared" si="102"/>
        <v/>
      </c>
      <c r="E988" s="246"/>
      <c r="F988" s="246"/>
      <c r="G988" s="246"/>
      <c r="H988" s="247"/>
      <c r="I988" s="205"/>
      <c r="J988" s="277"/>
      <c r="K988" s="277"/>
      <c r="L988" s="277"/>
      <c r="N988" s="247"/>
      <c r="O988" s="247"/>
    </row>
    <row r="989" spans="1:15" s="156" customFormat="1" ht="13.5" customHeight="1">
      <c r="A989" s="398">
        <f>A988+1</f>
        <v>38811</v>
      </c>
      <c r="B989" s="290"/>
      <c r="C989" s="368"/>
      <c r="D989" s="194"/>
      <c r="E989" s="153"/>
      <c r="F989" s="153"/>
      <c r="G989" s="153"/>
      <c r="H989" s="154"/>
      <c r="I989" s="155"/>
      <c r="J989" s="270"/>
      <c r="K989" s="270"/>
      <c r="L989" s="270"/>
      <c r="N989" s="154"/>
      <c r="O989" s="154"/>
    </row>
    <row r="990" spans="1:15" s="156" customFormat="1" ht="13.5" customHeight="1">
      <c r="A990" s="398">
        <f t="shared" ref="A990:A1001" si="106">A989+1</f>
        <v>38812</v>
      </c>
      <c r="B990" s="290"/>
      <c r="C990" s="368"/>
      <c r="D990" s="194" t="str">
        <f t="shared" si="102"/>
        <v/>
      </c>
      <c r="E990" s="153"/>
      <c r="F990" s="153"/>
      <c r="G990" s="153"/>
      <c r="H990" s="154"/>
      <c r="I990" s="155"/>
      <c r="J990" s="270"/>
      <c r="K990" s="270"/>
      <c r="L990" s="270"/>
      <c r="N990" s="154"/>
      <c r="O990" s="154"/>
    </row>
    <row r="991" spans="1:15" s="156" customFormat="1" ht="13.5" customHeight="1">
      <c r="A991" s="398">
        <f t="shared" si="106"/>
        <v>38813</v>
      </c>
      <c r="B991" s="290">
        <v>6.9</v>
      </c>
      <c r="C991" s="368">
        <v>2.1621527777777778E-2</v>
      </c>
      <c r="D991" s="194">
        <f t="shared" si="102"/>
        <v>3.1335547504025762E-3</v>
      </c>
      <c r="E991" s="153">
        <v>150</v>
      </c>
      <c r="F991" s="153">
        <v>160</v>
      </c>
      <c r="G991" s="153"/>
      <c r="H991" s="154"/>
      <c r="I991" s="155">
        <f>IF(D991&gt;0,(1/(D991*24)))</f>
        <v>13.296932712381567</v>
      </c>
      <c r="J991" s="270">
        <f>1/((182/(ConditieGetal!$B$2*(E991/(I991*ConditieGetal!$B$2))))*24)*10</f>
        <v>2.5826000690131121E-2</v>
      </c>
      <c r="K991" s="270">
        <f>$J991*POWER(21.1/10,1.06)</f>
        <v>5.6989724946244581E-2</v>
      </c>
      <c r="L991" s="270">
        <f>$J991*POWER(16.1/10,1.06)</f>
        <v>4.2785103497593568E-2</v>
      </c>
      <c r="N991" s="154"/>
      <c r="O991" s="154"/>
    </row>
    <row r="992" spans="1:15" s="156" customFormat="1" ht="13.5" customHeight="1">
      <c r="A992" s="398">
        <f t="shared" si="106"/>
        <v>38814</v>
      </c>
      <c r="B992" s="290"/>
      <c r="C992" s="368"/>
      <c r="D992" s="194" t="str">
        <f t="shared" si="102"/>
        <v/>
      </c>
      <c r="E992" s="153"/>
      <c r="F992" s="153"/>
      <c r="G992" s="153"/>
      <c r="H992" s="154"/>
      <c r="I992" s="155"/>
      <c r="J992" s="270"/>
      <c r="K992" s="270"/>
      <c r="L992" s="270"/>
      <c r="N992" s="154"/>
      <c r="O992" s="154"/>
    </row>
    <row r="993" spans="1:15" s="156" customFormat="1" ht="13.5" customHeight="1">
      <c r="A993" s="398">
        <f t="shared" si="106"/>
        <v>38815</v>
      </c>
      <c r="B993" s="290">
        <v>8.6999999999999993</v>
      </c>
      <c r="C993" s="368">
        <v>2.8386574074074074E-2</v>
      </c>
      <c r="D993" s="194">
        <f t="shared" si="102"/>
        <v>3.2628246062154113E-3</v>
      </c>
      <c r="E993" s="153">
        <v>141</v>
      </c>
      <c r="F993" s="153">
        <v>156</v>
      </c>
      <c r="G993" s="153"/>
      <c r="H993" s="154"/>
      <c r="I993" s="155">
        <f>IF(D993&gt;0,(1/(D993*24)))</f>
        <v>12.770121503710348</v>
      </c>
      <c r="J993" s="270">
        <f>1/((182/(ConditieGetal!$B$2*(E993/(I993*ConditieGetal!$B$2))))*24)*10</f>
        <v>2.5277926894306205E-2</v>
      </c>
      <c r="K993" s="270">
        <f>$J993*POWER(21.1/10,1.06)</f>
        <v>5.5780301340589609E-2</v>
      </c>
      <c r="L993" s="270">
        <f>$J993*POWER(16.1/10,1.06)</f>
        <v>4.1877127293300787E-2</v>
      </c>
      <c r="N993" s="154"/>
      <c r="O993" s="154"/>
    </row>
    <row r="994" spans="1:15" s="160" customFormat="1" ht="13.5" customHeight="1" thickBot="1">
      <c r="A994" s="398">
        <f t="shared" si="106"/>
        <v>38816</v>
      </c>
      <c r="B994" s="291">
        <v>5.4</v>
      </c>
      <c r="C994" s="369">
        <v>1.5307870370370369E-2</v>
      </c>
      <c r="D994" s="195">
        <f t="shared" si="102"/>
        <v>2.8347908093278459E-3</v>
      </c>
      <c r="E994" s="157">
        <v>169</v>
      </c>
      <c r="F994" s="157">
        <v>180</v>
      </c>
      <c r="G994" s="157"/>
      <c r="H994" s="158"/>
      <c r="I994" s="159">
        <f>IF(D994&gt;0,(1/(D994*24)))</f>
        <v>14.698321487978228</v>
      </c>
      <c r="J994" s="272">
        <f>1/((182/(ConditieGetal!$B$2*(E994/(I994*ConditieGetal!$B$2))))*24)*10</f>
        <v>2.6323057515187136E-2</v>
      </c>
      <c r="K994" s="272">
        <f>$J994*POWER(21.1/10,1.06)</f>
        <v>5.808657041149777E-2</v>
      </c>
      <c r="L994" s="272">
        <f>$J994*POWER(16.1/10,1.06)</f>
        <v>4.360856152965091E-2</v>
      </c>
      <c r="N994" s="158"/>
      <c r="O994" s="158"/>
    </row>
    <row r="995" spans="1:15" s="168" customFormat="1" ht="13.5" customHeight="1" thickTop="1">
      <c r="A995" s="400">
        <f t="shared" si="106"/>
        <v>38817</v>
      </c>
      <c r="B995" s="292">
        <v>11.5</v>
      </c>
      <c r="C995" s="370">
        <v>3.6648148148148145E-2</v>
      </c>
      <c r="D995" s="196">
        <f t="shared" si="102"/>
        <v>3.1867954911433171E-3</v>
      </c>
      <c r="E995" s="165">
        <v>152</v>
      </c>
      <c r="F995" s="165">
        <v>161</v>
      </c>
      <c r="G995" s="165"/>
      <c r="H995" s="166"/>
      <c r="I995" s="167">
        <f>IF(D995&gt;0,(1/(D995*24)))</f>
        <v>13.074785245073269</v>
      </c>
      <c r="J995" s="273">
        <f>1/((182/(ConditieGetal!$B$2*(E995/(I995*ConditieGetal!$B$2))))*24)*10</f>
        <v>2.6614995310647482E-2</v>
      </c>
      <c r="K995" s="273">
        <f>$J995*POWER(21.1/10,1.06)</f>
        <v>5.8730783770907138E-2</v>
      </c>
      <c r="L995" s="273">
        <f>$J995*POWER(16.1/10,1.06)</f>
        <v>4.4092205472183725E-2</v>
      </c>
      <c r="N995" s="166"/>
      <c r="O995" s="166"/>
    </row>
    <row r="996" spans="1:15" s="172" customFormat="1" ht="13.5" customHeight="1">
      <c r="A996" s="401">
        <f t="shared" si="106"/>
        <v>38818</v>
      </c>
      <c r="B996" s="238"/>
      <c r="C996" s="371"/>
      <c r="D996" s="197" t="str">
        <f t="shared" si="102"/>
        <v/>
      </c>
      <c r="E996" s="169"/>
      <c r="F996" s="169"/>
      <c r="G996" s="169"/>
      <c r="H996" s="170"/>
      <c r="I996" s="171"/>
      <c r="J996" s="274"/>
      <c r="K996" s="274"/>
      <c r="L996" s="274"/>
      <c r="N996" s="170"/>
      <c r="O996" s="170"/>
    </row>
    <row r="997" spans="1:15" s="172" customFormat="1" ht="13.5" customHeight="1">
      <c r="A997" s="401">
        <f t="shared" si="106"/>
        <v>38819</v>
      </c>
      <c r="B997" s="238">
        <v>10.4</v>
      </c>
      <c r="C997" s="371">
        <v>2.9082175925925925E-2</v>
      </c>
      <c r="D997" s="197">
        <f>IF(B997&gt;0,C997/B997,"")</f>
        <v>2.7963630698005695E-3</v>
      </c>
      <c r="E997" s="169">
        <v>160</v>
      </c>
      <c r="F997" s="169">
        <v>174</v>
      </c>
      <c r="G997" s="169"/>
      <c r="H997" s="170"/>
      <c r="I997" s="171">
        <f>IF(D997&gt;0,(1/(D997*24)))</f>
        <v>14.9003064432682</v>
      </c>
      <c r="J997" s="274">
        <f>1/((182/(ConditieGetal!$B$2*(E997/(I997*ConditieGetal!$B$2))))*24)*10</f>
        <v>2.4583411602642369E-2</v>
      </c>
      <c r="K997" s="274">
        <f>$J997*POWER(21.1/10,1.06)</f>
        <v>5.4247728182330243E-2</v>
      </c>
      <c r="L997" s="274">
        <f>$J997*POWER(16.1/10,1.06)</f>
        <v>4.0726546179677046E-2</v>
      </c>
      <c r="N997" s="170"/>
      <c r="O997" s="170"/>
    </row>
    <row r="998" spans="1:15" s="172" customFormat="1" ht="13.5" customHeight="1">
      <c r="A998" s="401">
        <f t="shared" si="106"/>
        <v>38820</v>
      </c>
      <c r="B998" s="238"/>
      <c r="C998" s="371"/>
      <c r="D998" s="197" t="str">
        <f t="shared" si="102"/>
        <v/>
      </c>
      <c r="E998" s="169"/>
      <c r="F998" s="169"/>
      <c r="G998" s="169"/>
      <c r="H998" s="170"/>
      <c r="I998" s="171"/>
      <c r="J998" s="274"/>
      <c r="K998" s="274"/>
      <c r="L998" s="274"/>
      <c r="N998" s="170"/>
      <c r="O998" s="170"/>
    </row>
    <row r="999" spans="1:15" s="172" customFormat="1" ht="13.5" customHeight="1">
      <c r="A999" s="401">
        <f t="shared" si="106"/>
        <v>38821</v>
      </c>
      <c r="B999" s="238"/>
      <c r="C999" s="371"/>
      <c r="D999" s="197" t="str">
        <f t="shared" si="102"/>
        <v/>
      </c>
      <c r="E999" s="169"/>
      <c r="F999" s="169"/>
      <c r="G999" s="169"/>
      <c r="H999" s="170"/>
      <c r="I999" s="171"/>
      <c r="J999" s="274"/>
      <c r="K999" s="274"/>
      <c r="L999" s="274"/>
      <c r="N999" s="170"/>
      <c r="O999" s="170"/>
    </row>
    <row r="1000" spans="1:15" s="172" customFormat="1" ht="13.5" customHeight="1">
      <c r="A1000" s="401">
        <f t="shared" si="106"/>
        <v>38822</v>
      </c>
      <c r="B1000" s="238"/>
      <c r="C1000" s="371"/>
      <c r="D1000" s="197" t="str">
        <f t="shared" si="102"/>
        <v/>
      </c>
      <c r="E1000" s="169"/>
      <c r="F1000" s="169"/>
      <c r="G1000" s="169"/>
      <c r="H1000" s="170"/>
      <c r="I1000" s="171"/>
      <c r="J1000" s="274"/>
      <c r="K1000" s="274"/>
      <c r="L1000" s="274"/>
      <c r="N1000" s="170"/>
      <c r="O1000" s="170"/>
    </row>
    <row r="1001" spans="1:15" s="176" customFormat="1" ht="13.5" customHeight="1" thickBot="1">
      <c r="A1001" s="402">
        <f t="shared" si="106"/>
        <v>38823</v>
      </c>
      <c r="B1001" s="293"/>
      <c r="C1001" s="372"/>
      <c r="D1001" s="198" t="str">
        <f t="shared" si="102"/>
        <v/>
      </c>
      <c r="E1001" s="173"/>
      <c r="F1001" s="173"/>
      <c r="G1001" s="173"/>
      <c r="H1001" s="174"/>
      <c r="I1001" s="175"/>
      <c r="J1001" s="276"/>
      <c r="K1001" s="276"/>
      <c r="L1001" s="276"/>
      <c r="N1001" s="174"/>
      <c r="O1001" s="174"/>
    </row>
    <row r="1002" spans="1:15" s="164" customFormat="1" ht="13.5" customHeight="1" thickTop="1">
      <c r="A1002" s="332">
        <v>38810</v>
      </c>
      <c r="B1002" s="340"/>
      <c r="C1002" s="377"/>
      <c r="D1002" s="261" t="s">
        <v>512</v>
      </c>
      <c r="E1002" s="254"/>
      <c r="F1002" s="254"/>
      <c r="G1002" s="410"/>
      <c r="H1002" s="162"/>
      <c r="I1002" s="163"/>
      <c r="J1002" s="271"/>
      <c r="K1002" s="271"/>
      <c r="L1002" s="271"/>
      <c r="N1002" s="162"/>
      <c r="O1002" s="162"/>
    </row>
    <row r="1003" spans="1:15" s="156" customFormat="1" ht="13.5" customHeight="1">
      <c r="A1003" s="332">
        <v>38811</v>
      </c>
      <c r="B1003" s="340"/>
      <c r="C1003" s="377"/>
      <c r="D1003" s="261"/>
      <c r="E1003" s="254"/>
      <c r="F1003" s="254"/>
      <c r="G1003" s="410"/>
      <c r="H1003" s="154"/>
      <c r="I1003" s="155"/>
      <c r="J1003" s="270"/>
      <c r="K1003" s="270"/>
      <c r="L1003" s="270"/>
      <c r="N1003" s="154"/>
      <c r="O1003" s="154"/>
    </row>
    <row r="1004" spans="1:15" s="156" customFormat="1" ht="13.5" customHeight="1">
      <c r="A1004" s="332">
        <v>38812</v>
      </c>
      <c r="B1004" s="340"/>
      <c r="C1004" s="377"/>
      <c r="D1004" s="261" t="s">
        <v>512</v>
      </c>
      <c r="E1004" s="254"/>
      <c r="F1004" s="254"/>
      <c r="G1004" s="410"/>
      <c r="H1004" s="154"/>
      <c r="I1004" s="155"/>
      <c r="J1004" s="270"/>
      <c r="K1004" s="270"/>
      <c r="L1004" s="270"/>
      <c r="N1004" s="154"/>
      <c r="O1004" s="154"/>
    </row>
    <row r="1005" spans="1:15" s="156" customFormat="1" ht="13.5" customHeight="1">
      <c r="A1005" s="332">
        <v>38813</v>
      </c>
      <c r="B1005" s="340">
        <v>6.9</v>
      </c>
      <c r="C1005" s="377">
        <v>2.1621527777777778E-2</v>
      </c>
      <c r="D1005" s="261">
        <f>IF(B1005&gt;0,C1005/B1005,"")</f>
        <v>3.1335547504025762E-3</v>
      </c>
      <c r="E1005" s="254">
        <v>150</v>
      </c>
      <c r="F1005" s="254">
        <v>160</v>
      </c>
      <c r="G1005" s="254"/>
      <c r="H1005" s="252"/>
      <c r="I1005" s="253">
        <f>IF(D1005&gt;0,(1/(D1005*24)))</f>
        <v>13.296932712381567</v>
      </c>
      <c r="J1005" s="278">
        <f>1/((182/(ConditieGetal!$B$2*(E1005/(I1005*ConditieGetal!$B$2))))*24)*10</f>
        <v>2.5826000690131121E-2</v>
      </c>
      <c r="K1005" s="278">
        <f>$J1005*POWER(21.1/10,1.06)</f>
        <v>5.6989724946244581E-2</v>
      </c>
      <c r="L1005" s="278">
        <f>$J1005*POWER(16.1/10,1.06)</f>
        <v>4.2785103497593568E-2</v>
      </c>
      <c r="N1005" s="154"/>
      <c r="O1005" s="154"/>
    </row>
    <row r="1006" spans="1:15" s="156" customFormat="1" ht="13.5" customHeight="1">
      <c r="A1006" s="332">
        <v>38814</v>
      </c>
      <c r="B1006" s="340"/>
      <c r="C1006" s="377"/>
      <c r="D1006" s="261" t="str">
        <f t="shared" ref="D1006:D1069" si="107">IF(B1006&gt;0,C1006/B1006,"")</f>
        <v/>
      </c>
      <c r="E1006" s="254"/>
      <c r="F1006" s="254"/>
      <c r="G1006" s="410"/>
      <c r="H1006" s="154"/>
      <c r="I1006" s="155"/>
      <c r="J1006" s="270"/>
      <c r="K1006" s="270"/>
      <c r="L1006" s="270"/>
      <c r="N1006" s="154"/>
      <c r="O1006" s="154"/>
    </row>
    <row r="1007" spans="1:15" s="156" customFormat="1" ht="13.5" customHeight="1">
      <c r="A1007" s="332">
        <v>38815</v>
      </c>
      <c r="B1007" s="340">
        <v>8.6999999999999993</v>
      </c>
      <c r="C1007" s="377">
        <v>2.8386574074074074E-2</v>
      </c>
      <c r="D1007" s="261">
        <f t="shared" si="107"/>
        <v>3.2628246062154113E-3</v>
      </c>
      <c r="E1007" s="254">
        <v>141</v>
      </c>
      <c r="F1007" s="254">
        <v>156</v>
      </c>
      <c r="G1007" s="410"/>
      <c r="H1007" s="154"/>
      <c r="I1007" s="255">
        <f>IF(D1007&gt;0,(1/(D1007*24)))</f>
        <v>12.770121503710348</v>
      </c>
      <c r="J1007" s="278">
        <f>1/((182/(ConditieGetal!$B$2*(E1007/(I1007*ConditieGetal!$B$2))))*24)*10</f>
        <v>2.5277926894306205E-2</v>
      </c>
      <c r="K1007" s="278">
        <f>$J1007*POWER(21.1/10,1.06)</f>
        <v>5.5780301340589609E-2</v>
      </c>
      <c r="L1007" s="278">
        <f>$J1007*POWER(16.1/10,1.06)</f>
        <v>4.1877127293300787E-2</v>
      </c>
      <c r="N1007" s="154"/>
      <c r="O1007" s="154"/>
    </row>
    <row r="1008" spans="1:15" s="160" customFormat="1" ht="13.5" customHeight="1" thickBot="1">
      <c r="A1008" s="333">
        <v>38816</v>
      </c>
      <c r="B1008" s="341">
        <v>5.4</v>
      </c>
      <c r="C1008" s="378">
        <v>1.5307870370370369E-2</v>
      </c>
      <c r="D1008" s="261">
        <f t="shared" si="107"/>
        <v>2.8347908093278459E-3</v>
      </c>
      <c r="E1008" s="259">
        <v>169</v>
      </c>
      <c r="F1008" s="259">
        <v>180</v>
      </c>
      <c r="G1008" s="410"/>
      <c r="H1008" s="158"/>
      <c r="I1008" s="255">
        <f>IF(D1008&gt;0,(1/(D1008*24)))</f>
        <v>14.698321487978228</v>
      </c>
      <c r="J1008" s="278">
        <f>1/((182/(ConditieGetal!$B$2*(E1008/(I1008*ConditieGetal!$B$2))))*24)*10</f>
        <v>2.6323057515187136E-2</v>
      </c>
      <c r="K1008" s="278">
        <f>$J1008*POWER(21.1/10,1.06)</f>
        <v>5.808657041149777E-2</v>
      </c>
      <c r="L1008" s="278">
        <f>$J1008*POWER(16.1/10,1.06)</f>
        <v>4.360856152965091E-2</v>
      </c>
      <c r="N1008" s="158"/>
      <c r="O1008" s="158"/>
    </row>
    <row r="1009" spans="1:15" s="168" customFormat="1" ht="13.5" customHeight="1" thickTop="1">
      <c r="A1009" s="334">
        <v>38817</v>
      </c>
      <c r="B1009" s="342">
        <v>11.5</v>
      </c>
      <c r="C1009" s="379">
        <v>3.6648148148148145E-2</v>
      </c>
      <c r="D1009" s="261">
        <f t="shared" si="107"/>
        <v>3.1867954911433171E-3</v>
      </c>
      <c r="E1009" s="258">
        <v>152</v>
      </c>
      <c r="F1009" s="258">
        <v>161</v>
      </c>
      <c r="G1009" s="411"/>
      <c r="H1009" s="166"/>
      <c r="I1009" s="255">
        <f t="shared" ref="I1009:I1062" si="108">IF(D1009&gt;0,(1/(D1009*24)))</f>
        <v>13.074785245073269</v>
      </c>
      <c r="J1009" s="278">
        <f>1/((182/(ConditieGetal!$B$2*(E1009/(I1009*ConditieGetal!$B$2))))*24)*10</f>
        <v>2.6614995310647482E-2</v>
      </c>
      <c r="K1009" s="278">
        <f t="shared" ref="K1009:K1072" si="109">$J1009*POWER(21.1/10,1.06)</f>
        <v>5.8730783770907138E-2</v>
      </c>
      <c r="L1009" s="278">
        <f t="shared" ref="L1009:L1072" si="110">$J1009*POWER(16.1/10,1.06)</f>
        <v>4.4092205472183725E-2</v>
      </c>
      <c r="N1009" s="166"/>
      <c r="O1009" s="166"/>
    </row>
    <row r="1010" spans="1:15" s="172" customFormat="1" ht="13.5" customHeight="1">
      <c r="A1010" s="335">
        <v>38818</v>
      </c>
      <c r="B1010" s="343"/>
      <c r="C1010" s="380"/>
      <c r="D1010" s="261" t="str">
        <f t="shared" si="107"/>
        <v/>
      </c>
      <c r="E1010" s="256"/>
      <c r="F1010" s="256"/>
      <c r="G1010" s="411"/>
      <c r="H1010" s="170"/>
      <c r="I1010" s="255"/>
      <c r="J1010" s="278"/>
      <c r="K1010" s="278"/>
      <c r="L1010" s="278"/>
      <c r="N1010" s="170"/>
      <c r="O1010" s="170"/>
    </row>
    <row r="1011" spans="1:15" s="172" customFormat="1" ht="13.5" customHeight="1">
      <c r="A1011" s="335">
        <v>38819</v>
      </c>
      <c r="B1011" s="343">
        <v>10.4</v>
      </c>
      <c r="C1011" s="380">
        <v>2.9082175925925925E-2</v>
      </c>
      <c r="D1011" s="261">
        <f t="shared" si="107"/>
        <v>2.7963630698005695E-3</v>
      </c>
      <c r="E1011" s="256">
        <v>160</v>
      </c>
      <c r="F1011" s="256">
        <v>174</v>
      </c>
      <c r="G1011" s="411"/>
      <c r="H1011" s="170"/>
      <c r="I1011" s="255">
        <f t="shared" si="108"/>
        <v>14.9003064432682</v>
      </c>
      <c r="J1011" s="278">
        <f>1/((182/(ConditieGetal!$B$2*(E1011/(I1011*ConditieGetal!$B$2))))*24)*10</f>
        <v>2.4583411602642369E-2</v>
      </c>
      <c r="K1011" s="278">
        <f t="shared" si="109"/>
        <v>5.4247728182330243E-2</v>
      </c>
      <c r="L1011" s="278">
        <f t="shared" si="110"/>
        <v>4.0726546179677046E-2</v>
      </c>
      <c r="N1011" s="170"/>
      <c r="O1011" s="170"/>
    </row>
    <row r="1012" spans="1:15" s="172" customFormat="1" ht="13.5" customHeight="1">
      <c r="A1012" s="335">
        <v>38820</v>
      </c>
      <c r="B1012" s="343">
        <v>10.4</v>
      </c>
      <c r="C1012" s="380">
        <v>2.943287037037037E-2</v>
      </c>
      <c r="D1012" s="261">
        <f t="shared" si="107"/>
        <v>2.8300836894586891E-3</v>
      </c>
      <c r="E1012" s="256">
        <v>163</v>
      </c>
      <c r="F1012" s="256">
        <v>175</v>
      </c>
      <c r="G1012" s="411"/>
      <c r="H1012" s="170"/>
      <c r="I1012" s="255">
        <f t="shared" si="108"/>
        <v>14.722768383798664</v>
      </c>
      <c r="J1012" s="278">
        <f>1/((182/(ConditieGetal!$B$2*(E1012/(I1012*ConditieGetal!$B$2))))*24)*10</f>
        <v>2.5346353922075078E-2</v>
      </c>
      <c r="K1012" s="278">
        <f t="shared" si="109"/>
        <v>5.5931297909443858E-2</v>
      </c>
      <c r="L1012" s="278">
        <f t="shared" si="110"/>
        <v>4.1990488146196707E-2</v>
      </c>
      <c r="N1012" s="170"/>
      <c r="O1012" s="170"/>
    </row>
    <row r="1013" spans="1:15" s="172" customFormat="1" ht="13.5" customHeight="1">
      <c r="A1013" s="335">
        <v>38821</v>
      </c>
      <c r="B1013" s="343">
        <v>9.6999999999999993</v>
      </c>
      <c r="C1013" s="380">
        <v>3.4546296296296297E-2</v>
      </c>
      <c r="D1013" s="261">
        <f t="shared" si="107"/>
        <v>3.5614738449789999E-3</v>
      </c>
      <c r="E1013" s="256">
        <v>140</v>
      </c>
      <c r="F1013" s="256">
        <v>146</v>
      </c>
      <c r="G1013" s="411"/>
      <c r="H1013" s="170"/>
      <c r="I1013" s="255">
        <f t="shared" si="108"/>
        <v>11.699276333422674</v>
      </c>
      <c r="J1013" s="278">
        <f>1/((182/(ConditieGetal!$B$2*(E1013/(I1013*ConditieGetal!$B$2))))*24)*10</f>
        <v>2.7395952653684615E-2</v>
      </c>
      <c r="K1013" s="278">
        <f t="shared" si="109"/>
        <v>6.0454106894314449E-2</v>
      </c>
      <c r="L1013" s="278">
        <f t="shared" si="110"/>
        <v>4.5385992348051719E-2</v>
      </c>
      <c r="N1013" s="170"/>
      <c r="O1013" s="170"/>
    </row>
    <row r="1014" spans="1:15" s="172" customFormat="1" ht="13.5" customHeight="1">
      <c r="A1014" s="335">
        <v>38822</v>
      </c>
      <c r="B1014" s="343"/>
      <c r="C1014" s="380"/>
      <c r="D1014" s="261" t="str">
        <f t="shared" si="107"/>
        <v/>
      </c>
      <c r="E1014" s="256"/>
      <c r="F1014" s="256"/>
      <c r="G1014" s="411"/>
      <c r="H1014" s="170"/>
      <c r="I1014" s="255"/>
      <c r="J1014" s="278"/>
      <c r="K1014" s="278"/>
      <c r="L1014" s="278"/>
      <c r="N1014" s="170"/>
      <c r="O1014" s="170"/>
    </row>
    <row r="1015" spans="1:15" s="176" customFormat="1" ht="13.5" customHeight="1" thickBot="1">
      <c r="A1015" s="336">
        <v>38823</v>
      </c>
      <c r="B1015" s="344"/>
      <c r="C1015" s="381"/>
      <c r="D1015" s="261" t="str">
        <f t="shared" si="107"/>
        <v/>
      </c>
      <c r="E1015" s="260"/>
      <c r="F1015" s="260"/>
      <c r="G1015" s="411"/>
      <c r="H1015" s="174"/>
      <c r="I1015" s="255"/>
      <c r="J1015" s="278"/>
      <c r="K1015" s="278"/>
      <c r="L1015" s="278"/>
      <c r="N1015" s="174"/>
      <c r="O1015" s="174"/>
    </row>
    <row r="1016" spans="1:15" s="164" customFormat="1" ht="13.5" customHeight="1" thickTop="1">
      <c r="A1016" s="332">
        <v>38824</v>
      </c>
      <c r="B1016" s="340">
        <v>8.3000000000000007</v>
      </c>
      <c r="C1016" s="377">
        <v>3.0347222222222223E-2</v>
      </c>
      <c r="D1016" s="261">
        <f t="shared" si="107"/>
        <v>3.6562918340026771E-3</v>
      </c>
      <c r="E1016" s="254">
        <v>131</v>
      </c>
      <c r="F1016" s="254">
        <v>139</v>
      </c>
      <c r="G1016" s="410"/>
      <c r="H1016" s="162"/>
      <c r="I1016" s="255">
        <f t="shared" si="108"/>
        <v>11.39588100686499</v>
      </c>
      <c r="J1016" s="278">
        <f>1/((182/(ConditieGetal!$B$2*(E1016/(I1016*ConditieGetal!$B$2))))*24)*10</f>
        <v>2.6317265398590698E-2</v>
      </c>
      <c r="K1016" s="278">
        <f t="shared" si="109"/>
        <v>5.8073789062358654E-2</v>
      </c>
      <c r="L1016" s="278">
        <f t="shared" si="110"/>
        <v>4.3598965916647484E-2</v>
      </c>
      <c r="N1016" s="162"/>
      <c r="O1016" s="162"/>
    </row>
    <row r="1017" spans="1:15" s="156" customFormat="1" ht="13.5" customHeight="1">
      <c r="A1017" s="332">
        <v>38825</v>
      </c>
      <c r="B1017" s="340">
        <v>12.5</v>
      </c>
      <c r="C1017" s="377">
        <v>4.3900462962962961E-2</v>
      </c>
      <c r="D1017" s="261">
        <f t="shared" si="107"/>
        <v>3.512037037037037E-3</v>
      </c>
      <c r="E1017" s="254">
        <v>143</v>
      </c>
      <c r="F1017" s="254">
        <v>175</v>
      </c>
      <c r="G1017" s="410"/>
      <c r="H1017" s="154"/>
      <c r="I1017" s="255">
        <f t="shared" si="108"/>
        <v>11.863959926179806</v>
      </c>
      <c r="J1017" s="278">
        <f>1/((182/(ConditieGetal!$B$2*(E1017/(I1017*ConditieGetal!$B$2))))*24)*10</f>
        <v>2.7594576719576717E-2</v>
      </c>
      <c r="K1017" s="278">
        <f t="shared" si="109"/>
        <v>6.0892406692208488E-2</v>
      </c>
      <c r="L1017" s="278">
        <f t="shared" si="110"/>
        <v>4.5715046440408878E-2</v>
      </c>
      <c r="N1017" s="154"/>
      <c r="O1017" s="154"/>
    </row>
    <row r="1018" spans="1:15" s="156" customFormat="1" ht="13.5" customHeight="1">
      <c r="A1018" s="332">
        <v>38826</v>
      </c>
      <c r="B1018" s="340"/>
      <c r="C1018" s="377"/>
      <c r="D1018" s="261" t="str">
        <f t="shared" si="107"/>
        <v/>
      </c>
      <c r="E1018" s="254"/>
      <c r="F1018" s="254"/>
      <c r="G1018" s="410"/>
      <c r="H1018" s="154"/>
      <c r="I1018" s="255"/>
      <c r="J1018" s="278"/>
      <c r="K1018" s="278"/>
      <c r="L1018" s="278"/>
      <c r="N1018" s="154"/>
      <c r="O1018" s="154"/>
    </row>
    <row r="1019" spans="1:15" s="156" customFormat="1" ht="13.5" customHeight="1">
      <c r="A1019" s="332">
        <v>38827</v>
      </c>
      <c r="B1019" s="340"/>
      <c r="C1019" s="377"/>
      <c r="D1019" s="261" t="str">
        <f t="shared" si="107"/>
        <v/>
      </c>
      <c r="E1019" s="254"/>
      <c r="F1019" s="254"/>
      <c r="G1019" s="410"/>
      <c r="H1019" s="154"/>
      <c r="I1019" s="255"/>
      <c r="J1019" s="278"/>
      <c r="K1019" s="278"/>
      <c r="L1019" s="278"/>
      <c r="N1019" s="154"/>
      <c r="O1019" s="154"/>
    </row>
    <row r="1020" spans="1:15" s="156" customFormat="1" ht="13.5" customHeight="1">
      <c r="A1020" s="332">
        <v>38828</v>
      </c>
      <c r="B1020" s="340"/>
      <c r="C1020" s="377"/>
      <c r="D1020" s="261" t="str">
        <f t="shared" si="107"/>
        <v/>
      </c>
      <c r="E1020" s="254"/>
      <c r="F1020" s="254"/>
      <c r="G1020" s="410"/>
      <c r="H1020" s="154"/>
      <c r="I1020" s="255"/>
      <c r="J1020" s="278"/>
      <c r="K1020" s="278"/>
      <c r="L1020" s="278"/>
      <c r="N1020" s="154"/>
      <c r="O1020" s="154"/>
    </row>
    <row r="1021" spans="1:15" s="156" customFormat="1" ht="13.5" customHeight="1">
      <c r="A1021" s="332">
        <v>38829</v>
      </c>
      <c r="B1021" s="340"/>
      <c r="C1021" s="377"/>
      <c r="D1021" s="261" t="str">
        <f t="shared" si="107"/>
        <v/>
      </c>
      <c r="E1021" s="254"/>
      <c r="F1021" s="254"/>
      <c r="G1021" s="410"/>
      <c r="H1021" s="154"/>
      <c r="I1021" s="255"/>
      <c r="J1021" s="278"/>
      <c r="K1021" s="278"/>
      <c r="L1021" s="278"/>
      <c r="N1021" s="154"/>
      <c r="O1021" s="154"/>
    </row>
    <row r="1022" spans="1:15" s="160" customFormat="1" ht="13.5" customHeight="1" thickBot="1">
      <c r="A1022" s="333">
        <v>38830</v>
      </c>
      <c r="B1022" s="341">
        <v>10.6</v>
      </c>
      <c r="C1022" s="378">
        <v>3.1582175925925923E-2</v>
      </c>
      <c r="D1022" s="261">
        <f t="shared" si="107"/>
        <v>2.9794505590496154E-3</v>
      </c>
      <c r="E1022" s="259">
        <v>159</v>
      </c>
      <c r="F1022" s="259">
        <v>179</v>
      </c>
      <c r="G1022" s="410"/>
      <c r="H1022" s="158"/>
      <c r="I1022" s="255">
        <f t="shared" si="108"/>
        <v>13.984681350093451</v>
      </c>
      <c r="J1022" s="278">
        <f>1/((182/(ConditieGetal!$B$2*(E1022/(I1022*ConditieGetal!$B$2))))*24)*10</f>
        <v>2.6029265873015878E-2</v>
      </c>
      <c r="K1022" s="278">
        <f t="shared" si="109"/>
        <v>5.7438266205216089E-2</v>
      </c>
      <c r="L1022" s="278">
        <f t="shared" si="110"/>
        <v>4.3121846378983829E-2</v>
      </c>
      <c r="N1022" s="158"/>
      <c r="O1022" s="158"/>
    </row>
    <row r="1023" spans="1:15" s="168" customFormat="1" ht="13.5" customHeight="1" thickTop="1">
      <c r="A1023" s="334">
        <v>38831</v>
      </c>
      <c r="B1023" s="342">
        <v>11.7</v>
      </c>
      <c r="C1023" s="379">
        <v>4.1649305555555557E-2</v>
      </c>
      <c r="D1023" s="261">
        <f t="shared" si="107"/>
        <v>3.5597697056030395E-3</v>
      </c>
      <c r="E1023" s="258">
        <v>146</v>
      </c>
      <c r="F1023" s="258">
        <v>158</v>
      </c>
      <c r="G1023" s="411"/>
      <c r="H1023" s="166"/>
      <c r="I1023" s="255">
        <f t="shared" si="108"/>
        <v>11.704877032096704</v>
      </c>
      <c r="J1023" s="278">
        <f>1/((182/(ConditieGetal!$B$2*(E1023/(I1023*ConditieGetal!$B$2))))*24)*10</f>
        <v>2.8556394341650759E-2</v>
      </c>
      <c r="K1023" s="278">
        <f t="shared" si="109"/>
        <v>6.3014830616381801E-2</v>
      </c>
      <c r="L1023" s="278">
        <f t="shared" si="110"/>
        <v>4.7308458715115909E-2</v>
      </c>
      <c r="N1023" s="166"/>
      <c r="O1023" s="166"/>
    </row>
    <row r="1024" spans="1:15" s="172" customFormat="1" ht="13.5" customHeight="1">
      <c r="A1024" s="335">
        <v>38832</v>
      </c>
      <c r="B1024" s="343"/>
      <c r="C1024" s="380"/>
      <c r="D1024" s="261" t="str">
        <f t="shared" si="107"/>
        <v/>
      </c>
      <c r="E1024" s="256"/>
      <c r="F1024" s="256"/>
      <c r="G1024" s="411"/>
      <c r="H1024" s="170"/>
      <c r="I1024" s="255"/>
      <c r="J1024" s="278"/>
      <c r="K1024" s="278"/>
      <c r="L1024" s="278"/>
      <c r="N1024" s="170"/>
      <c r="O1024" s="170"/>
    </row>
    <row r="1025" spans="1:15" s="172" customFormat="1" ht="13.5" customHeight="1">
      <c r="A1025" s="335">
        <v>38833</v>
      </c>
      <c r="B1025" s="343">
        <v>9.8000000000000007</v>
      </c>
      <c r="C1025" s="380">
        <v>3.3980324074074073E-2</v>
      </c>
      <c r="D1025" s="261">
        <f t="shared" si="107"/>
        <v>3.4673800075585787E-3</v>
      </c>
      <c r="E1025" s="256">
        <v>141</v>
      </c>
      <c r="F1025" s="256">
        <v>157</v>
      </c>
      <c r="G1025" s="411"/>
      <c r="H1025" s="170"/>
      <c r="I1025" s="255">
        <f t="shared" si="108"/>
        <v>12.016758063966757</v>
      </c>
      <c r="J1025" s="278">
        <f>1/((182/(ConditieGetal!$B$2*(E1025/(I1025*ConditieGetal!$B$2))))*24)*10</f>
        <v>2.6862669289327457E-2</v>
      </c>
      <c r="K1025" s="278">
        <f t="shared" si="109"/>
        <v>5.9277321041259941E-2</v>
      </c>
      <c r="L1025" s="278">
        <f t="shared" si="110"/>
        <v>4.4502518975177346E-2</v>
      </c>
      <c r="N1025" s="170"/>
      <c r="O1025" s="170"/>
    </row>
    <row r="1026" spans="1:15" s="172" customFormat="1" ht="13.5" customHeight="1">
      <c r="A1026" s="335">
        <v>38834</v>
      </c>
      <c r="B1026" s="343">
        <v>15.1</v>
      </c>
      <c r="C1026" s="380">
        <v>4.1054398148148145E-2</v>
      </c>
      <c r="D1026" s="261">
        <f t="shared" si="107"/>
        <v>2.7188343144468972E-3</v>
      </c>
      <c r="E1026" s="256">
        <v>164</v>
      </c>
      <c r="F1026" s="256">
        <v>177</v>
      </c>
      <c r="G1026" s="411"/>
      <c r="H1026" s="170"/>
      <c r="I1026" s="255">
        <f t="shared" si="108"/>
        <v>15.325195229906122</v>
      </c>
      <c r="J1026" s="278">
        <f>1/((182/(ConditieGetal!$B$2*(E1026/(I1026*ConditieGetal!$B$2))))*24)*10</f>
        <v>2.4499386130180829E-2</v>
      </c>
      <c r="K1026" s="278">
        <f t="shared" si="109"/>
        <v>5.4062310834072709E-2</v>
      </c>
      <c r="L1026" s="278">
        <f t="shared" si="110"/>
        <v>4.0587343885878806E-2</v>
      </c>
      <c r="N1026" s="170"/>
      <c r="O1026" s="170"/>
    </row>
    <row r="1027" spans="1:15" s="172" customFormat="1" ht="13.5" customHeight="1">
      <c r="A1027" s="335">
        <v>38835</v>
      </c>
      <c r="B1027" s="343"/>
      <c r="C1027" s="380"/>
      <c r="D1027" s="261" t="str">
        <f t="shared" si="107"/>
        <v/>
      </c>
      <c r="E1027" s="256"/>
      <c r="F1027" s="256"/>
      <c r="G1027" s="411"/>
      <c r="H1027" s="170"/>
      <c r="I1027" s="255"/>
      <c r="J1027" s="278"/>
      <c r="K1027" s="278"/>
      <c r="L1027" s="278"/>
      <c r="N1027" s="170"/>
      <c r="O1027" s="170"/>
    </row>
    <row r="1028" spans="1:15" s="172" customFormat="1" ht="13.5" customHeight="1">
      <c r="A1028" s="335">
        <v>38836</v>
      </c>
      <c r="B1028" s="343">
        <v>11.2</v>
      </c>
      <c r="C1028" s="380">
        <v>3.6390046296296295E-2</v>
      </c>
      <c r="D1028" s="261">
        <f t="shared" si="107"/>
        <v>3.2491112764550267E-3</v>
      </c>
      <c r="E1028" s="256">
        <v>145</v>
      </c>
      <c r="F1028" s="256">
        <v>152</v>
      </c>
      <c r="G1028" s="411"/>
      <c r="H1028" s="170"/>
      <c r="I1028" s="255">
        <f t="shared" si="108"/>
        <v>12.824019592252153</v>
      </c>
      <c r="J1028" s="278">
        <f>1/((182/(ConditieGetal!$B$2*(E1028/(I1028*ConditieGetal!$B$2))))*24)*10</f>
        <v>2.5885776653075759E-2</v>
      </c>
      <c r="K1028" s="278">
        <f t="shared" si="109"/>
        <v>5.7121631381448608E-2</v>
      </c>
      <c r="L1028" s="278">
        <f t="shared" si="110"/>
        <v>4.288413241004272E-2</v>
      </c>
      <c r="N1028" s="170"/>
      <c r="O1028" s="170"/>
    </row>
    <row r="1029" spans="1:15" s="176" customFormat="1" ht="13.5" customHeight="1" thickBot="1">
      <c r="A1029" s="336">
        <v>38837</v>
      </c>
      <c r="B1029" s="344"/>
      <c r="C1029" s="381"/>
      <c r="D1029" s="261" t="str">
        <f t="shared" si="107"/>
        <v/>
      </c>
      <c r="E1029" s="260"/>
      <c r="F1029" s="260"/>
      <c r="G1029" s="411"/>
      <c r="H1029" s="174"/>
      <c r="I1029" s="255"/>
      <c r="J1029" s="278"/>
      <c r="K1029" s="278"/>
      <c r="L1029" s="278"/>
      <c r="N1029" s="174"/>
      <c r="O1029" s="174"/>
    </row>
    <row r="1030" spans="1:15" s="164" customFormat="1" ht="13.5" customHeight="1" thickTop="1">
      <c r="A1030" s="332">
        <v>38838</v>
      </c>
      <c r="B1030" s="340"/>
      <c r="C1030" s="377"/>
      <c r="D1030" s="261" t="str">
        <f t="shared" si="107"/>
        <v/>
      </c>
      <c r="E1030" s="254"/>
      <c r="F1030" s="254"/>
      <c r="G1030" s="410"/>
      <c r="H1030" s="162"/>
      <c r="I1030" s="255"/>
      <c r="J1030" s="278"/>
      <c r="K1030" s="278"/>
      <c r="L1030" s="278"/>
      <c r="N1030" s="162"/>
      <c r="O1030" s="162"/>
    </row>
    <row r="1031" spans="1:15" s="156" customFormat="1" ht="13.5" customHeight="1">
      <c r="A1031" s="332">
        <v>38839</v>
      </c>
      <c r="B1031" s="340">
        <v>11.7</v>
      </c>
      <c r="C1031" s="377">
        <v>4.0368055555555553E-2</v>
      </c>
      <c r="D1031" s="261">
        <f t="shared" si="107"/>
        <v>3.4502611585944917E-3</v>
      </c>
      <c r="E1031" s="254">
        <v>143</v>
      </c>
      <c r="F1031" s="254">
        <v>173</v>
      </c>
      <c r="G1031" s="410"/>
      <c r="H1031" s="154"/>
      <c r="I1031" s="255">
        <f t="shared" si="108"/>
        <v>12.07638052640633</v>
      </c>
      <c r="J1031" s="278">
        <f>1/((182/(ConditieGetal!$B$2*(E1031/(I1031*ConditieGetal!$B$2))))*24)*10</f>
        <v>2.7109194817528152E-2</v>
      </c>
      <c r="K1031" s="278">
        <f t="shared" si="109"/>
        <v>5.9821324048653729E-2</v>
      </c>
      <c r="L1031" s="278">
        <f t="shared" si="110"/>
        <v>4.4910929877253113E-2</v>
      </c>
      <c r="N1031" s="154"/>
      <c r="O1031" s="154"/>
    </row>
    <row r="1032" spans="1:15" s="156" customFormat="1" ht="13.5" customHeight="1">
      <c r="A1032" s="332">
        <v>38840</v>
      </c>
      <c r="B1032" s="340">
        <v>11.9</v>
      </c>
      <c r="C1032" s="377">
        <v>3.9678240740740736E-2</v>
      </c>
      <c r="D1032" s="261">
        <f t="shared" si="107"/>
        <v>3.3343059446000619E-3</v>
      </c>
      <c r="E1032" s="254">
        <v>147</v>
      </c>
      <c r="F1032" s="254">
        <v>154</v>
      </c>
      <c r="G1032" s="410"/>
      <c r="H1032" s="154"/>
      <c r="I1032" s="255">
        <f t="shared" si="108"/>
        <v>12.496353771658598</v>
      </c>
      <c r="J1032" s="278">
        <f>1/((182/(ConditieGetal!$B$2*(E1032/(I1032*ConditieGetal!$B$2))))*24)*10</f>
        <v>2.6930932629462039E-2</v>
      </c>
      <c r="K1032" s="278">
        <f t="shared" si="109"/>
        <v>5.9427956403848944E-2</v>
      </c>
      <c r="L1032" s="278">
        <f t="shared" si="110"/>
        <v>4.4615608652041859E-2</v>
      </c>
      <c r="N1032" s="154"/>
      <c r="O1032" s="154"/>
    </row>
    <row r="1033" spans="1:15" s="156" customFormat="1" ht="13.5" customHeight="1">
      <c r="A1033" s="332">
        <v>38841</v>
      </c>
      <c r="B1033" s="340">
        <v>14.9</v>
      </c>
      <c r="C1033" s="377">
        <v>4.4752314814814814E-2</v>
      </c>
      <c r="D1033" s="261">
        <f t="shared" si="107"/>
        <v>3.0035110613969673E-3</v>
      </c>
      <c r="E1033" s="254">
        <v>158</v>
      </c>
      <c r="F1033" s="254">
        <v>176</v>
      </c>
      <c r="G1033" s="410"/>
      <c r="H1033" s="154"/>
      <c r="I1033" s="255">
        <f t="shared" si="108"/>
        <v>13.872652976775463</v>
      </c>
      <c r="J1033" s="278">
        <f>1/((182/(ConditieGetal!$B$2*(E1033/(I1033*ConditieGetal!$B$2))))*24)*10</f>
        <v>2.6074436686852789E-2</v>
      </c>
      <c r="K1033" s="278">
        <f t="shared" si="109"/>
        <v>5.7537943746739095E-2</v>
      </c>
      <c r="L1033" s="278">
        <f t="shared" si="110"/>
        <v>4.3196679411332553E-2</v>
      </c>
      <c r="N1033" s="154"/>
      <c r="O1033" s="154"/>
    </row>
    <row r="1034" spans="1:15" s="156" customFormat="1" ht="13.5" customHeight="1">
      <c r="A1034" s="332">
        <v>38842</v>
      </c>
      <c r="B1034" s="340"/>
      <c r="C1034" s="377"/>
      <c r="D1034" s="261" t="str">
        <f t="shared" si="107"/>
        <v/>
      </c>
      <c r="E1034" s="254"/>
      <c r="F1034" s="254"/>
      <c r="G1034" s="410"/>
      <c r="H1034" s="154"/>
      <c r="I1034" s="255"/>
      <c r="J1034" s="278"/>
      <c r="K1034" s="278"/>
      <c r="L1034" s="278"/>
      <c r="N1034" s="154"/>
      <c r="O1034" s="154"/>
    </row>
    <row r="1035" spans="1:15" s="156" customFormat="1" ht="13.5" customHeight="1">
      <c r="A1035" s="332">
        <v>38843</v>
      </c>
      <c r="B1035" s="340"/>
      <c r="C1035" s="377"/>
      <c r="D1035" s="261" t="str">
        <f t="shared" si="107"/>
        <v/>
      </c>
      <c r="E1035" s="254"/>
      <c r="F1035" s="254"/>
      <c r="G1035" s="410"/>
      <c r="H1035" s="154"/>
      <c r="I1035" s="255"/>
      <c r="J1035" s="278"/>
      <c r="K1035" s="278"/>
      <c r="L1035" s="278"/>
      <c r="N1035" s="154"/>
      <c r="O1035" s="154"/>
    </row>
    <row r="1036" spans="1:15" s="160" customFormat="1" ht="13.5" customHeight="1" thickBot="1">
      <c r="A1036" s="333">
        <v>38844</v>
      </c>
      <c r="B1036" s="341"/>
      <c r="C1036" s="378"/>
      <c r="D1036" s="261" t="str">
        <f t="shared" si="107"/>
        <v/>
      </c>
      <c r="E1036" s="259"/>
      <c r="F1036" s="259"/>
      <c r="G1036" s="410"/>
      <c r="H1036" s="158"/>
      <c r="I1036" s="255"/>
      <c r="J1036" s="278"/>
      <c r="K1036" s="278"/>
      <c r="L1036" s="278"/>
      <c r="N1036" s="158"/>
      <c r="O1036" s="158"/>
    </row>
    <row r="1037" spans="1:15" s="168" customFormat="1" ht="13.5" customHeight="1" thickTop="1">
      <c r="A1037" s="334">
        <v>38845</v>
      </c>
      <c r="B1037" s="342">
        <v>7.6</v>
      </c>
      <c r="C1037" s="379">
        <v>2.5327546296296296E-2</v>
      </c>
      <c r="D1037" s="261">
        <f t="shared" si="107"/>
        <v>3.332571881091618E-3</v>
      </c>
      <c r="E1037" s="258">
        <v>141</v>
      </c>
      <c r="F1037" s="258">
        <v>164</v>
      </c>
      <c r="G1037" s="411"/>
      <c r="H1037" s="166"/>
      <c r="I1037" s="255">
        <f t="shared" si="108"/>
        <v>12.502856098341178</v>
      </c>
      <c r="J1037" s="278">
        <f>1/((182/(ConditieGetal!$B$2*(E1037/(I1037*ConditieGetal!$B$2))))*24)*10</f>
        <v>2.5818276661204287E-2</v>
      </c>
      <c r="K1037" s="278">
        <f t="shared" si="109"/>
        <v>5.6972680484374601E-2</v>
      </c>
      <c r="L1037" s="278">
        <f t="shared" si="110"/>
        <v>4.2772307347658543E-2</v>
      </c>
      <c r="N1037" s="166"/>
      <c r="O1037" s="166"/>
    </row>
    <row r="1038" spans="1:15" s="172" customFormat="1" ht="13.5" customHeight="1">
      <c r="A1038" s="335">
        <v>38846</v>
      </c>
      <c r="B1038" s="343">
        <v>14.6</v>
      </c>
      <c r="C1038" s="380">
        <v>5.3128472222222223E-2</v>
      </c>
      <c r="D1038" s="261">
        <f t="shared" si="107"/>
        <v>3.6389364535768646E-3</v>
      </c>
      <c r="E1038" s="256">
        <v>138</v>
      </c>
      <c r="F1038" s="256">
        <v>171</v>
      </c>
      <c r="G1038" s="411"/>
      <c r="H1038" s="170"/>
      <c r="I1038" s="255">
        <f t="shared" si="108"/>
        <v>11.450232010979674</v>
      </c>
      <c r="J1038" s="278">
        <f>1/((182/(ConditieGetal!$B$2*(E1038/(I1038*ConditieGetal!$B$2))))*24)*10</f>
        <v>2.75919357469015E-2</v>
      </c>
      <c r="K1038" s="278">
        <f t="shared" si="109"/>
        <v>6.0886578910038222E-2</v>
      </c>
      <c r="L1038" s="278">
        <f t="shared" si="110"/>
        <v>4.5710671226042582E-2</v>
      </c>
      <c r="N1038" s="170"/>
      <c r="O1038" s="170"/>
    </row>
    <row r="1039" spans="1:15" s="172" customFormat="1" ht="13.5" customHeight="1">
      <c r="A1039" s="335">
        <v>38847</v>
      </c>
      <c r="B1039" s="343"/>
      <c r="C1039" s="380"/>
      <c r="D1039" s="261" t="str">
        <f t="shared" si="107"/>
        <v/>
      </c>
      <c r="E1039" s="256"/>
      <c r="F1039" s="256"/>
      <c r="G1039" s="411"/>
      <c r="H1039" s="170"/>
      <c r="I1039" s="255"/>
      <c r="J1039" s="278"/>
      <c r="K1039" s="278"/>
      <c r="L1039" s="278"/>
      <c r="N1039" s="170"/>
      <c r="O1039" s="170"/>
    </row>
    <row r="1040" spans="1:15" s="172" customFormat="1" ht="13.5" customHeight="1">
      <c r="A1040" s="335">
        <v>38848</v>
      </c>
      <c r="B1040" s="343">
        <v>12.8</v>
      </c>
      <c r="C1040" s="380">
        <v>3.8031250000000003E-2</v>
      </c>
      <c r="D1040" s="261">
        <f t="shared" si="107"/>
        <v>2.97119140625E-3</v>
      </c>
      <c r="E1040" s="438" t="s">
        <v>513</v>
      </c>
      <c r="F1040" s="439"/>
      <c r="G1040" s="412"/>
      <c r="H1040" s="170"/>
      <c r="I1040" s="255"/>
      <c r="J1040" s="278"/>
      <c r="K1040" s="278"/>
      <c r="L1040" s="278"/>
      <c r="N1040" s="170"/>
      <c r="O1040" s="170"/>
    </row>
    <row r="1041" spans="1:15" s="172" customFormat="1" ht="13.5" customHeight="1">
      <c r="A1041" s="335">
        <v>38849</v>
      </c>
      <c r="B1041" s="343"/>
      <c r="C1041" s="380"/>
      <c r="D1041" s="261" t="str">
        <f t="shared" si="107"/>
        <v/>
      </c>
      <c r="E1041" s="256"/>
      <c r="F1041" s="256"/>
      <c r="G1041" s="411"/>
      <c r="H1041" s="170"/>
      <c r="I1041" s="255"/>
      <c r="J1041" s="278"/>
      <c r="K1041" s="278"/>
      <c r="L1041" s="278"/>
      <c r="N1041" s="170"/>
      <c r="O1041" s="170"/>
    </row>
    <row r="1042" spans="1:15" s="172" customFormat="1" ht="13.5" customHeight="1">
      <c r="A1042" s="335">
        <v>38850</v>
      </c>
      <c r="B1042" s="343"/>
      <c r="C1042" s="380"/>
      <c r="D1042" s="261" t="str">
        <f t="shared" si="107"/>
        <v/>
      </c>
      <c r="E1042" s="256"/>
      <c r="F1042" s="256"/>
      <c r="G1042" s="411"/>
      <c r="H1042" s="170"/>
      <c r="I1042" s="255"/>
      <c r="J1042" s="278"/>
      <c r="K1042" s="278"/>
      <c r="L1042" s="278"/>
      <c r="N1042" s="170"/>
      <c r="O1042" s="170"/>
    </row>
    <row r="1043" spans="1:15" s="176" customFormat="1" ht="13.5" customHeight="1" thickBot="1">
      <c r="A1043" s="336">
        <v>38851</v>
      </c>
      <c r="B1043" s="344">
        <v>9.6999999999999993</v>
      </c>
      <c r="C1043" s="381">
        <v>3.469097222222222E-2</v>
      </c>
      <c r="D1043" s="261">
        <f t="shared" si="107"/>
        <v>3.5763888888888889E-3</v>
      </c>
      <c r="E1043" s="260">
        <v>148</v>
      </c>
      <c r="F1043" s="260">
        <v>168</v>
      </c>
      <c r="G1043" s="411"/>
      <c r="H1043" s="174"/>
      <c r="I1043" s="255">
        <f t="shared" si="108"/>
        <v>11.650485436893204</v>
      </c>
      <c r="J1043" s="278">
        <f>1/((182/(ConditieGetal!$B$2*(E1043/(I1043*ConditieGetal!$B$2))))*24)*10</f>
        <v>2.9082722832722827E-2</v>
      </c>
      <c r="K1043" s="278">
        <f t="shared" si="109"/>
        <v>6.4176269288108892E-2</v>
      </c>
      <c r="L1043" s="278">
        <f t="shared" si="110"/>
        <v>4.8180410173432713E-2</v>
      </c>
      <c r="N1043" s="174"/>
      <c r="O1043" s="174"/>
    </row>
    <row r="1044" spans="1:15" s="164" customFormat="1" ht="13.5" customHeight="1" thickTop="1">
      <c r="A1044" s="332">
        <v>38852</v>
      </c>
      <c r="B1044" s="340"/>
      <c r="C1044" s="377"/>
      <c r="D1044" s="261" t="str">
        <f t="shared" si="107"/>
        <v/>
      </c>
      <c r="E1044" s="254"/>
      <c r="F1044" s="254"/>
      <c r="G1044" s="410"/>
      <c r="H1044" s="162"/>
      <c r="I1044" s="255"/>
      <c r="J1044" s="278"/>
      <c r="K1044" s="278"/>
      <c r="L1044" s="278"/>
      <c r="N1044" s="162"/>
      <c r="O1044" s="162"/>
    </row>
    <row r="1045" spans="1:15" s="156" customFormat="1" ht="13.5" customHeight="1">
      <c r="A1045" s="332">
        <v>38853</v>
      </c>
      <c r="B1045" s="340">
        <v>13.6</v>
      </c>
      <c r="C1045" s="377">
        <v>5.0157407407407407E-2</v>
      </c>
      <c r="D1045" s="261">
        <f t="shared" si="107"/>
        <v>3.6880446623093685E-3</v>
      </c>
      <c r="E1045" s="254">
        <v>141</v>
      </c>
      <c r="F1045" s="254">
        <v>175</v>
      </c>
      <c r="G1045" s="410"/>
      <c r="H1045" s="154"/>
      <c r="I1045" s="255">
        <f t="shared" si="108"/>
        <v>11.29776629130515</v>
      </c>
      <c r="J1045" s="278">
        <f>1/((182/(ConditieGetal!$B$2*(E1045/(I1045*ConditieGetal!$B$2))))*24)*10</f>
        <v>2.8572214142067079E-2</v>
      </c>
      <c r="K1045" s="278">
        <f t="shared" si="109"/>
        <v>6.3049739857082593E-2</v>
      </c>
      <c r="L1045" s="278">
        <f t="shared" si="110"/>
        <v>4.7334666868915819E-2</v>
      </c>
      <c r="N1045" s="154"/>
      <c r="O1045" s="154"/>
    </row>
    <row r="1046" spans="1:15" s="156" customFormat="1" ht="13.5" customHeight="1">
      <c r="A1046" s="332">
        <v>38854</v>
      </c>
      <c r="B1046" s="340"/>
      <c r="C1046" s="377"/>
      <c r="D1046" s="261" t="str">
        <f t="shared" si="107"/>
        <v/>
      </c>
      <c r="E1046" s="254"/>
      <c r="F1046" s="254"/>
      <c r="G1046" s="410"/>
      <c r="H1046" s="154"/>
      <c r="I1046" s="255"/>
      <c r="J1046" s="278"/>
      <c r="K1046" s="278"/>
      <c r="L1046" s="278"/>
      <c r="N1046" s="154"/>
      <c r="O1046" s="154"/>
    </row>
    <row r="1047" spans="1:15" s="156" customFormat="1" ht="13.5" customHeight="1">
      <c r="A1047" s="332">
        <v>38855</v>
      </c>
      <c r="B1047" s="340">
        <v>14.7</v>
      </c>
      <c r="C1047" s="377">
        <v>4.1674768518518514E-2</v>
      </c>
      <c r="D1047" s="261">
        <f t="shared" si="107"/>
        <v>2.8350182665658856E-3</v>
      </c>
      <c r="E1047" s="254">
        <v>165</v>
      </c>
      <c r="F1047" s="254">
        <v>177</v>
      </c>
      <c r="G1047" s="410"/>
      <c r="H1047" s="154"/>
      <c r="I1047" s="255">
        <f t="shared" si="108"/>
        <v>14.697142222345654</v>
      </c>
      <c r="J1047" s="278">
        <f>1/((182/(ConditieGetal!$B$2*(E1047/(I1047*ConditieGetal!$B$2))))*24)*10</f>
        <v>2.5702088680405008E-2</v>
      </c>
      <c r="K1047" s="278">
        <f t="shared" si="109"/>
        <v>5.6716290765065847E-2</v>
      </c>
      <c r="L1047" s="278">
        <f t="shared" si="110"/>
        <v>4.2579822462239438E-2</v>
      </c>
      <c r="N1047" s="154"/>
      <c r="O1047" s="154"/>
    </row>
    <row r="1048" spans="1:15" s="156" customFormat="1" ht="13.5" customHeight="1">
      <c r="A1048" s="332">
        <v>38856</v>
      </c>
      <c r="B1048" s="340">
        <v>10.9</v>
      </c>
      <c r="C1048" s="377">
        <v>3.7099537037037035E-2</v>
      </c>
      <c r="D1048" s="261">
        <f t="shared" si="107"/>
        <v>3.4036272511043151E-3</v>
      </c>
      <c r="E1048" s="254">
        <v>142</v>
      </c>
      <c r="F1048" s="254">
        <v>154</v>
      </c>
      <c r="G1048" s="410"/>
      <c r="H1048" s="154"/>
      <c r="I1048" s="255">
        <f t="shared" si="108"/>
        <v>12.241841891807576</v>
      </c>
      <c r="J1048" s="278">
        <f>1/((182/(ConditieGetal!$B$2*(E1048/(I1048*ConditieGetal!$B$2))))*24)*10</f>
        <v>2.6555773058066636E-2</v>
      </c>
      <c r="K1048" s="278">
        <f t="shared" si="109"/>
        <v>5.8600099197411826E-2</v>
      </c>
      <c r="L1048" s="278">
        <f t="shared" si="110"/>
        <v>4.3994093873859469E-2</v>
      </c>
      <c r="N1048" s="154"/>
      <c r="O1048" s="154"/>
    </row>
    <row r="1049" spans="1:15" s="156" customFormat="1" ht="13.5" customHeight="1">
      <c r="A1049" s="332">
        <v>38857</v>
      </c>
      <c r="B1049" s="340"/>
      <c r="C1049" s="377"/>
      <c r="D1049" s="261" t="str">
        <f t="shared" si="107"/>
        <v/>
      </c>
      <c r="E1049" s="254"/>
      <c r="F1049" s="254"/>
      <c r="G1049" s="410"/>
      <c r="H1049" s="154"/>
      <c r="I1049" s="255"/>
      <c r="J1049" s="278"/>
      <c r="K1049" s="278"/>
      <c r="L1049" s="278"/>
      <c r="N1049" s="154"/>
      <c r="O1049" s="154"/>
    </row>
    <row r="1050" spans="1:15" s="160" customFormat="1" ht="13.5" customHeight="1" thickBot="1">
      <c r="A1050" s="333">
        <v>38858</v>
      </c>
      <c r="B1050" s="341">
        <v>12.3</v>
      </c>
      <c r="C1050" s="378">
        <v>3.905671296296296E-2</v>
      </c>
      <c r="D1050" s="261">
        <f t="shared" si="107"/>
        <v>3.1753425173140616E-3</v>
      </c>
      <c r="E1050" s="259">
        <v>148</v>
      </c>
      <c r="F1050" s="259">
        <v>164</v>
      </c>
      <c r="G1050" s="410"/>
      <c r="H1050" s="158"/>
      <c r="I1050" s="255">
        <f t="shared" si="108"/>
        <v>13.121943991702475</v>
      </c>
      <c r="J1050" s="278">
        <f>1/((182/(ConditieGetal!$B$2*(E1050/(I1050*ConditieGetal!$B$2))))*24)*10</f>
        <v>2.5821466624312159E-2</v>
      </c>
      <c r="K1050" s="278">
        <f t="shared" si="109"/>
        <v>5.6979719712874882E-2</v>
      </c>
      <c r="L1050" s="278">
        <f t="shared" si="110"/>
        <v>4.2777592056791845E-2</v>
      </c>
      <c r="N1050" s="158"/>
      <c r="O1050" s="158"/>
    </row>
    <row r="1051" spans="1:15" s="168" customFormat="1" ht="13.5" customHeight="1" thickTop="1">
      <c r="A1051" s="421"/>
      <c r="B1051" s="345"/>
      <c r="C1051" s="382"/>
      <c r="D1051" s="261" t="str">
        <f t="shared" si="107"/>
        <v/>
      </c>
      <c r="E1051" s="32"/>
      <c r="F1051" s="32"/>
      <c r="G1051" s="32"/>
      <c r="H1051" s="166"/>
      <c r="I1051" s="255"/>
      <c r="J1051" s="278"/>
      <c r="K1051" s="278"/>
      <c r="L1051" s="278"/>
      <c r="N1051" s="166"/>
      <c r="O1051" s="166"/>
    </row>
    <row r="1052" spans="1:15" s="172" customFormat="1" ht="13.5" customHeight="1">
      <c r="A1052" s="421"/>
      <c r="B1052" s="345"/>
      <c r="C1052" s="382"/>
      <c r="D1052" s="261" t="str">
        <f t="shared" si="107"/>
        <v/>
      </c>
      <c r="E1052" s="32"/>
      <c r="F1052" s="32"/>
      <c r="G1052" s="32"/>
      <c r="H1052" s="170"/>
      <c r="I1052" s="255"/>
      <c r="J1052" s="278"/>
      <c r="K1052" s="278"/>
      <c r="L1052" s="278"/>
      <c r="N1052" s="170"/>
      <c r="O1052" s="170"/>
    </row>
    <row r="1053" spans="1:15" s="172" customFormat="1" ht="13.5" customHeight="1">
      <c r="A1053" s="332">
        <v>39125</v>
      </c>
      <c r="B1053" s="340"/>
      <c r="C1053" s="377"/>
      <c r="D1053" s="261" t="str">
        <f t="shared" si="107"/>
        <v/>
      </c>
      <c r="E1053" s="254"/>
      <c r="F1053" s="254"/>
      <c r="G1053" s="410"/>
      <c r="H1053" s="170"/>
      <c r="I1053" s="255"/>
      <c r="J1053" s="278"/>
      <c r="K1053" s="278"/>
      <c r="L1053" s="278"/>
      <c r="N1053" s="170"/>
      <c r="O1053" s="170"/>
    </row>
    <row r="1054" spans="1:15" s="172" customFormat="1" ht="13.5" customHeight="1">
      <c r="A1054" s="332">
        <v>39126</v>
      </c>
      <c r="B1054" s="340"/>
      <c r="C1054" s="377"/>
      <c r="D1054" s="261" t="str">
        <f t="shared" si="107"/>
        <v/>
      </c>
      <c r="E1054" s="254"/>
      <c r="F1054" s="254"/>
      <c r="G1054" s="410"/>
      <c r="H1054" s="170"/>
      <c r="I1054" s="255"/>
      <c r="J1054" s="278"/>
      <c r="K1054" s="278"/>
      <c r="L1054" s="278"/>
      <c r="N1054" s="170"/>
      <c r="O1054" s="170"/>
    </row>
    <row r="1055" spans="1:15" s="172" customFormat="1" ht="13.5" customHeight="1">
      <c r="A1055" s="332">
        <v>39127</v>
      </c>
      <c r="B1055" s="340"/>
      <c r="C1055" s="377"/>
      <c r="D1055" s="261" t="str">
        <f t="shared" si="107"/>
        <v/>
      </c>
      <c r="E1055" s="254"/>
      <c r="F1055" s="254"/>
      <c r="G1055" s="410"/>
      <c r="H1055" s="170"/>
      <c r="I1055" s="255"/>
      <c r="J1055" s="278"/>
      <c r="K1055" s="278"/>
      <c r="L1055" s="278"/>
      <c r="N1055" s="170"/>
      <c r="O1055" s="170"/>
    </row>
    <row r="1056" spans="1:15" s="172" customFormat="1" ht="13.5" customHeight="1">
      <c r="A1056" s="332">
        <v>39128</v>
      </c>
      <c r="B1056" s="340"/>
      <c r="C1056" s="377"/>
      <c r="D1056" s="261" t="str">
        <f t="shared" si="107"/>
        <v/>
      </c>
      <c r="E1056" s="254"/>
      <c r="F1056" s="254"/>
      <c r="G1056" s="410"/>
      <c r="H1056" s="170"/>
      <c r="I1056" s="255"/>
      <c r="J1056" s="278"/>
      <c r="K1056" s="278"/>
      <c r="L1056" s="278"/>
      <c r="N1056" s="170"/>
      <c r="O1056" s="170"/>
    </row>
    <row r="1057" spans="1:15" s="176" customFormat="1" ht="13.5" customHeight="1" thickBot="1">
      <c r="A1057" s="332">
        <v>39129</v>
      </c>
      <c r="B1057" s="340"/>
      <c r="C1057" s="377"/>
      <c r="D1057" s="261" t="str">
        <f t="shared" si="107"/>
        <v/>
      </c>
      <c r="E1057" s="254"/>
      <c r="F1057" s="254"/>
      <c r="G1057" s="410"/>
      <c r="H1057" s="174"/>
      <c r="I1057" s="255"/>
      <c r="J1057" s="278"/>
      <c r="K1057" s="278"/>
      <c r="L1057" s="278"/>
      <c r="N1057" s="174"/>
      <c r="O1057" s="174"/>
    </row>
    <row r="1058" spans="1:15" s="164" customFormat="1" ht="13.5" customHeight="1" thickTop="1">
      <c r="A1058" s="332">
        <v>39130</v>
      </c>
      <c r="B1058" s="340"/>
      <c r="C1058" s="377"/>
      <c r="D1058" s="261" t="str">
        <f t="shared" si="107"/>
        <v/>
      </c>
      <c r="E1058" s="254"/>
      <c r="F1058" s="254"/>
      <c r="G1058" s="410"/>
      <c r="H1058" s="162"/>
      <c r="I1058" s="255"/>
      <c r="J1058" s="278"/>
      <c r="K1058" s="278"/>
      <c r="L1058" s="278"/>
      <c r="N1058" s="162"/>
      <c r="O1058" s="162"/>
    </row>
    <row r="1059" spans="1:15" s="156" customFormat="1" ht="13.5" customHeight="1" thickBot="1">
      <c r="A1059" s="333">
        <v>39131</v>
      </c>
      <c r="B1059" s="341">
        <v>11.3</v>
      </c>
      <c r="C1059" s="378">
        <v>3.6092592592592593E-2</v>
      </c>
      <c r="D1059" s="261">
        <f t="shared" si="107"/>
        <v>3.194034742707309E-3</v>
      </c>
      <c r="E1059" s="259">
        <v>156</v>
      </c>
      <c r="F1059" s="259">
        <v>178</v>
      </c>
      <c r="G1059" s="410"/>
      <c r="H1059" s="154"/>
      <c r="I1059" s="255">
        <f t="shared" si="108"/>
        <v>13.045151359671626</v>
      </c>
      <c r="J1059" s="278">
        <f>1/((182/(ConditieGetal!$B$2*(E1059/(I1059*ConditieGetal!$B$2))))*24)*10</f>
        <v>2.737744065177693E-2</v>
      </c>
      <c r="K1059" s="278">
        <f t="shared" si="109"/>
        <v>6.0413256825827988E-2</v>
      </c>
      <c r="L1059" s="278">
        <f t="shared" si="110"/>
        <v>4.5355324110755858E-2</v>
      </c>
      <c r="N1059" s="154"/>
      <c r="O1059" s="154"/>
    </row>
    <row r="1060" spans="1:15" s="156" customFormat="1" ht="13.5" customHeight="1">
      <c r="A1060" s="334">
        <v>39132</v>
      </c>
      <c r="B1060" s="342"/>
      <c r="C1060" s="379"/>
      <c r="D1060" s="261" t="str">
        <f t="shared" si="107"/>
        <v/>
      </c>
      <c r="E1060" s="258"/>
      <c r="F1060" s="258"/>
      <c r="G1060" s="411"/>
      <c r="H1060" s="154"/>
      <c r="I1060" s="255"/>
      <c r="J1060" s="278"/>
      <c r="K1060" s="278"/>
      <c r="L1060" s="278"/>
      <c r="N1060" s="154"/>
      <c r="O1060" s="154"/>
    </row>
    <row r="1061" spans="1:15" s="156" customFormat="1" ht="13.5" customHeight="1">
      <c r="A1061" s="335">
        <v>39133</v>
      </c>
      <c r="B1061" s="343">
        <v>11.1</v>
      </c>
      <c r="C1061" s="380">
        <v>3.367708333333333E-2</v>
      </c>
      <c r="D1061" s="261">
        <f t="shared" si="107"/>
        <v>3.0339714714714711E-3</v>
      </c>
      <c r="E1061" s="256">
        <v>166</v>
      </c>
      <c r="F1061" s="256">
        <v>193</v>
      </c>
      <c r="G1061" s="411"/>
      <c r="H1061" s="154"/>
      <c r="I1061" s="255">
        <f t="shared" si="108"/>
        <v>13.733374574698423</v>
      </c>
      <c r="J1061" s="278">
        <f>1/((182/(ConditieGetal!$B$2*(E1061/(I1061*ConditieGetal!$B$2))))*24)*10</f>
        <v>2.7672487047487045E-2</v>
      </c>
      <c r="K1061" s="278">
        <f t="shared" si="109"/>
        <v>6.1064329871927829E-2</v>
      </c>
      <c r="L1061" s="278">
        <f t="shared" si="110"/>
        <v>4.5844117971195621E-2</v>
      </c>
      <c r="N1061" s="154"/>
      <c r="O1061" s="154"/>
    </row>
    <row r="1062" spans="1:15" s="156" customFormat="1" ht="13.5" customHeight="1">
      <c r="A1062" s="335">
        <v>39134</v>
      </c>
      <c r="B1062" s="343">
        <v>11.2</v>
      </c>
      <c r="C1062" s="380">
        <v>3.7725694444444451E-2</v>
      </c>
      <c r="D1062" s="261">
        <f t="shared" si="107"/>
        <v>3.368365575396826E-3</v>
      </c>
      <c r="E1062" s="256">
        <v>149</v>
      </c>
      <c r="F1062" s="256">
        <v>158</v>
      </c>
      <c r="G1062" s="411"/>
      <c r="H1062" s="154"/>
      <c r="I1062" s="255">
        <f t="shared" si="108"/>
        <v>12.369995398067186</v>
      </c>
      <c r="J1062" s="278">
        <f>1/((182/(ConditieGetal!$B$2*(E1062/(I1062*ConditieGetal!$B$2))))*24)*10</f>
        <v>2.7576179710666324E-2</v>
      </c>
      <c r="K1062" s="278">
        <f t="shared" si="109"/>
        <v>6.0851810376494862E-2</v>
      </c>
      <c r="L1062" s="278">
        <f t="shared" si="110"/>
        <v>4.5684568708307748E-2</v>
      </c>
      <c r="N1062" s="154"/>
      <c r="O1062" s="154"/>
    </row>
    <row r="1063" spans="1:15" s="156" customFormat="1" ht="13.5" customHeight="1">
      <c r="A1063" s="335">
        <v>39135</v>
      </c>
      <c r="B1063" s="343"/>
      <c r="C1063" s="380"/>
      <c r="D1063" s="261" t="str">
        <f t="shared" si="107"/>
        <v/>
      </c>
      <c r="E1063" s="256"/>
      <c r="F1063" s="256"/>
      <c r="G1063" s="411"/>
      <c r="H1063" s="154"/>
      <c r="I1063" s="155"/>
      <c r="J1063" s="270"/>
      <c r="K1063" s="270"/>
      <c r="L1063" s="270"/>
      <c r="N1063" s="154"/>
      <c r="O1063" s="154"/>
    </row>
    <row r="1064" spans="1:15" s="160" customFormat="1" ht="13.5" customHeight="1" thickBot="1">
      <c r="A1064" s="335">
        <v>39136</v>
      </c>
      <c r="B1064" s="343"/>
      <c r="C1064" s="380"/>
      <c r="D1064" s="261" t="str">
        <f t="shared" si="107"/>
        <v/>
      </c>
      <c r="E1064" s="256"/>
      <c r="F1064" s="256"/>
      <c r="G1064" s="411"/>
      <c r="H1064" s="158"/>
      <c r="I1064" s="159"/>
      <c r="J1064" s="272"/>
      <c r="K1064" s="272"/>
      <c r="L1064" s="272"/>
      <c r="N1064" s="158"/>
      <c r="O1064" s="158"/>
    </row>
    <row r="1065" spans="1:15" s="168" customFormat="1" ht="13.5" customHeight="1" thickTop="1">
      <c r="A1065" s="335">
        <v>39137</v>
      </c>
      <c r="B1065" s="343">
        <v>13.4</v>
      </c>
      <c r="C1065" s="380">
        <v>4.3849537037037034E-2</v>
      </c>
      <c r="D1065" s="261">
        <f t="shared" si="107"/>
        <v>3.2723535102266443E-3</v>
      </c>
      <c r="E1065" s="256">
        <v>157</v>
      </c>
      <c r="F1065" s="256">
        <v>184</v>
      </c>
      <c r="G1065" s="411"/>
      <c r="H1065" s="166"/>
      <c r="I1065" s="167">
        <f t="shared" ref="I1065:I1126" si="111">IF(D1065&gt;0,(1/(D1065*24)))</f>
        <v>12.732935649052422</v>
      </c>
      <c r="J1065" s="273">
        <f>1/((182/(ConditieGetal!$B$2*(E1065/(I1065*ConditieGetal!$B$2))))*24)*10</f>
        <v>2.8228544016790282E-2</v>
      </c>
      <c r="K1065" s="273">
        <f t="shared" si="109"/>
        <v>6.2291369788609295E-2</v>
      </c>
      <c r="L1065" s="273">
        <f t="shared" si="110"/>
        <v>4.676531964185493E-2</v>
      </c>
      <c r="N1065" s="166"/>
      <c r="O1065" s="166"/>
    </row>
    <row r="1066" spans="1:15" s="172" customFormat="1" ht="13.5" customHeight="1" thickBot="1">
      <c r="A1066" s="336">
        <v>39138</v>
      </c>
      <c r="B1066" s="344">
        <v>11.1</v>
      </c>
      <c r="C1066" s="381">
        <v>3.202199074074074E-2</v>
      </c>
      <c r="D1066" s="261">
        <f t="shared" si="107"/>
        <v>2.8848640306973639E-3</v>
      </c>
      <c r="E1066" s="260">
        <v>167</v>
      </c>
      <c r="F1066" s="260">
        <v>187</v>
      </c>
      <c r="G1066" s="411"/>
      <c r="H1066" s="170"/>
      <c r="I1066" s="171">
        <f t="shared" si="111"/>
        <v>14.443199479524344</v>
      </c>
      <c r="J1066" s="274">
        <f>1/((182/(ConditieGetal!$B$2*(E1066/(I1066*ConditieGetal!$B$2))))*24)*10</f>
        <v>2.6471005116838444E-2</v>
      </c>
      <c r="K1066" s="274">
        <f t="shared" si="109"/>
        <v>5.8413043458011182E-2</v>
      </c>
      <c r="L1066" s="274">
        <f t="shared" si="110"/>
        <v>4.3853661555970154E-2</v>
      </c>
      <c r="N1066" s="170"/>
      <c r="O1066" s="170"/>
    </row>
    <row r="1067" spans="1:15" s="172" customFormat="1" ht="13.5" customHeight="1">
      <c r="A1067" s="332">
        <v>39139</v>
      </c>
      <c r="B1067" s="340"/>
      <c r="C1067" s="377"/>
      <c r="D1067" s="261" t="str">
        <f t="shared" si="107"/>
        <v/>
      </c>
      <c r="E1067" s="254"/>
      <c r="F1067" s="254"/>
      <c r="G1067" s="410"/>
      <c r="H1067" s="170"/>
      <c r="I1067" s="171"/>
      <c r="J1067" s="274"/>
      <c r="K1067" s="274"/>
      <c r="L1067" s="274"/>
      <c r="N1067" s="170"/>
      <c r="O1067" s="170"/>
    </row>
    <row r="1068" spans="1:15" s="172" customFormat="1" ht="13.5" customHeight="1">
      <c r="A1068" s="332">
        <v>39140</v>
      </c>
      <c r="B1068" s="340"/>
      <c r="C1068" s="377"/>
      <c r="D1068" s="261" t="str">
        <f t="shared" si="107"/>
        <v/>
      </c>
      <c r="E1068" s="254"/>
      <c r="F1068" s="254"/>
      <c r="G1068" s="410"/>
      <c r="H1068" s="170"/>
      <c r="I1068" s="171"/>
      <c r="J1068" s="274"/>
      <c r="K1068" s="274"/>
      <c r="L1068" s="274"/>
      <c r="N1068" s="170"/>
      <c r="O1068" s="170"/>
    </row>
    <row r="1069" spans="1:15" s="172" customFormat="1" ht="13.5" customHeight="1">
      <c r="A1069" s="332">
        <v>39141</v>
      </c>
      <c r="B1069" s="340"/>
      <c r="C1069" s="377"/>
      <c r="D1069" s="261" t="str">
        <f t="shared" si="107"/>
        <v/>
      </c>
      <c r="E1069" s="254"/>
      <c r="F1069" s="254"/>
      <c r="G1069" s="410"/>
      <c r="H1069" s="170"/>
      <c r="I1069" s="171"/>
      <c r="J1069" s="274"/>
      <c r="K1069" s="274"/>
      <c r="L1069" s="274"/>
      <c r="N1069" s="170"/>
      <c r="O1069" s="170"/>
    </row>
    <row r="1070" spans="1:15" s="172" customFormat="1" ht="13.5" customHeight="1">
      <c r="A1070" s="332">
        <v>39142</v>
      </c>
      <c r="B1070" s="340">
        <v>11.2</v>
      </c>
      <c r="C1070" s="377">
        <v>3.5114583333333331E-2</v>
      </c>
      <c r="D1070" s="261">
        <f t="shared" ref="D1070:D1133" si="112">IF(B1070&gt;0,C1070/B1070,"")</f>
        <v>3.1352306547619046E-3</v>
      </c>
      <c r="E1070" s="254">
        <v>151</v>
      </c>
      <c r="F1070" s="254">
        <v>161</v>
      </c>
      <c r="G1070" s="410"/>
      <c r="H1070" s="170"/>
      <c r="I1070" s="171">
        <f t="shared" si="111"/>
        <v>13.289824977751408</v>
      </c>
      <c r="J1070" s="274">
        <f>1/((182/(ConditieGetal!$B$2*(E1070/(I1070*ConditieGetal!$B$2))))*24)*10</f>
        <v>2.6012078509288338E-2</v>
      </c>
      <c r="K1070" s="274">
        <f t="shared" si="109"/>
        <v>5.7400339189603571E-2</v>
      </c>
      <c r="L1070" s="274">
        <f t="shared" si="110"/>
        <v>4.3093372627094922E-2</v>
      </c>
      <c r="N1070" s="170"/>
      <c r="O1070" s="170"/>
    </row>
    <row r="1071" spans="1:15" s="176" customFormat="1" ht="13.5" customHeight="1" thickBot="1">
      <c r="A1071" s="332">
        <v>39143</v>
      </c>
      <c r="B1071" s="340">
        <v>14.2</v>
      </c>
      <c r="C1071" s="377">
        <v>4.5374999999999999E-2</v>
      </c>
      <c r="D1071" s="261">
        <f t="shared" si="112"/>
        <v>3.1954225352112675E-3</v>
      </c>
      <c r="E1071" s="254">
        <v>150</v>
      </c>
      <c r="F1071" s="254">
        <v>156</v>
      </c>
      <c r="G1071" s="410"/>
      <c r="H1071" s="174"/>
      <c r="I1071" s="175">
        <f t="shared" si="111"/>
        <v>13.039485766758494</v>
      </c>
      <c r="J1071" s="276">
        <f>1/((182/(ConditieGetal!$B$2*(E1071/(I1071*ConditieGetal!$B$2))))*24)*10</f>
        <v>2.6335900015477476E-2</v>
      </c>
      <c r="K1071" s="276">
        <f t="shared" si="109"/>
        <v>5.811490970289445E-2</v>
      </c>
      <c r="L1071" s="276">
        <f t="shared" si="110"/>
        <v>4.3629837286229822E-2</v>
      </c>
      <c r="N1071" s="174"/>
      <c r="O1071" s="174"/>
    </row>
    <row r="1072" spans="1:15" s="164" customFormat="1" ht="13.5" customHeight="1" thickTop="1">
      <c r="A1072" s="332">
        <v>39144</v>
      </c>
      <c r="B1072" s="340">
        <v>11</v>
      </c>
      <c r="C1072" s="377">
        <v>3.0104166666666668E-2</v>
      </c>
      <c r="D1072" s="261">
        <f t="shared" si="112"/>
        <v>2.7367424242424245E-3</v>
      </c>
      <c r="E1072" s="254">
        <v>169</v>
      </c>
      <c r="F1072" s="254">
        <v>184</v>
      </c>
      <c r="G1072" s="410"/>
      <c r="H1072" s="162"/>
      <c r="I1072" s="163">
        <f t="shared" si="111"/>
        <v>15.224913494809687</v>
      </c>
      <c r="J1072" s="271">
        <f>1/((182/(ConditieGetal!$B$2*(E1072/(I1072*ConditieGetal!$B$2))))*24)*10</f>
        <v>2.5412608225108227E-2</v>
      </c>
      <c r="K1072" s="271">
        <f t="shared" si="109"/>
        <v>5.6077499969595088E-2</v>
      </c>
      <c r="L1072" s="271">
        <f t="shared" si="110"/>
        <v>4.2100249516005606E-2</v>
      </c>
      <c r="N1072" s="162"/>
      <c r="O1072" s="162"/>
    </row>
    <row r="1073" spans="1:15" s="156" customFormat="1" ht="13.5" customHeight="1" thickBot="1">
      <c r="A1073" s="333">
        <v>39145</v>
      </c>
      <c r="B1073" s="341">
        <v>11</v>
      </c>
      <c r="C1073" s="378">
        <v>3.8773148148148147E-2</v>
      </c>
      <c r="D1073" s="261">
        <f t="shared" si="112"/>
        <v>3.5248316498316498E-3</v>
      </c>
      <c r="E1073" s="259">
        <v>142</v>
      </c>
      <c r="F1073" s="259">
        <v>151</v>
      </c>
      <c r="G1073" s="410"/>
      <c r="H1073" s="154"/>
      <c r="I1073" s="155">
        <f t="shared" si="111"/>
        <v>11.82089552238806</v>
      </c>
      <c r="J1073" s="270">
        <f>1/((182/(ConditieGetal!$B$2*(E1073/(I1073*ConditieGetal!$B$2))))*24)*10</f>
        <v>2.7501433751433747E-2</v>
      </c>
      <c r="K1073" s="270">
        <f t="shared" ref="K1073:K1136" si="113">$J1073*POWER(21.1/10,1.06)</f>
        <v>6.0686869946553049E-2</v>
      </c>
      <c r="L1073" s="270">
        <f t="shared" ref="L1073:L1136" si="114">$J1073*POWER(16.1/10,1.06)</f>
        <v>4.5560739485186311E-2</v>
      </c>
      <c r="N1073" s="154"/>
      <c r="O1073" s="154"/>
    </row>
    <row r="1074" spans="1:15" s="156" customFormat="1" ht="13.5" customHeight="1">
      <c r="A1074" s="334">
        <v>39146</v>
      </c>
      <c r="B1074" s="342">
        <v>13.5</v>
      </c>
      <c r="C1074" s="379">
        <v>4.0339120370370372E-2</v>
      </c>
      <c r="D1074" s="261">
        <f t="shared" si="112"/>
        <v>2.9880829903978054E-3</v>
      </c>
      <c r="E1074" s="258">
        <v>154</v>
      </c>
      <c r="F1074" s="258">
        <v>162</v>
      </c>
      <c r="G1074" s="411"/>
      <c r="H1074" s="154"/>
      <c r="I1074" s="155">
        <f t="shared" si="111"/>
        <v>13.94428026281812</v>
      </c>
      <c r="J1074" s="270">
        <f>1/((182/(ConditieGetal!$B$2*(E1074/(I1074*ConditieGetal!$B$2))))*24)*10</f>
        <v>2.5283779149519892E-2</v>
      </c>
      <c r="K1074" s="270">
        <f t="shared" si="113"/>
        <v>5.579321539642601E-2</v>
      </c>
      <c r="L1074" s="270">
        <f t="shared" si="114"/>
        <v>4.1886822536014369E-2</v>
      </c>
      <c r="N1074" s="154"/>
      <c r="O1074" s="154"/>
    </row>
    <row r="1075" spans="1:15" s="156" customFormat="1" ht="13.5" customHeight="1">
      <c r="A1075" s="335">
        <v>39147</v>
      </c>
      <c r="B1075" s="343"/>
      <c r="C1075" s="380"/>
      <c r="D1075" s="261" t="str">
        <f t="shared" si="112"/>
        <v/>
      </c>
      <c r="E1075" s="256"/>
      <c r="F1075" s="256"/>
      <c r="G1075" s="411"/>
      <c r="H1075" s="154"/>
      <c r="I1075" s="155"/>
      <c r="J1075" s="270"/>
      <c r="K1075" s="270"/>
      <c r="L1075" s="270"/>
      <c r="N1075" s="154"/>
      <c r="O1075" s="154"/>
    </row>
    <row r="1076" spans="1:15" s="156" customFormat="1" ht="13.5" customHeight="1">
      <c r="A1076" s="335">
        <v>39148</v>
      </c>
      <c r="B1076" s="343"/>
      <c r="C1076" s="380"/>
      <c r="D1076" s="261" t="str">
        <f t="shared" si="112"/>
        <v/>
      </c>
      <c r="E1076" s="256"/>
      <c r="F1076" s="256"/>
      <c r="G1076" s="411"/>
      <c r="H1076" s="154"/>
      <c r="I1076" s="155"/>
      <c r="J1076" s="270"/>
      <c r="K1076" s="270"/>
      <c r="L1076" s="270"/>
      <c r="N1076" s="154"/>
      <c r="O1076" s="154"/>
    </row>
    <row r="1077" spans="1:15" s="156" customFormat="1" ht="13.5" customHeight="1">
      <c r="A1077" s="335">
        <v>39149</v>
      </c>
      <c r="B1077" s="343">
        <v>13.3</v>
      </c>
      <c r="C1077" s="380">
        <v>4.0701388888888891E-2</v>
      </c>
      <c r="D1077" s="261">
        <f t="shared" si="112"/>
        <v>3.0602548036758564E-3</v>
      </c>
      <c r="E1077" s="256">
        <v>152</v>
      </c>
      <c r="F1077" s="256">
        <v>167</v>
      </c>
      <c r="G1077" s="411"/>
      <c r="H1077" s="154"/>
      <c r="I1077" s="155">
        <f t="shared" si="111"/>
        <v>13.615423989080362</v>
      </c>
      <c r="J1077" s="270">
        <f>1/((182/(ConditieGetal!$B$2*(E1077/(I1077*ConditieGetal!$B$2))))*24)*10</f>
        <v>2.5558171986743414E-2</v>
      </c>
      <c r="K1077" s="270">
        <f t="shared" si="113"/>
        <v>5.639871264349159E-2</v>
      </c>
      <c r="L1077" s="270">
        <f t="shared" si="114"/>
        <v>4.234140031135273E-2</v>
      </c>
      <c r="N1077" s="154"/>
      <c r="O1077" s="154"/>
    </row>
    <row r="1078" spans="1:15" s="160" customFormat="1" ht="13.5" customHeight="1" thickBot="1">
      <c r="A1078" s="335">
        <v>39150</v>
      </c>
      <c r="B1078" s="343">
        <v>13.4</v>
      </c>
      <c r="C1078" s="380">
        <v>3.9594907407407405E-2</v>
      </c>
      <c r="D1078" s="261">
        <f t="shared" si="112"/>
        <v>2.9548438363736869E-3</v>
      </c>
      <c r="E1078" s="256">
        <v>152</v>
      </c>
      <c r="F1078" s="256">
        <v>179</v>
      </c>
      <c r="G1078" s="411"/>
      <c r="H1078" s="158"/>
      <c r="I1078" s="159">
        <f t="shared" si="111"/>
        <v>14.101140017538734</v>
      </c>
      <c r="J1078" s="272">
        <f>1/((182/(ConditieGetal!$B$2*(E1078/(I1078*ConditieGetal!$B$2))))*24)*10</f>
        <v>2.4677816655428588E-2</v>
      </c>
      <c r="K1078" s="272">
        <f t="shared" si="113"/>
        <v>5.4456049945206919E-2</v>
      </c>
      <c r="L1078" s="272">
        <f t="shared" si="114"/>
        <v>4.088294398987681E-2</v>
      </c>
      <c r="N1078" s="158"/>
      <c r="O1078" s="158"/>
    </row>
    <row r="1079" spans="1:15" s="168" customFormat="1" ht="13.5" customHeight="1" thickTop="1">
      <c r="A1079" s="335">
        <v>39151</v>
      </c>
      <c r="B1079" s="343"/>
      <c r="C1079" s="380"/>
      <c r="D1079" s="261" t="str">
        <f t="shared" si="112"/>
        <v/>
      </c>
      <c r="E1079" s="256"/>
      <c r="F1079" s="256"/>
      <c r="G1079" s="411"/>
      <c r="H1079" s="166"/>
      <c r="I1079" s="167"/>
      <c r="J1079" s="273"/>
      <c r="K1079" s="273"/>
      <c r="L1079" s="273"/>
      <c r="N1079" s="166"/>
      <c r="O1079" s="166"/>
    </row>
    <row r="1080" spans="1:15" s="172" customFormat="1" ht="13.5" customHeight="1" thickBot="1">
      <c r="A1080" s="336">
        <v>39152</v>
      </c>
      <c r="B1080" s="344">
        <v>13</v>
      </c>
      <c r="C1080" s="381"/>
      <c r="D1080" s="261">
        <f t="shared" si="112"/>
        <v>0</v>
      </c>
      <c r="E1080" s="260"/>
      <c r="F1080" s="262">
        <v>191</v>
      </c>
      <c r="G1080" s="413"/>
      <c r="H1080" s="170"/>
      <c r="I1080" s="171"/>
      <c r="J1080" s="274"/>
      <c r="K1080" s="274"/>
      <c r="L1080" s="274"/>
      <c r="N1080" s="170"/>
      <c r="O1080" s="170"/>
    </row>
    <row r="1081" spans="1:15" s="172" customFormat="1" ht="13.5" customHeight="1">
      <c r="A1081" s="332">
        <v>39153</v>
      </c>
      <c r="B1081" s="340"/>
      <c r="C1081" s="377"/>
      <c r="D1081" s="261" t="str">
        <f t="shared" si="112"/>
        <v/>
      </c>
      <c r="E1081" s="254"/>
      <c r="F1081" s="254"/>
      <c r="G1081" s="410"/>
      <c r="H1081" s="170"/>
      <c r="I1081" s="171"/>
      <c r="J1081" s="274"/>
      <c r="K1081" s="274"/>
      <c r="L1081" s="274"/>
      <c r="N1081" s="170"/>
      <c r="O1081" s="170"/>
    </row>
    <row r="1082" spans="1:15" s="172" customFormat="1" ht="13.5" customHeight="1">
      <c r="A1082" s="332">
        <v>39154</v>
      </c>
      <c r="B1082" s="340">
        <v>13.5</v>
      </c>
      <c r="C1082" s="377">
        <v>4.4361111111111108E-2</v>
      </c>
      <c r="D1082" s="261">
        <f t="shared" si="112"/>
        <v>3.2860082304526747E-3</v>
      </c>
      <c r="E1082" s="254">
        <v>143</v>
      </c>
      <c r="F1082" s="254">
        <v>156</v>
      </c>
      <c r="G1082" s="410"/>
      <c r="H1082" s="170"/>
      <c r="I1082" s="171">
        <f t="shared" si="111"/>
        <v>12.680025046963056</v>
      </c>
      <c r="J1082" s="274">
        <f>1/((182/(ConditieGetal!$B$2*(E1082/(I1082*ConditieGetal!$B$2))))*24)*10</f>
        <v>2.5818636096413883E-2</v>
      </c>
      <c r="K1082" s="274">
        <f t="shared" si="113"/>
        <v>5.6973473642942848E-2</v>
      </c>
      <c r="L1082" s="274">
        <f t="shared" si="114"/>
        <v>4.2772902812393009E-2</v>
      </c>
      <c r="N1082" s="170"/>
      <c r="O1082" s="170"/>
    </row>
    <row r="1083" spans="1:15" s="172" customFormat="1" ht="13.5" customHeight="1">
      <c r="A1083" s="332">
        <v>39155</v>
      </c>
      <c r="B1083" s="340">
        <v>17.7</v>
      </c>
      <c r="C1083" s="377">
        <v>5.4780092592592589E-2</v>
      </c>
      <c r="D1083" s="261">
        <f t="shared" si="112"/>
        <v>3.0949204854572084E-3</v>
      </c>
      <c r="E1083" s="254">
        <v>145</v>
      </c>
      <c r="F1083" s="254">
        <v>163</v>
      </c>
      <c r="G1083" s="410"/>
      <c r="H1083" s="170"/>
      <c r="I1083" s="171">
        <f t="shared" si="111"/>
        <v>13.462919923938307</v>
      </c>
      <c r="J1083" s="274">
        <f>1/((182/(ConditieGetal!$B$2*(E1083/(I1083*ConditieGetal!$B$2))))*24)*10</f>
        <v>2.4657333537983255E-2</v>
      </c>
      <c r="K1083" s="274">
        <f t="shared" si="113"/>
        <v>5.4410850255047487E-2</v>
      </c>
      <c r="L1083" s="274">
        <f t="shared" si="114"/>
        <v>4.0849010268958617E-2</v>
      </c>
      <c r="N1083" s="170"/>
      <c r="O1083" s="170"/>
    </row>
    <row r="1084" spans="1:15" s="172" customFormat="1" ht="13.5" customHeight="1">
      <c r="A1084" s="332">
        <v>39156</v>
      </c>
      <c r="B1084" s="340">
        <v>11.1</v>
      </c>
      <c r="C1084" s="377">
        <v>3.1006944444444445E-2</v>
      </c>
      <c r="D1084" s="261">
        <f t="shared" si="112"/>
        <v>2.7934184184184186E-3</v>
      </c>
      <c r="E1084" s="254">
        <v>161</v>
      </c>
      <c r="F1084" s="254">
        <v>180</v>
      </c>
      <c r="G1084" s="410"/>
      <c r="H1084" s="170"/>
      <c r="I1084" s="171">
        <f t="shared" si="111"/>
        <v>14.916013437849942</v>
      </c>
      <c r="J1084" s="274">
        <f>1/((182/(ConditieGetal!$B$2*(E1084/(I1084*ConditieGetal!$B$2))))*24)*10</f>
        <v>2.4711009086009088E-2</v>
      </c>
      <c r="K1084" s="274">
        <f t="shared" si="113"/>
        <v>5.4529295025301835E-2</v>
      </c>
      <c r="L1084" s="274">
        <f t="shared" si="114"/>
        <v>4.0937932820503849E-2</v>
      </c>
      <c r="N1084" s="170"/>
      <c r="O1084" s="170"/>
    </row>
    <row r="1085" spans="1:15" s="176" customFormat="1" ht="13.5" customHeight="1" thickBot="1">
      <c r="A1085" s="332">
        <v>39157</v>
      </c>
      <c r="B1085" s="340">
        <v>13.7</v>
      </c>
      <c r="C1085" s="377">
        <v>4.5266203703703704E-2</v>
      </c>
      <c r="D1085" s="261">
        <f t="shared" si="112"/>
        <v>3.3041024601243581E-3</v>
      </c>
      <c r="E1085" s="254">
        <v>141</v>
      </c>
      <c r="F1085" s="254">
        <v>159</v>
      </c>
      <c r="G1085" s="410"/>
      <c r="H1085" s="174"/>
      <c r="I1085" s="175">
        <f t="shared" si="111"/>
        <v>12.610585527997955</v>
      </c>
      <c r="J1085" s="276">
        <f>1/((182/(ConditieGetal!$B$2*(E1085/(I1085*ConditieGetal!$B$2))))*24)*10</f>
        <v>2.559771686140299E-2</v>
      </c>
      <c r="K1085" s="276">
        <f t="shared" si="113"/>
        <v>5.6485975536299624E-2</v>
      </c>
      <c r="L1085" s="276">
        <f t="shared" si="114"/>
        <v>4.2406913031475743E-2</v>
      </c>
      <c r="N1085" s="174"/>
      <c r="O1085" s="174"/>
    </row>
    <row r="1086" spans="1:15" s="164" customFormat="1" ht="13.5" customHeight="1" thickTop="1">
      <c r="A1086" s="332">
        <v>39158</v>
      </c>
      <c r="B1086" s="340"/>
      <c r="C1086" s="377"/>
      <c r="D1086" s="261" t="str">
        <f t="shared" si="112"/>
        <v/>
      </c>
      <c r="E1086" s="254"/>
      <c r="F1086" s="254"/>
      <c r="G1086" s="410"/>
      <c r="H1086" s="162"/>
      <c r="I1086" s="163"/>
      <c r="J1086" s="271"/>
      <c r="K1086" s="271"/>
      <c r="L1086" s="271"/>
      <c r="N1086" s="162"/>
      <c r="O1086" s="162"/>
    </row>
    <row r="1087" spans="1:15" s="156" customFormat="1" ht="13.5" customHeight="1" thickBot="1">
      <c r="A1087" s="333">
        <v>39159</v>
      </c>
      <c r="B1087" s="341">
        <v>23</v>
      </c>
      <c r="C1087" s="378">
        <v>7.2239583333333343E-2</v>
      </c>
      <c r="D1087" s="261">
        <f t="shared" si="112"/>
        <v>3.1408514492753626E-3</v>
      </c>
      <c r="E1087" s="259">
        <v>143</v>
      </c>
      <c r="F1087" s="259">
        <v>155</v>
      </c>
      <c r="G1087" s="410"/>
      <c r="H1087" s="154"/>
      <c r="I1087" s="155">
        <f t="shared" si="111"/>
        <v>13.266041816870944</v>
      </c>
      <c r="J1087" s="270">
        <f>1/((182/(ConditieGetal!$B$2*(E1087/(I1087*ConditieGetal!$B$2))))*24)*10</f>
        <v>2.4678118530020703E-2</v>
      </c>
      <c r="K1087" s="270">
        <f t="shared" si="113"/>
        <v>5.4456716085898985E-2</v>
      </c>
      <c r="L1087" s="270">
        <f t="shared" si="114"/>
        <v>4.0883444095790304E-2</v>
      </c>
      <c r="N1087" s="154"/>
      <c r="O1087" s="154"/>
    </row>
    <row r="1088" spans="1:15" s="156" customFormat="1" ht="13.5" customHeight="1">
      <c r="A1088" s="334">
        <v>39160</v>
      </c>
      <c r="B1088" s="342">
        <v>13.4</v>
      </c>
      <c r="C1088" s="379">
        <v>3.8194444444444441E-2</v>
      </c>
      <c r="D1088" s="261">
        <f t="shared" si="112"/>
        <v>2.8503316749585402E-3</v>
      </c>
      <c r="E1088" s="258">
        <v>154</v>
      </c>
      <c r="F1088" s="258">
        <v>180</v>
      </c>
      <c r="G1088" s="411"/>
      <c r="H1088" s="154"/>
      <c r="I1088" s="155">
        <f t="shared" si="111"/>
        <v>14.618181818181819</v>
      </c>
      <c r="J1088" s="270">
        <f>1/((182/(ConditieGetal!$B$2*(E1088/(I1088*ConditieGetal!$B$2))))*24)*10</f>
        <v>2.4118191095803036E-2</v>
      </c>
      <c r="K1088" s="270">
        <f t="shared" si="113"/>
        <v>5.3221135290839411E-2</v>
      </c>
      <c r="L1088" s="270">
        <f t="shared" si="114"/>
        <v>3.9955830350573478E-2</v>
      </c>
      <c r="N1088" s="154"/>
      <c r="O1088" s="154"/>
    </row>
    <row r="1089" spans="1:15" s="156" customFormat="1" ht="13.5" customHeight="1">
      <c r="A1089" s="335">
        <v>39161</v>
      </c>
      <c r="B1089" s="343"/>
      <c r="C1089" s="380"/>
      <c r="D1089" s="261" t="str">
        <f t="shared" si="112"/>
        <v/>
      </c>
      <c r="E1089" s="256"/>
      <c r="F1089" s="256"/>
      <c r="G1089" s="411"/>
      <c r="H1089" s="154"/>
      <c r="I1089" s="155"/>
      <c r="J1089" s="270"/>
      <c r="K1089" s="270"/>
      <c r="L1089" s="270"/>
      <c r="N1089" s="154"/>
      <c r="O1089" s="154"/>
    </row>
    <row r="1090" spans="1:15" s="156" customFormat="1" ht="13.5" customHeight="1">
      <c r="A1090" s="335">
        <v>39162</v>
      </c>
      <c r="B1090" s="343"/>
      <c r="C1090" s="380"/>
      <c r="D1090" s="261" t="str">
        <f t="shared" si="112"/>
        <v/>
      </c>
      <c r="E1090" s="256"/>
      <c r="F1090" s="256"/>
      <c r="G1090" s="411"/>
      <c r="H1090" s="154"/>
      <c r="I1090" s="155"/>
      <c r="J1090" s="270"/>
      <c r="K1090" s="270"/>
      <c r="L1090" s="270"/>
      <c r="N1090" s="154"/>
      <c r="O1090" s="154"/>
    </row>
    <row r="1091" spans="1:15" s="156" customFormat="1" ht="13.5" customHeight="1">
      <c r="A1091" s="335">
        <v>39163</v>
      </c>
      <c r="B1091" s="343"/>
      <c r="C1091" s="380"/>
      <c r="D1091" s="261" t="str">
        <f t="shared" si="112"/>
        <v/>
      </c>
      <c r="E1091" s="256"/>
      <c r="F1091" s="256"/>
      <c r="G1091" s="411"/>
      <c r="H1091" s="154"/>
      <c r="I1091" s="155"/>
      <c r="J1091" s="270"/>
      <c r="K1091" s="270"/>
      <c r="L1091" s="270"/>
      <c r="N1091" s="154"/>
      <c r="O1091" s="154"/>
    </row>
    <row r="1092" spans="1:15" s="160" customFormat="1" ht="13.5" customHeight="1" thickBot="1">
      <c r="A1092" s="335">
        <v>39164</v>
      </c>
      <c r="B1092" s="343"/>
      <c r="C1092" s="380"/>
      <c r="D1092" s="261" t="str">
        <f t="shared" si="112"/>
        <v/>
      </c>
      <c r="E1092" s="256"/>
      <c r="F1092" s="256"/>
      <c r="G1092" s="411"/>
      <c r="H1092" s="158"/>
      <c r="I1092" s="159"/>
      <c r="J1092" s="272"/>
      <c r="K1092" s="272"/>
      <c r="L1092" s="272"/>
      <c r="N1092" s="158"/>
      <c r="O1092" s="158"/>
    </row>
    <row r="1093" spans="1:15" s="168" customFormat="1" ht="13.5" customHeight="1" thickTop="1">
      <c r="A1093" s="335">
        <v>39165</v>
      </c>
      <c r="B1093" s="343">
        <v>18.899999999999999</v>
      </c>
      <c r="C1093" s="380">
        <v>5.4893518518518515E-2</v>
      </c>
      <c r="D1093" s="261">
        <f t="shared" si="112"/>
        <v>2.9044189692337841E-3</v>
      </c>
      <c r="E1093" s="256">
        <v>157</v>
      </c>
      <c r="F1093" s="256">
        <v>182</v>
      </c>
      <c r="G1093" s="411"/>
      <c r="H1093" s="166"/>
      <c r="I1093" s="167">
        <f t="shared" si="111"/>
        <v>14.345955975373197</v>
      </c>
      <c r="J1093" s="273">
        <f>1/((182/(ConditieGetal!$B$2*(E1093/(I1093*ConditieGetal!$B$2))))*24)*10</f>
        <v>2.5054603196137587E-2</v>
      </c>
      <c r="K1093" s="273">
        <f t="shared" si="113"/>
        <v>5.5287497352650782E-2</v>
      </c>
      <c r="L1093" s="273">
        <f t="shared" si="114"/>
        <v>4.1507154115716968E-2</v>
      </c>
      <c r="N1093" s="166"/>
      <c r="O1093" s="166"/>
    </row>
    <row r="1094" spans="1:15" s="172" customFormat="1" ht="13.5" customHeight="1" thickBot="1">
      <c r="A1094" s="336">
        <v>39166</v>
      </c>
      <c r="B1094" s="344">
        <v>17</v>
      </c>
      <c r="C1094" s="381">
        <v>5.4236111111111117E-2</v>
      </c>
      <c r="D1094" s="261">
        <f t="shared" si="112"/>
        <v>3.1903594771241833E-3</v>
      </c>
      <c r="E1094" s="260"/>
      <c r="F1094" s="260"/>
      <c r="G1094" s="411"/>
      <c r="H1094" s="170"/>
      <c r="I1094" s="171">
        <f t="shared" si="111"/>
        <v>13.060179257362355</v>
      </c>
      <c r="J1094" s="274"/>
      <c r="K1094" s="274">
        <f t="shared" si="113"/>
        <v>0</v>
      </c>
      <c r="L1094" s="274">
        <f t="shared" si="114"/>
        <v>0</v>
      </c>
      <c r="N1094" s="170"/>
      <c r="O1094" s="170"/>
    </row>
    <row r="1095" spans="1:15" s="172" customFormat="1" ht="13.5" customHeight="1">
      <c r="A1095" s="332">
        <v>39167</v>
      </c>
      <c r="B1095" s="340"/>
      <c r="C1095" s="377"/>
      <c r="D1095" s="261" t="str">
        <f t="shared" si="112"/>
        <v/>
      </c>
      <c r="E1095" s="254"/>
      <c r="F1095" s="254"/>
      <c r="G1095" s="410"/>
      <c r="H1095" s="170"/>
      <c r="I1095" s="171"/>
      <c r="J1095" s="274"/>
      <c r="K1095" s="274"/>
      <c r="L1095" s="274"/>
      <c r="N1095" s="170"/>
      <c r="O1095" s="170"/>
    </row>
    <row r="1096" spans="1:15" s="172" customFormat="1" ht="13.5" customHeight="1">
      <c r="A1096" s="332">
        <v>39168</v>
      </c>
      <c r="B1096" s="340"/>
      <c r="C1096" s="377"/>
      <c r="D1096" s="261" t="str">
        <f t="shared" si="112"/>
        <v/>
      </c>
      <c r="E1096" s="254"/>
      <c r="F1096" s="254"/>
      <c r="G1096" s="410"/>
      <c r="H1096" s="170"/>
      <c r="I1096" s="171"/>
      <c r="J1096" s="274"/>
      <c r="K1096" s="274"/>
      <c r="L1096" s="274"/>
      <c r="N1096" s="170"/>
      <c r="O1096" s="170"/>
    </row>
    <row r="1097" spans="1:15" s="172" customFormat="1" ht="13.5" customHeight="1">
      <c r="A1097" s="332">
        <v>39169</v>
      </c>
      <c r="B1097" s="340"/>
      <c r="C1097" s="377"/>
      <c r="D1097" s="261" t="str">
        <f t="shared" si="112"/>
        <v/>
      </c>
      <c r="E1097" s="254"/>
      <c r="F1097" s="254"/>
      <c r="G1097" s="410"/>
      <c r="H1097" s="170"/>
      <c r="I1097" s="171"/>
      <c r="J1097" s="274"/>
      <c r="K1097" s="274"/>
      <c r="L1097" s="274"/>
      <c r="N1097" s="170"/>
      <c r="O1097" s="170"/>
    </row>
    <row r="1098" spans="1:15" s="172" customFormat="1" ht="13.5" customHeight="1">
      <c r="A1098" s="332">
        <v>39170</v>
      </c>
      <c r="B1098" s="340">
        <v>8.8000000000000007</v>
      </c>
      <c r="C1098" s="377">
        <v>2.6736111111111113E-2</v>
      </c>
      <c r="D1098" s="261">
        <f t="shared" si="112"/>
        <v>3.0381944444444445E-3</v>
      </c>
      <c r="E1098" s="254">
        <v>147</v>
      </c>
      <c r="F1098" s="254">
        <v>158</v>
      </c>
      <c r="G1098" s="410"/>
      <c r="H1098" s="170"/>
      <c r="I1098" s="171">
        <f t="shared" si="111"/>
        <v>13.714285714285714</v>
      </c>
      <c r="J1098" s="274">
        <f>1/((182/(ConditieGetal!$B$2*(E1098/(I1098*ConditieGetal!$B$2))))*24)*10</f>
        <v>2.453926282051282E-2</v>
      </c>
      <c r="K1098" s="274">
        <f t="shared" si="113"/>
        <v>5.415030593796253E-2</v>
      </c>
      <c r="L1098" s="274">
        <f t="shared" si="114"/>
        <v>4.0653406314338648E-2</v>
      </c>
      <c r="N1098" s="170"/>
      <c r="O1098" s="170"/>
    </row>
    <row r="1099" spans="1:15" s="176" customFormat="1" ht="13.5" customHeight="1" thickBot="1">
      <c r="A1099" s="332">
        <v>39171</v>
      </c>
      <c r="B1099" s="340">
        <v>11.8</v>
      </c>
      <c r="C1099" s="377">
        <v>3.4548611111111113E-2</v>
      </c>
      <c r="D1099" s="261">
        <f t="shared" si="112"/>
        <v>2.9278483992467045E-3</v>
      </c>
      <c r="E1099" s="254">
        <v>154</v>
      </c>
      <c r="F1099" s="254">
        <v>163</v>
      </c>
      <c r="G1099" s="410"/>
      <c r="H1099" s="174"/>
      <c r="I1099" s="175">
        <f t="shared" si="111"/>
        <v>14.231155778894474</v>
      </c>
      <c r="J1099" s="276">
        <f>1/((182/(ConditieGetal!$B$2*(E1099/(I1099*ConditieGetal!$B$2))))*24)*10</f>
        <v>2.4774101839779801E-2</v>
      </c>
      <c r="K1099" s="276">
        <f t="shared" si="113"/>
        <v>5.466852055722355E-2</v>
      </c>
      <c r="L1099" s="276">
        <f t="shared" si="114"/>
        <v>4.1042456553481974E-2</v>
      </c>
      <c r="N1099" s="174"/>
      <c r="O1099" s="174"/>
    </row>
    <row r="1100" spans="1:15" s="164" customFormat="1" ht="13.5" customHeight="1" thickTop="1">
      <c r="A1100" s="332">
        <v>39172</v>
      </c>
      <c r="B1100" s="340">
        <v>16.399999999999999</v>
      </c>
      <c r="C1100" s="377">
        <v>5.4525462962962963E-2</v>
      </c>
      <c r="D1100" s="261">
        <f t="shared" si="112"/>
        <v>3.324723351400181E-3</v>
      </c>
      <c r="E1100" s="254">
        <v>145</v>
      </c>
      <c r="F1100" s="254">
        <v>164</v>
      </c>
      <c r="G1100" s="410"/>
      <c r="H1100" s="162"/>
      <c r="I1100" s="163">
        <f t="shared" si="111"/>
        <v>12.532371046486945</v>
      </c>
      <c r="J1100" s="271">
        <f>1/((182/(ConditieGetal!$B$2*(E1100/(I1100*ConditieGetal!$B$2))))*24)*10</f>
        <v>2.6488180546869567E-2</v>
      </c>
      <c r="K1100" s="271">
        <f t="shared" si="113"/>
        <v>5.8450944139771838E-2</v>
      </c>
      <c r="L1100" s="271">
        <f t="shared" si="114"/>
        <v>4.3882115537688587E-2</v>
      </c>
      <c r="N1100" s="162"/>
      <c r="O1100" s="162"/>
    </row>
    <row r="1101" spans="1:15" s="156" customFormat="1" ht="13.5" customHeight="1" thickBot="1">
      <c r="A1101" s="333">
        <v>39173</v>
      </c>
      <c r="B1101" s="341"/>
      <c r="C1101" s="378"/>
      <c r="D1101" s="261" t="str">
        <f t="shared" si="112"/>
        <v/>
      </c>
      <c r="E1101" s="259"/>
      <c r="F1101" s="259"/>
      <c r="G1101" s="410"/>
      <c r="H1101" s="154"/>
      <c r="I1101" s="155"/>
      <c r="J1101" s="270"/>
      <c r="K1101" s="270"/>
      <c r="L1101" s="270"/>
      <c r="N1101" s="154"/>
      <c r="O1101" s="154"/>
    </row>
    <row r="1102" spans="1:15" s="156" customFormat="1" ht="13.5" customHeight="1">
      <c r="A1102" s="334">
        <v>39174</v>
      </c>
      <c r="B1102" s="342"/>
      <c r="C1102" s="379"/>
      <c r="D1102" s="261" t="str">
        <f t="shared" si="112"/>
        <v/>
      </c>
      <c r="E1102" s="258"/>
      <c r="F1102" s="258"/>
      <c r="G1102" s="411"/>
      <c r="H1102" s="154"/>
      <c r="I1102" s="155"/>
      <c r="J1102" s="270"/>
      <c r="K1102" s="270"/>
      <c r="L1102" s="270"/>
      <c r="N1102" s="154"/>
      <c r="O1102" s="154"/>
    </row>
    <row r="1103" spans="1:15" s="156" customFormat="1" ht="13.5" customHeight="1">
      <c r="A1103" s="335">
        <v>39175</v>
      </c>
      <c r="B1103" s="343"/>
      <c r="C1103" s="380"/>
      <c r="D1103" s="261" t="str">
        <f t="shared" si="112"/>
        <v/>
      </c>
      <c r="E1103" s="256"/>
      <c r="F1103" s="256"/>
      <c r="G1103" s="411"/>
      <c r="H1103" s="154"/>
      <c r="I1103" s="155"/>
      <c r="J1103" s="270"/>
      <c r="K1103" s="270"/>
      <c r="L1103" s="270"/>
      <c r="N1103" s="154"/>
      <c r="O1103" s="154"/>
    </row>
    <row r="1104" spans="1:15" s="156" customFormat="1" ht="13.5" customHeight="1">
      <c r="A1104" s="335">
        <v>39176</v>
      </c>
      <c r="B1104" s="343">
        <v>13.2</v>
      </c>
      <c r="C1104" s="380">
        <v>3.9231481481481485E-2</v>
      </c>
      <c r="D1104" s="261">
        <f t="shared" si="112"/>
        <v>2.972081930415264E-3</v>
      </c>
      <c r="E1104" s="256"/>
      <c r="F1104" s="256"/>
      <c r="G1104" s="411"/>
      <c r="H1104" s="154"/>
      <c r="I1104" s="155">
        <f t="shared" si="111"/>
        <v>14.019353316025487</v>
      </c>
      <c r="J1104" s="270"/>
      <c r="K1104" s="270">
        <f t="shared" si="113"/>
        <v>0</v>
      </c>
      <c r="L1104" s="270">
        <f t="shared" si="114"/>
        <v>0</v>
      </c>
      <c r="N1104" s="154"/>
      <c r="O1104" s="154"/>
    </row>
    <row r="1105" spans="1:15" s="156" customFormat="1" ht="13.5" customHeight="1">
      <c r="A1105" s="335">
        <v>39177</v>
      </c>
      <c r="B1105" s="343">
        <v>11.1</v>
      </c>
      <c r="C1105" s="380">
        <v>3.614120370370371E-2</v>
      </c>
      <c r="D1105" s="261">
        <f t="shared" si="112"/>
        <v>3.2559642976309651E-3</v>
      </c>
      <c r="E1105" s="256">
        <v>147</v>
      </c>
      <c r="F1105" s="256">
        <v>156</v>
      </c>
      <c r="G1105" s="411"/>
      <c r="H1105" s="154"/>
      <c r="I1105" s="155">
        <f t="shared" si="111"/>
        <v>12.797028117594309</v>
      </c>
      <c r="J1105" s="270">
        <f>1/((182/(ConditieGetal!$B$2*(E1105/(I1105*ConditieGetal!$B$2))))*24)*10</f>
        <v>2.6298173173173175E-2</v>
      </c>
      <c r="K1105" s="270">
        <f t="shared" si="113"/>
        <v>5.8031658626128468E-2</v>
      </c>
      <c r="L1105" s="270">
        <f t="shared" si="114"/>
        <v>4.3567336441751654E-2</v>
      </c>
      <c r="N1105" s="154"/>
      <c r="O1105" s="154"/>
    </row>
    <row r="1106" spans="1:15" s="160" customFormat="1" ht="13.5" customHeight="1" thickBot="1">
      <c r="A1106" s="335">
        <v>39178</v>
      </c>
      <c r="B1106" s="343">
        <v>15.8</v>
      </c>
      <c r="C1106" s="380">
        <v>4.6458333333333331E-2</v>
      </c>
      <c r="D1106" s="261">
        <f t="shared" si="112"/>
        <v>2.9404008438818565E-3</v>
      </c>
      <c r="E1106" s="256">
        <v>158</v>
      </c>
      <c r="F1106" s="256">
        <v>179</v>
      </c>
      <c r="G1106" s="411"/>
      <c r="H1106" s="158"/>
      <c r="I1106" s="159">
        <f t="shared" si="111"/>
        <v>14.170403587443946</v>
      </c>
      <c r="J1106" s="272">
        <f>1/((182/(ConditieGetal!$B$2*(E1106/(I1106*ConditieGetal!$B$2))))*24)*10</f>
        <v>2.5526556776556773E-2</v>
      </c>
      <c r="K1106" s="272">
        <f t="shared" si="113"/>
        <v>5.6328947984446147E-2</v>
      </c>
      <c r="L1106" s="272">
        <f t="shared" si="114"/>
        <v>4.2289024410950518E-2</v>
      </c>
      <c r="N1106" s="158"/>
      <c r="O1106" s="158"/>
    </row>
    <row r="1107" spans="1:15" s="168" customFormat="1" ht="13.5" customHeight="1" thickTop="1">
      <c r="A1107" s="335">
        <v>39179</v>
      </c>
      <c r="B1107" s="343"/>
      <c r="C1107" s="380"/>
      <c r="D1107" s="261" t="str">
        <f t="shared" si="112"/>
        <v/>
      </c>
      <c r="E1107" s="256"/>
      <c r="F1107" s="256"/>
      <c r="G1107" s="411"/>
      <c r="H1107" s="166"/>
      <c r="I1107" s="167"/>
      <c r="J1107" s="273"/>
      <c r="K1107" s="273"/>
      <c r="L1107" s="273"/>
      <c r="N1107" s="166"/>
      <c r="O1107" s="166"/>
    </row>
    <row r="1108" spans="1:15" s="172" customFormat="1" ht="13.5" customHeight="1" thickBot="1">
      <c r="A1108" s="336">
        <v>39180</v>
      </c>
      <c r="B1108" s="344">
        <v>11.2</v>
      </c>
      <c r="C1108" s="381">
        <v>3.469097222222222E-2</v>
      </c>
      <c r="D1108" s="261">
        <f t="shared" si="112"/>
        <v>3.0974082341269841E-3</v>
      </c>
      <c r="E1108" s="260">
        <v>147</v>
      </c>
      <c r="F1108" s="260">
        <v>167</v>
      </c>
      <c r="G1108" s="411"/>
      <c r="H1108" s="170"/>
      <c r="I1108" s="171">
        <f t="shared" si="111"/>
        <v>13.452106896206587</v>
      </c>
      <c r="J1108" s="274">
        <f>1/((182/(ConditieGetal!$B$2*(E1108/(I1108*ConditieGetal!$B$2))))*24)*10</f>
        <v>2.5017528044871794E-2</v>
      </c>
      <c r="K1108" s="274">
        <f t="shared" si="113"/>
        <v>5.5205684349610581E-2</v>
      </c>
      <c r="L1108" s="274">
        <f t="shared" si="114"/>
        <v>4.1445732906791578E-2</v>
      </c>
      <c r="N1108" s="170"/>
      <c r="O1108" s="170"/>
    </row>
    <row r="1109" spans="1:15" s="172" customFormat="1" ht="13.5" customHeight="1">
      <c r="A1109" s="332">
        <v>39181</v>
      </c>
      <c r="B1109" s="340">
        <v>11.63</v>
      </c>
      <c r="C1109" s="377">
        <v>2.977083333333333E-2</v>
      </c>
      <c r="D1109" s="261">
        <f t="shared" si="112"/>
        <v>2.5598308971051874E-3</v>
      </c>
      <c r="E1109" s="254">
        <v>174</v>
      </c>
      <c r="F1109" s="254">
        <v>187</v>
      </c>
      <c r="G1109" s="410"/>
      <c r="H1109" s="170"/>
      <c r="I1109" s="171">
        <f t="shared" si="111"/>
        <v>16.27711686494052</v>
      </c>
      <c r="J1109" s="274">
        <f>1/((182/(ConditieGetal!$B$2*(E1109/(I1109*ConditieGetal!$B$2))))*24)*10</f>
        <v>2.4473108576719919E-2</v>
      </c>
      <c r="K1109" s="274">
        <f t="shared" si="113"/>
        <v>5.4004324676557823E-2</v>
      </c>
      <c r="L1109" s="274">
        <f t="shared" si="114"/>
        <v>4.0543810709450206E-2</v>
      </c>
      <c r="N1109" s="170"/>
      <c r="O1109" s="170"/>
    </row>
    <row r="1110" spans="1:15" s="172" customFormat="1" ht="13.5" customHeight="1">
      <c r="A1110" s="332">
        <v>39182</v>
      </c>
      <c r="B1110" s="340"/>
      <c r="C1110" s="377"/>
      <c r="D1110" s="261" t="str">
        <f t="shared" si="112"/>
        <v/>
      </c>
      <c r="E1110" s="254"/>
      <c r="F1110" s="254"/>
      <c r="G1110" s="410"/>
      <c r="H1110" s="170"/>
      <c r="I1110" s="171"/>
      <c r="J1110" s="274"/>
      <c r="K1110" s="274"/>
      <c r="L1110" s="274"/>
      <c r="N1110" s="170"/>
      <c r="O1110" s="170"/>
    </row>
    <row r="1111" spans="1:15" s="172" customFormat="1" ht="13.5" customHeight="1">
      <c r="A1111" s="332">
        <v>39183</v>
      </c>
      <c r="B1111" s="340"/>
      <c r="C1111" s="377"/>
      <c r="D1111" s="261" t="str">
        <f t="shared" si="112"/>
        <v/>
      </c>
      <c r="E1111" s="254"/>
      <c r="F1111" s="254"/>
      <c r="G1111" s="410"/>
      <c r="H1111" s="170"/>
      <c r="I1111" s="171"/>
      <c r="J1111" s="274"/>
      <c r="K1111" s="274"/>
      <c r="L1111" s="274"/>
      <c r="N1111" s="170"/>
      <c r="O1111" s="170"/>
    </row>
    <row r="1112" spans="1:15" s="172" customFormat="1" ht="13.5" customHeight="1">
      <c r="A1112" s="332">
        <v>39184</v>
      </c>
      <c r="B1112" s="340"/>
      <c r="C1112" s="377"/>
      <c r="D1112" s="261" t="str">
        <f t="shared" si="112"/>
        <v/>
      </c>
      <c r="E1112" s="254"/>
      <c r="F1112" s="254"/>
      <c r="G1112" s="410"/>
      <c r="H1112" s="170"/>
      <c r="I1112" s="171"/>
      <c r="J1112" s="274"/>
      <c r="K1112" s="274"/>
      <c r="L1112" s="274"/>
      <c r="N1112" s="170"/>
      <c r="O1112" s="170"/>
    </row>
    <row r="1113" spans="1:15" s="176" customFormat="1" ht="13.5" customHeight="1" thickBot="1">
      <c r="A1113" s="332">
        <v>39185</v>
      </c>
      <c r="B1113" s="340"/>
      <c r="C1113" s="377"/>
      <c r="D1113" s="261" t="str">
        <f t="shared" si="112"/>
        <v/>
      </c>
      <c r="E1113" s="254"/>
      <c r="F1113" s="254"/>
      <c r="G1113" s="410"/>
      <c r="H1113" s="174"/>
      <c r="I1113" s="175"/>
      <c r="J1113" s="276"/>
      <c r="K1113" s="276"/>
      <c r="L1113" s="276"/>
      <c r="N1113" s="174"/>
      <c r="O1113" s="174"/>
    </row>
    <row r="1114" spans="1:15" s="164" customFormat="1" ht="13.5" customHeight="1" thickTop="1">
      <c r="A1114" s="332">
        <v>39186</v>
      </c>
      <c r="B1114" s="340"/>
      <c r="C1114" s="377"/>
      <c r="D1114" s="261" t="str">
        <f t="shared" si="112"/>
        <v/>
      </c>
      <c r="E1114" s="254"/>
      <c r="F1114" s="254"/>
      <c r="G1114" s="410"/>
      <c r="H1114" s="162"/>
      <c r="I1114" s="163"/>
      <c r="J1114" s="271"/>
      <c r="K1114" s="271"/>
      <c r="L1114" s="271"/>
      <c r="N1114" s="162"/>
      <c r="O1114" s="162"/>
    </row>
    <row r="1115" spans="1:15" s="156" customFormat="1" ht="13.5" customHeight="1" thickBot="1">
      <c r="A1115" s="333">
        <v>39187</v>
      </c>
      <c r="B1115" s="341"/>
      <c r="C1115" s="378"/>
      <c r="D1115" s="261" t="str">
        <f t="shared" si="112"/>
        <v/>
      </c>
      <c r="E1115" s="259"/>
      <c r="F1115" s="259"/>
      <c r="G1115" s="410"/>
      <c r="H1115" s="154"/>
      <c r="I1115" s="155"/>
      <c r="J1115" s="270"/>
      <c r="K1115" s="270"/>
      <c r="L1115" s="270"/>
      <c r="N1115" s="154"/>
      <c r="O1115" s="154"/>
    </row>
    <row r="1116" spans="1:15" s="156" customFormat="1" ht="13.5" customHeight="1">
      <c r="A1116" s="334">
        <v>39188</v>
      </c>
      <c r="B1116" s="342"/>
      <c r="C1116" s="379"/>
      <c r="D1116" s="261" t="str">
        <f t="shared" si="112"/>
        <v/>
      </c>
      <c r="E1116" s="258"/>
      <c r="F1116" s="258"/>
      <c r="G1116" s="411"/>
      <c r="H1116" s="154"/>
      <c r="I1116" s="155"/>
      <c r="J1116" s="270"/>
      <c r="K1116" s="270"/>
      <c r="L1116" s="270"/>
      <c r="N1116" s="154"/>
      <c r="O1116" s="154"/>
    </row>
    <row r="1117" spans="1:15" s="156" customFormat="1" ht="13.5" customHeight="1">
      <c r="A1117" s="335">
        <v>39189</v>
      </c>
      <c r="B1117" s="343"/>
      <c r="C1117" s="380"/>
      <c r="D1117" s="261" t="str">
        <f t="shared" si="112"/>
        <v/>
      </c>
      <c r="E1117" s="256"/>
      <c r="F1117" s="256"/>
      <c r="G1117" s="411"/>
      <c r="H1117" s="154"/>
      <c r="I1117" s="155"/>
      <c r="J1117" s="270"/>
      <c r="K1117" s="270"/>
      <c r="L1117" s="270"/>
      <c r="N1117" s="154"/>
      <c r="O1117" s="154"/>
    </row>
    <row r="1118" spans="1:15" s="156" customFormat="1" ht="13.5" customHeight="1">
      <c r="A1118" s="335">
        <v>39190</v>
      </c>
      <c r="B1118" s="343"/>
      <c r="C1118" s="380"/>
      <c r="D1118" s="261" t="str">
        <f t="shared" si="112"/>
        <v/>
      </c>
      <c r="E1118" s="256"/>
      <c r="F1118" s="256"/>
      <c r="G1118" s="411"/>
      <c r="H1118" s="154"/>
      <c r="I1118" s="155"/>
      <c r="J1118" s="270"/>
      <c r="K1118" s="270"/>
      <c r="L1118" s="270"/>
      <c r="N1118" s="154"/>
      <c r="O1118" s="154"/>
    </row>
    <row r="1119" spans="1:15" s="156" customFormat="1" ht="13.5" customHeight="1">
      <c r="A1119" s="335">
        <v>39191</v>
      </c>
      <c r="B1119" s="343">
        <v>11.1</v>
      </c>
      <c r="C1119" s="380">
        <v>3.486342592592593E-2</v>
      </c>
      <c r="D1119" s="261">
        <f t="shared" si="112"/>
        <v>3.1408491825158495E-3</v>
      </c>
      <c r="E1119" s="256">
        <v>145</v>
      </c>
      <c r="F1119" s="256">
        <v>169</v>
      </c>
      <c r="G1119" s="411"/>
      <c r="H1119" s="154"/>
      <c r="I1119" s="155">
        <f t="shared" si="111"/>
        <v>13.266051391009892</v>
      </c>
      <c r="J1119" s="270">
        <f>1/((182/(ConditieGetal!$B$2*(E1119/(I1119*ConditieGetal!$B$2))))*24)*10</f>
        <v>2.5023248981582317E-2</v>
      </c>
      <c r="K1119" s="270">
        <f t="shared" si="113"/>
        <v>5.521830862750321E-2</v>
      </c>
      <c r="L1119" s="270">
        <f t="shared" si="114"/>
        <v>4.1455210598370686E-2</v>
      </c>
      <c r="N1119" s="154"/>
      <c r="O1119" s="154"/>
    </row>
    <row r="1120" spans="1:15" s="160" customFormat="1" ht="13.5" customHeight="1" thickBot="1">
      <c r="A1120" s="335">
        <v>39192</v>
      </c>
      <c r="B1120" s="343"/>
      <c r="C1120" s="380"/>
      <c r="D1120" s="261" t="str">
        <f t="shared" si="112"/>
        <v/>
      </c>
      <c r="E1120" s="256"/>
      <c r="F1120" s="256"/>
      <c r="G1120" s="411"/>
      <c r="H1120" s="158"/>
      <c r="I1120" s="159" t="e">
        <f t="shared" si="111"/>
        <v>#VALUE!</v>
      </c>
      <c r="J1120" s="272"/>
      <c r="K1120" s="272">
        <f t="shared" si="113"/>
        <v>0</v>
      </c>
      <c r="L1120" s="272">
        <f t="shared" si="114"/>
        <v>0</v>
      </c>
      <c r="N1120" s="158"/>
      <c r="O1120" s="158"/>
    </row>
    <row r="1121" spans="1:15" s="168" customFormat="1" ht="13.5" customHeight="1" thickTop="1">
      <c r="A1121" s="335">
        <v>39193</v>
      </c>
      <c r="B1121" s="343"/>
      <c r="C1121" s="380"/>
      <c r="D1121" s="261" t="str">
        <f t="shared" si="112"/>
        <v/>
      </c>
      <c r="E1121" s="256"/>
      <c r="F1121" s="256"/>
      <c r="G1121" s="411"/>
      <c r="H1121" s="166"/>
      <c r="I1121" s="167" t="e">
        <f t="shared" si="111"/>
        <v>#VALUE!</v>
      </c>
      <c r="J1121" s="273"/>
      <c r="K1121" s="273">
        <f t="shared" si="113"/>
        <v>0</v>
      </c>
      <c r="L1121" s="273">
        <f t="shared" si="114"/>
        <v>0</v>
      </c>
      <c r="N1121" s="166"/>
      <c r="O1121" s="166"/>
    </row>
    <row r="1122" spans="1:15" s="172" customFormat="1" ht="13.5" customHeight="1" thickBot="1">
      <c r="A1122" s="336">
        <v>39194</v>
      </c>
      <c r="B1122" s="344">
        <v>17.3</v>
      </c>
      <c r="C1122" s="381">
        <v>4.7192129629629632E-2</v>
      </c>
      <c r="D1122" s="261">
        <f t="shared" si="112"/>
        <v>2.7278687647184757E-3</v>
      </c>
      <c r="E1122" s="260">
        <v>184</v>
      </c>
      <c r="F1122" s="260">
        <v>191</v>
      </c>
      <c r="G1122" s="411"/>
      <c r="H1122" s="170"/>
      <c r="I1122" s="171">
        <f t="shared" si="111"/>
        <v>15.274439593858832</v>
      </c>
      <c r="J1122" s="274">
        <f>1/((182/(ConditieGetal!$B$2*(E1122/(I1122*ConditieGetal!$B$2))))*24)*10</f>
        <v>2.7578453445505469E-2</v>
      </c>
      <c r="K1122" s="274">
        <f t="shared" si="113"/>
        <v>6.0856827782195352E-2</v>
      </c>
      <c r="L1122" s="274">
        <f t="shared" si="114"/>
        <v>4.5688335531579617E-2</v>
      </c>
      <c r="N1122" s="170"/>
      <c r="O1122" s="170"/>
    </row>
    <row r="1123" spans="1:15" s="172" customFormat="1" ht="13.5" customHeight="1">
      <c r="A1123" s="332">
        <v>39195</v>
      </c>
      <c r="B1123" s="340"/>
      <c r="C1123" s="377"/>
      <c r="D1123" s="261" t="str">
        <f t="shared" si="112"/>
        <v/>
      </c>
      <c r="E1123" s="254"/>
      <c r="F1123" s="254"/>
      <c r="G1123" s="410"/>
      <c r="H1123" s="170"/>
      <c r="I1123" s="171" t="e">
        <f t="shared" si="111"/>
        <v>#VALUE!</v>
      </c>
      <c r="J1123" s="274"/>
      <c r="K1123" s="274">
        <f t="shared" si="113"/>
        <v>0</v>
      </c>
      <c r="L1123" s="274">
        <f t="shared" si="114"/>
        <v>0</v>
      </c>
      <c r="N1123" s="170"/>
      <c r="O1123" s="170"/>
    </row>
    <row r="1124" spans="1:15" s="172" customFormat="1" ht="13.5" customHeight="1">
      <c r="A1124" s="332">
        <v>39196</v>
      </c>
      <c r="B1124" s="340"/>
      <c r="C1124" s="377"/>
      <c r="D1124" s="261" t="str">
        <f t="shared" si="112"/>
        <v/>
      </c>
      <c r="E1124" s="254"/>
      <c r="F1124" s="254"/>
      <c r="G1124" s="410"/>
      <c r="H1124" s="170"/>
      <c r="I1124" s="171" t="e">
        <f t="shared" si="111"/>
        <v>#VALUE!</v>
      </c>
      <c r="J1124" s="274"/>
      <c r="K1124" s="274">
        <f t="shared" si="113"/>
        <v>0</v>
      </c>
      <c r="L1124" s="274">
        <f t="shared" si="114"/>
        <v>0</v>
      </c>
      <c r="N1124" s="170"/>
      <c r="O1124" s="170"/>
    </row>
    <row r="1125" spans="1:15" s="172" customFormat="1" ht="13.5" customHeight="1">
      <c r="A1125" s="332">
        <v>39197</v>
      </c>
      <c r="B1125" s="340"/>
      <c r="C1125" s="377"/>
      <c r="D1125" s="261" t="str">
        <f t="shared" si="112"/>
        <v/>
      </c>
      <c r="E1125" s="254"/>
      <c r="F1125" s="254"/>
      <c r="G1125" s="410"/>
      <c r="H1125" s="170"/>
      <c r="I1125" s="171" t="e">
        <f t="shared" si="111"/>
        <v>#VALUE!</v>
      </c>
      <c r="J1125" s="274"/>
      <c r="K1125" s="274">
        <f t="shared" si="113"/>
        <v>0</v>
      </c>
      <c r="L1125" s="274">
        <f t="shared" si="114"/>
        <v>0</v>
      </c>
      <c r="N1125" s="170"/>
      <c r="O1125" s="170"/>
    </row>
    <row r="1126" spans="1:15" s="172" customFormat="1" ht="13.5" customHeight="1">
      <c r="A1126" s="332">
        <v>39198</v>
      </c>
      <c r="B1126" s="340"/>
      <c r="C1126" s="377"/>
      <c r="D1126" s="261" t="str">
        <f t="shared" si="112"/>
        <v/>
      </c>
      <c r="E1126" s="254"/>
      <c r="F1126" s="254"/>
      <c r="G1126" s="410"/>
      <c r="H1126" s="170"/>
      <c r="I1126" s="171" t="e">
        <f t="shared" si="111"/>
        <v>#VALUE!</v>
      </c>
      <c r="J1126" s="274"/>
      <c r="K1126" s="274">
        <f t="shared" si="113"/>
        <v>0</v>
      </c>
      <c r="L1126" s="274">
        <f t="shared" si="114"/>
        <v>0</v>
      </c>
      <c r="N1126" s="170"/>
      <c r="O1126" s="170"/>
    </row>
    <row r="1127" spans="1:15" s="176" customFormat="1" ht="13.5" customHeight="1" thickBot="1">
      <c r="A1127" s="332">
        <v>39199</v>
      </c>
      <c r="B1127" s="340"/>
      <c r="C1127" s="377"/>
      <c r="D1127" s="261" t="str">
        <f t="shared" si="112"/>
        <v/>
      </c>
      <c r="E1127" s="254"/>
      <c r="F1127" s="254"/>
      <c r="G1127" s="410"/>
      <c r="H1127" s="174"/>
      <c r="I1127" s="175" t="e">
        <f t="shared" ref="I1127:I1178" si="115">IF(D1127&gt;0,(1/(D1127*24)))</f>
        <v>#VALUE!</v>
      </c>
      <c r="J1127" s="276"/>
      <c r="K1127" s="276">
        <f t="shared" si="113"/>
        <v>0</v>
      </c>
      <c r="L1127" s="276">
        <f t="shared" si="114"/>
        <v>0</v>
      </c>
      <c r="N1127" s="174"/>
      <c r="O1127" s="174"/>
    </row>
    <row r="1128" spans="1:15" s="164" customFormat="1" ht="13.5" customHeight="1" thickTop="1">
      <c r="A1128" s="332">
        <v>39200</v>
      </c>
      <c r="B1128" s="340"/>
      <c r="C1128" s="377"/>
      <c r="D1128" s="261" t="str">
        <f t="shared" si="112"/>
        <v/>
      </c>
      <c r="E1128" s="254"/>
      <c r="F1128" s="254"/>
      <c r="G1128" s="410"/>
      <c r="H1128" s="162"/>
      <c r="I1128" s="163" t="e">
        <f t="shared" si="115"/>
        <v>#VALUE!</v>
      </c>
      <c r="J1128" s="271"/>
      <c r="K1128" s="271">
        <f t="shared" si="113"/>
        <v>0</v>
      </c>
      <c r="L1128" s="271">
        <f t="shared" si="114"/>
        <v>0</v>
      </c>
      <c r="N1128" s="162"/>
      <c r="O1128" s="162"/>
    </row>
    <row r="1129" spans="1:15" s="156" customFormat="1" ht="13.5" customHeight="1" thickBot="1">
      <c r="A1129" s="333">
        <v>39201</v>
      </c>
      <c r="B1129" s="341"/>
      <c r="C1129" s="378"/>
      <c r="D1129" s="261" t="str">
        <f t="shared" si="112"/>
        <v/>
      </c>
      <c r="E1129" s="259"/>
      <c r="F1129" s="259"/>
      <c r="G1129" s="410"/>
      <c r="H1129" s="154"/>
      <c r="I1129" s="155" t="e">
        <f t="shared" si="115"/>
        <v>#VALUE!</v>
      </c>
      <c r="J1129" s="270"/>
      <c r="K1129" s="270">
        <f t="shared" si="113"/>
        <v>0</v>
      </c>
      <c r="L1129" s="270">
        <f t="shared" si="114"/>
        <v>0</v>
      </c>
      <c r="N1129" s="154"/>
      <c r="O1129" s="154"/>
    </row>
    <row r="1130" spans="1:15" s="156" customFormat="1" ht="13.5" customHeight="1">
      <c r="A1130" s="334">
        <v>39202</v>
      </c>
      <c r="B1130" s="342"/>
      <c r="C1130" s="379"/>
      <c r="D1130" s="261" t="str">
        <f t="shared" si="112"/>
        <v/>
      </c>
      <c r="E1130" s="258"/>
      <c r="F1130" s="258"/>
      <c r="G1130" s="411"/>
      <c r="H1130" s="154"/>
      <c r="I1130" s="155" t="e">
        <f t="shared" si="115"/>
        <v>#VALUE!</v>
      </c>
      <c r="J1130" s="270"/>
      <c r="K1130" s="270">
        <f t="shared" si="113"/>
        <v>0</v>
      </c>
      <c r="L1130" s="270">
        <f t="shared" si="114"/>
        <v>0</v>
      </c>
      <c r="N1130" s="154"/>
      <c r="O1130" s="154"/>
    </row>
    <row r="1131" spans="1:15" s="156" customFormat="1" ht="13.5" customHeight="1">
      <c r="A1131" s="335">
        <v>39203</v>
      </c>
      <c r="B1131" s="343"/>
      <c r="C1131" s="380"/>
      <c r="D1131" s="261" t="str">
        <f t="shared" si="112"/>
        <v/>
      </c>
      <c r="E1131" s="256"/>
      <c r="F1131" s="256"/>
      <c r="G1131" s="411"/>
      <c r="H1131" s="154"/>
      <c r="I1131" s="155" t="e">
        <f t="shared" si="115"/>
        <v>#VALUE!</v>
      </c>
      <c r="J1131" s="270"/>
      <c r="K1131" s="270">
        <f t="shared" si="113"/>
        <v>0</v>
      </c>
      <c r="L1131" s="270">
        <f t="shared" si="114"/>
        <v>0</v>
      </c>
      <c r="N1131" s="154"/>
      <c r="O1131" s="154"/>
    </row>
    <row r="1132" spans="1:15" s="156" customFormat="1" ht="13.5" customHeight="1">
      <c r="A1132" s="335">
        <v>39204</v>
      </c>
      <c r="B1132" s="343"/>
      <c r="C1132" s="380"/>
      <c r="D1132" s="261" t="str">
        <f t="shared" si="112"/>
        <v/>
      </c>
      <c r="E1132" s="256"/>
      <c r="F1132" s="256"/>
      <c r="G1132" s="411"/>
      <c r="H1132" s="154"/>
      <c r="I1132" s="155" t="e">
        <f t="shared" si="115"/>
        <v>#VALUE!</v>
      </c>
      <c r="J1132" s="270"/>
      <c r="K1132" s="270">
        <f t="shared" si="113"/>
        <v>0</v>
      </c>
      <c r="L1132" s="270">
        <f t="shared" si="114"/>
        <v>0</v>
      </c>
      <c r="N1132" s="154"/>
      <c r="O1132" s="154"/>
    </row>
    <row r="1133" spans="1:15" s="156" customFormat="1" ht="13.5" customHeight="1">
      <c r="A1133" s="335">
        <v>39205</v>
      </c>
      <c r="B1133" s="343"/>
      <c r="C1133" s="380"/>
      <c r="D1133" s="261" t="str">
        <f t="shared" si="112"/>
        <v/>
      </c>
      <c r="E1133" s="256"/>
      <c r="F1133" s="256"/>
      <c r="G1133" s="411"/>
      <c r="H1133" s="154"/>
      <c r="I1133" s="155" t="e">
        <f t="shared" si="115"/>
        <v>#VALUE!</v>
      </c>
      <c r="J1133" s="270"/>
      <c r="K1133" s="270">
        <f t="shared" si="113"/>
        <v>0</v>
      </c>
      <c r="L1133" s="270">
        <f t="shared" si="114"/>
        <v>0</v>
      </c>
      <c r="N1133" s="154"/>
      <c r="O1133" s="154"/>
    </row>
    <row r="1134" spans="1:15" s="160" customFormat="1" ht="13.5" customHeight="1" thickBot="1">
      <c r="A1134" s="335">
        <v>39206</v>
      </c>
      <c r="B1134" s="343"/>
      <c r="C1134" s="380"/>
      <c r="D1134" s="261" t="str">
        <f t="shared" ref="D1134:D1179" si="116">IF(B1134&gt;0,C1134/B1134,"")</f>
        <v/>
      </c>
      <c r="E1134" s="256"/>
      <c r="F1134" s="256"/>
      <c r="G1134" s="411"/>
      <c r="H1134" s="158"/>
      <c r="I1134" s="159" t="e">
        <f t="shared" si="115"/>
        <v>#VALUE!</v>
      </c>
      <c r="J1134" s="272"/>
      <c r="K1134" s="272">
        <f t="shared" si="113"/>
        <v>0</v>
      </c>
      <c r="L1134" s="272">
        <f t="shared" si="114"/>
        <v>0</v>
      </c>
      <c r="N1134" s="158"/>
      <c r="O1134" s="158"/>
    </row>
    <row r="1135" spans="1:15" s="168" customFormat="1" ht="13.5" customHeight="1" thickTop="1">
      <c r="A1135" s="335">
        <v>39207</v>
      </c>
      <c r="B1135" s="343"/>
      <c r="C1135" s="380"/>
      <c r="D1135" s="261" t="str">
        <f t="shared" si="116"/>
        <v/>
      </c>
      <c r="E1135" s="256"/>
      <c r="F1135" s="256"/>
      <c r="G1135" s="411"/>
      <c r="H1135" s="166"/>
      <c r="I1135" s="167" t="e">
        <f t="shared" si="115"/>
        <v>#VALUE!</v>
      </c>
      <c r="J1135" s="273"/>
      <c r="K1135" s="273">
        <f t="shared" si="113"/>
        <v>0</v>
      </c>
      <c r="L1135" s="273">
        <f t="shared" si="114"/>
        <v>0</v>
      </c>
      <c r="N1135" s="166"/>
      <c r="O1135" s="166"/>
    </row>
    <row r="1136" spans="1:15" s="172" customFormat="1" ht="13.5" customHeight="1" thickBot="1">
      <c r="A1136" s="336">
        <v>39208</v>
      </c>
      <c r="B1136" s="344"/>
      <c r="C1136" s="381"/>
      <c r="D1136" s="261" t="str">
        <f t="shared" si="116"/>
        <v/>
      </c>
      <c r="E1136" s="260"/>
      <c r="F1136" s="260"/>
      <c r="G1136" s="411"/>
      <c r="H1136" s="170"/>
      <c r="I1136" s="171" t="e">
        <f t="shared" si="115"/>
        <v>#VALUE!</v>
      </c>
      <c r="J1136" s="274"/>
      <c r="K1136" s="274">
        <f t="shared" si="113"/>
        <v>0</v>
      </c>
      <c r="L1136" s="274">
        <f t="shared" si="114"/>
        <v>0</v>
      </c>
      <c r="N1136" s="170"/>
      <c r="O1136" s="170"/>
    </row>
    <row r="1137" spans="1:15" s="172" customFormat="1" ht="13.5" customHeight="1">
      <c r="A1137" s="332">
        <v>39209</v>
      </c>
      <c r="B1137" s="340"/>
      <c r="C1137" s="377"/>
      <c r="D1137" s="261" t="str">
        <f t="shared" si="116"/>
        <v/>
      </c>
      <c r="E1137" s="254"/>
      <c r="F1137" s="254"/>
      <c r="G1137" s="410"/>
      <c r="H1137" s="170"/>
      <c r="I1137" s="171" t="e">
        <f t="shared" si="115"/>
        <v>#VALUE!</v>
      </c>
      <c r="J1137" s="274"/>
      <c r="K1137" s="274">
        <f t="shared" ref="K1137:K1178" si="117">$J1137*POWER(21.1/10,1.06)</f>
        <v>0</v>
      </c>
      <c r="L1137" s="274">
        <f t="shared" ref="L1137:L1178" si="118">$J1137*POWER(16.1/10,1.06)</f>
        <v>0</v>
      </c>
      <c r="N1137" s="170"/>
      <c r="O1137" s="170"/>
    </row>
    <row r="1138" spans="1:15" s="172" customFormat="1" ht="13.5" customHeight="1">
      <c r="A1138" s="332">
        <v>39210</v>
      </c>
      <c r="B1138" s="340"/>
      <c r="C1138" s="377"/>
      <c r="D1138" s="261" t="str">
        <f t="shared" si="116"/>
        <v/>
      </c>
      <c r="E1138" s="254"/>
      <c r="F1138" s="254"/>
      <c r="G1138" s="410"/>
      <c r="H1138" s="170"/>
      <c r="I1138" s="171" t="e">
        <f t="shared" si="115"/>
        <v>#VALUE!</v>
      </c>
      <c r="J1138" s="274"/>
      <c r="K1138" s="274">
        <f t="shared" si="117"/>
        <v>0</v>
      </c>
      <c r="L1138" s="274">
        <f t="shared" si="118"/>
        <v>0</v>
      </c>
      <c r="N1138" s="170"/>
      <c r="O1138" s="170"/>
    </row>
    <row r="1139" spans="1:15" s="172" customFormat="1" ht="13.5" customHeight="1">
      <c r="A1139" s="332">
        <v>39211</v>
      </c>
      <c r="B1139" s="340"/>
      <c r="C1139" s="377"/>
      <c r="D1139" s="261" t="str">
        <f t="shared" si="116"/>
        <v/>
      </c>
      <c r="E1139" s="254"/>
      <c r="F1139" s="254"/>
      <c r="G1139" s="410"/>
      <c r="H1139" s="170"/>
      <c r="I1139" s="171" t="e">
        <f t="shared" si="115"/>
        <v>#VALUE!</v>
      </c>
      <c r="J1139" s="274"/>
      <c r="K1139" s="274">
        <f t="shared" si="117"/>
        <v>0</v>
      </c>
      <c r="L1139" s="274">
        <f t="shared" si="118"/>
        <v>0</v>
      </c>
      <c r="N1139" s="170"/>
      <c r="O1139" s="170"/>
    </row>
    <row r="1140" spans="1:15" s="172" customFormat="1" ht="13.5" customHeight="1">
      <c r="A1140" s="332">
        <v>39212</v>
      </c>
      <c r="B1140" s="340"/>
      <c r="C1140" s="377"/>
      <c r="D1140" s="261" t="str">
        <f t="shared" si="116"/>
        <v/>
      </c>
      <c r="E1140" s="254"/>
      <c r="F1140" s="254"/>
      <c r="G1140" s="410"/>
      <c r="H1140" s="170"/>
      <c r="I1140" s="171" t="e">
        <f t="shared" si="115"/>
        <v>#VALUE!</v>
      </c>
      <c r="J1140" s="274"/>
      <c r="K1140" s="274">
        <f t="shared" si="117"/>
        <v>0</v>
      </c>
      <c r="L1140" s="274">
        <f t="shared" si="118"/>
        <v>0</v>
      </c>
      <c r="N1140" s="170"/>
      <c r="O1140" s="170"/>
    </row>
    <row r="1141" spans="1:15" s="176" customFormat="1" ht="13.5" customHeight="1" thickBot="1">
      <c r="A1141" s="332">
        <v>39213</v>
      </c>
      <c r="B1141" s="340">
        <v>12.2</v>
      </c>
      <c r="C1141" s="377">
        <v>3.3190972222222219E-2</v>
      </c>
      <c r="D1141" s="261">
        <f t="shared" si="116"/>
        <v>2.7205714936247723E-3</v>
      </c>
      <c r="E1141" s="254">
        <v>181</v>
      </c>
      <c r="F1141" s="263">
        <v>194</v>
      </c>
      <c r="G1141" s="414"/>
      <c r="H1141" s="174"/>
      <c r="I1141" s="175">
        <f t="shared" si="115"/>
        <v>15.315409561669631</v>
      </c>
      <c r="J1141" s="276">
        <f>1/((182/(ConditieGetal!$B$2*(E1141/(I1141*ConditieGetal!$B$2))))*24)*10</f>
        <v>2.7056232986048565E-2</v>
      </c>
      <c r="K1141" s="276">
        <f t="shared" si="117"/>
        <v>5.970445422258637E-2</v>
      </c>
      <c r="L1141" s="276">
        <f t="shared" si="118"/>
        <v>4.4823189716921508E-2</v>
      </c>
      <c r="N1141" s="174"/>
      <c r="O1141" s="174"/>
    </row>
    <row r="1142" spans="1:15" s="164" customFormat="1" ht="13.5" customHeight="1" thickTop="1">
      <c r="A1142" s="332">
        <v>39214</v>
      </c>
      <c r="B1142" s="340"/>
      <c r="C1142" s="377"/>
      <c r="D1142" s="261" t="str">
        <f t="shared" si="116"/>
        <v/>
      </c>
      <c r="E1142" s="254"/>
      <c r="F1142" s="254"/>
      <c r="G1142" s="410"/>
      <c r="H1142" s="162"/>
      <c r="I1142" s="163" t="e">
        <f t="shared" si="115"/>
        <v>#VALUE!</v>
      </c>
      <c r="J1142" s="271"/>
      <c r="K1142" s="271">
        <f t="shared" si="117"/>
        <v>0</v>
      </c>
      <c r="L1142" s="271">
        <f t="shared" si="118"/>
        <v>0</v>
      </c>
      <c r="N1142" s="162"/>
      <c r="O1142" s="162"/>
    </row>
    <row r="1143" spans="1:15" s="156" customFormat="1" ht="13.5" customHeight="1" thickBot="1">
      <c r="A1143" s="333">
        <v>39215</v>
      </c>
      <c r="B1143" s="341">
        <v>15</v>
      </c>
      <c r="C1143" s="378">
        <v>4.5405092592592594E-2</v>
      </c>
      <c r="D1143" s="261">
        <f t="shared" si="116"/>
        <v>3.0270061728395062E-3</v>
      </c>
      <c r="E1143" s="259">
        <v>157</v>
      </c>
      <c r="F1143" s="259">
        <v>179</v>
      </c>
      <c r="G1143" s="410"/>
      <c r="H1143" s="154"/>
      <c r="I1143" s="155">
        <f t="shared" si="115"/>
        <v>13.764975783838898</v>
      </c>
      <c r="J1143" s="270">
        <f>1/((182/(ConditieGetal!$B$2*(E1143/(I1143*ConditieGetal!$B$2))))*24)*10</f>
        <v>2.6112086216252883E-2</v>
      </c>
      <c r="K1143" s="270">
        <f t="shared" si="117"/>
        <v>5.7621024218648426E-2</v>
      </c>
      <c r="L1143" s="270">
        <f t="shared" si="118"/>
        <v>4.325905217401254E-2</v>
      </c>
      <c r="N1143" s="154"/>
      <c r="O1143" s="154"/>
    </row>
    <row r="1144" spans="1:15" s="156" customFormat="1" ht="13.5" customHeight="1">
      <c r="A1144" s="334">
        <v>39216</v>
      </c>
      <c r="B1144" s="342">
        <v>14.6</v>
      </c>
      <c r="C1144" s="379">
        <v>4.4313657407407413E-2</v>
      </c>
      <c r="D1144" s="261">
        <f t="shared" si="116"/>
        <v>3.0351820142059871E-3</v>
      </c>
      <c r="E1144" s="258">
        <v>154</v>
      </c>
      <c r="F1144" s="258">
        <v>187</v>
      </c>
      <c r="G1144" s="411"/>
      <c r="H1144" s="154"/>
      <c r="I1144" s="155">
        <f t="shared" si="115"/>
        <v>13.727897197482175</v>
      </c>
      <c r="J1144" s="270">
        <f>1/((182/(ConditieGetal!$B$2*(E1144/(I1144*ConditieGetal!$B$2))))*24)*10</f>
        <v>2.568230935097374E-2</v>
      </c>
      <c r="K1144" s="270">
        <f t="shared" si="117"/>
        <v>5.6672644109997804E-2</v>
      </c>
      <c r="L1144" s="270">
        <f t="shared" si="118"/>
        <v>4.2547054684255403E-2</v>
      </c>
      <c r="N1144" s="154"/>
      <c r="O1144" s="154"/>
    </row>
    <row r="1145" spans="1:15" s="156" customFormat="1" ht="13.5" customHeight="1">
      <c r="A1145" s="335">
        <v>39217</v>
      </c>
      <c r="B1145" s="343">
        <v>11.3</v>
      </c>
      <c r="C1145" s="380">
        <v>3.2983796296296296E-2</v>
      </c>
      <c r="D1145" s="261">
        <f t="shared" si="116"/>
        <v>2.9189200262209111E-3</v>
      </c>
      <c r="E1145" s="256">
        <v>156</v>
      </c>
      <c r="F1145" s="256">
        <v>190</v>
      </c>
      <c r="G1145" s="411"/>
      <c r="H1145" s="154"/>
      <c r="I1145" s="155">
        <f t="shared" si="115"/>
        <v>14.274685942873184</v>
      </c>
      <c r="J1145" s="270">
        <f>1/((182/(ConditieGetal!$B$2*(E1145/(I1145*ConditieGetal!$B$2))))*24)*10</f>
        <v>2.5019314510464945E-2</v>
      </c>
      <c r="K1145" s="270">
        <f t="shared" si="117"/>
        <v>5.5209626507902961E-2</v>
      </c>
      <c r="L1145" s="270">
        <f t="shared" si="118"/>
        <v>4.1448692486798368E-2</v>
      </c>
      <c r="N1145" s="154"/>
      <c r="O1145" s="154"/>
    </row>
    <row r="1146" spans="1:15" s="156" customFormat="1" ht="13.5" customHeight="1">
      <c r="A1146" s="335">
        <v>39218</v>
      </c>
      <c r="B1146" s="343"/>
      <c r="C1146" s="380"/>
      <c r="D1146" s="261" t="str">
        <f t="shared" si="116"/>
        <v/>
      </c>
      <c r="E1146" s="256"/>
      <c r="F1146" s="256"/>
      <c r="G1146" s="411"/>
      <c r="H1146" s="154"/>
      <c r="I1146" s="155" t="e">
        <f t="shared" si="115"/>
        <v>#VALUE!</v>
      </c>
      <c r="J1146" s="270"/>
      <c r="K1146" s="270">
        <f t="shared" si="117"/>
        <v>0</v>
      </c>
      <c r="L1146" s="270">
        <f t="shared" si="118"/>
        <v>0</v>
      </c>
      <c r="N1146" s="154"/>
      <c r="O1146" s="154"/>
    </row>
    <row r="1147" spans="1:15" s="156" customFormat="1" ht="13.5" customHeight="1">
      <c r="A1147" s="335">
        <v>39219</v>
      </c>
      <c r="B1147" s="343">
        <v>14.5</v>
      </c>
      <c r="C1147" s="380">
        <v>4.6385416666666672E-2</v>
      </c>
      <c r="D1147" s="261">
        <f t="shared" si="116"/>
        <v>3.1989942528735634E-3</v>
      </c>
      <c r="E1147" s="256">
        <v>147</v>
      </c>
      <c r="F1147" s="256">
        <v>159</v>
      </c>
      <c r="G1147" s="411"/>
      <c r="H1147" s="154"/>
      <c r="I1147" s="155">
        <f t="shared" si="115"/>
        <v>13.02492701549517</v>
      </c>
      <c r="J1147" s="270">
        <f>1/((182/(ConditieGetal!$B$2*(E1147/(I1147*ConditieGetal!$B$2))))*24)*10</f>
        <v>2.5838030503978787E-2</v>
      </c>
      <c r="K1147" s="270">
        <f t="shared" si="117"/>
        <v>5.7016270898541214E-2</v>
      </c>
      <c r="L1147" s="270">
        <f t="shared" si="118"/>
        <v>4.2805032902719226E-2</v>
      </c>
      <c r="N1147" s="154"/>
      <c r="O1147" s="154"/>
    </row>
    <row r="1148" spans="1:15" s="160" customFormat="1" ht="13.5" customHeight="1" thickBot="1">
      <c r="A1148" s="335">
        <v>39220</v>
      </c>
      <c r="B1148" s="343"/>
      <c r="C1148" s="380"/>
      <c r="D1148" s="261" t="str">
        <f t="shared" si="116"/>
        <v/>
      </c>
      <c r="E1148" s="256"/>
      <c r="F1148" s="256"/>
      <c r="G1148" s="411"/>
      <c r="H1148" s="158"/>
      <c r="I1148" s="159" t="e">
        <f t="shared" si="115"/>
        <v>#VALUE!</v>
      </c>
      <c r="J1148" s="272"/>
      <c r="K1148" s="272">
        <f t="shared" si="117"/>
        <v>0</v>
      </c>
      <c r="L1148" s="272">
        <f t="shared" si="118"/>
        <v>0</v>
      </c>
      <c r="N1148" s="158"/>
      <c r="O1148" s="158"/>
    </row>
    <row r="1149" spans="1:15" s="168" customFormat="1" ht="13.5" customHeight="1" thickTop="1">
      <c r="A1149" s="335">
        <v>39221</v>
      </c>
      <c r="B1149" s="343"/>
      <c r="C1149" s="380"/>
      <c r="D1149" s="261" t="str">
        <f t="shared" si="116"/>
        <v/>
      </c>
      <c r="E1149" s="256"/>
      <c r="F1149" s="256"/>
      <c r="G1149" s="411"/>
      <c r="H1149" s="166"/>
      <c r="I1149" s="167" t="e">
        <f t="shared" si="115"/>
        <v>#VALUE!</v>
      </c>
      <c r="J1149" s="273"/>
      <c r="K1149" s="273">
        <f t="shared" si="117"/>
        <v>0</v>
      </c>
      <c r="L1149" s="273">
        <f t="shared" si="118"/>
        <v>0</v>
      </c>
      <c r="N1149" s="166"/>
      <c r="O1149" s="166"/>
    </row>
    <row r="1150" spans="1:15" s="172" customFormat="1" ht="13.5" customHeight="1" thickBot="1">
      <c r="A1150" s="336">
        <v>39222</v>
      </c>
      <c r="B1150" s="344">
        <v>10.8</v>
      </c>
      <c r="C1150" s="381">
        <v>2.813310185185185E-2</v>
      </c>
      <c r="D1150" s="261">
        <f t="shared" si="116"/>
        <v>2.6049168381344304E-3</v>
      </c>
      <c r="E1150" s="260">
        <v>172</v>
      </c>
      <c r="F1150" s="260">
        <v>188</v>
      </c>
      <c r="G1150" s="411"/>
      <c r="H1150" s="170"/>
      <c r="I1150" s="171">
        <f t="shared" si="115"/>
        <v>15.995392273830586</v>
      </c>
      <c r="J1150" s="274">
        <f>1/((182/(ConditieGetal!$B$2*(E1150/(I1150*ConditieGetal!$B$2))))*24)*10</f>
        <v>2.4617895393358354E-2</v>
      </c>
      <c r="K1150" s="274">
        <f t="shared" si="117"/>
        <v>5.4323822881296113E-2</v>
      </c>
      <c r="L1150" s="274">
        <f t="shared" si="118"/>
        <v>4.0783674365046318E-2</v>
      </c>
      <c r="N1150" s="170"/>
      <c r="O1150" s="170"/>
    </row>
    <row r="1151" spans="1:15" s="172" customFormat="1" ht="13.5" customHeight="1">
      <c r="A1151" s="332">
        <v>39223</v>
      </c>
      <c r="B1151" s="340"/>
      <c r="C1151" s="377"/>
      <c r="D1151" s="261" t="str">
        <f t="shared" si="116"/>
        <v/>
      </c>
      <c r="E1151" s="254"/>
      <c r="F1151" s="254"/>
      <c r="G1151" s="410"/>
      <c r="H1151" s="170"/>
      <c r="I1151" s="171" t="e">
        <f t="shared" si="115"/>
        <v>#VALUE!</v>
      </c>
      <c r="J1151" s="274"/>
      <c r="K1151" s="274">
        <f t="shared" si="117"/>
        <v>0</v>
      </c>
      <c r="L1151" s="274">
        <f t="shared" si="118"/>
        <v>0</v>
      </c>
      <c r="N1151" s="170"/>
      <c r="O1151" s="170"/>
    </row>
    <row r="1152" spans="1:15" s="172" customFormat="1" ht="13.5" customHeight="1">
      <c r="A1152" s="332">
        <v>39224</v>
      </c>
      <c r="B1152" s="340"/>
      <c r="C1152" s="377"/>
      <c r="D1152" s="261" t="str">
        <f t="shared" si="116"/>
        <v/>
      </c>
      <c r="E1152" s="254"/>
      <c r="F1152" s="254"/>
      <c r="G1152" s="410"/>
      <c r="H1152" s="170"/>
      <c r="I1152" s="171" t="e">
        <f t="shared" si="115"/>
        <v>#VALUE!</v>
      </c>
      <c r="J1152" s="274"/>
      <c r="K1152" s="274">
        <f t="shared" si="117"/>
        <v>0</v>
      </c>
      <c r="L1152" s="274">
        <f t="shared" si="118"/>
        <v>0</v>
      </c>
      <c r="N1152" s="170"/>
      <c r="O1152" s="170"/>
    </row>
    <row r="1153" spans="1:15" s="172" customFormat="1" ht="13.5" customHeight="1">
      <c r="A1153" s="332">
        <v>39225</v>
      </c>
      <c r="B1153" s="340"/>
      <c r="C1153" s="377"/>
      <c r="D1153" s="261" t="str">
        <f t="shared" si="116"/>
        <v/>
      </c>
      <c r="E1153" s="254"/>
      <c r="F1153" s="254"/>
      <c r="G1153" s="410"/>
      <c r="H1153" s="170"/>
      <c r="I1153" s="171" t="e">
        <f t="shared" si="115"/>
        <v>#VALUE!</v>
      </c>
      <c r="J1153" s="274"/>
      <c r="K1153" s="274">
        <f t="shared" si="117"/>
        <v>0</v>
      </c>
      <c r="L1153" s="274">
        <f t="shared" si="118"/>
        <v>0</v>
      </c>
      <c r="N1153" s="170"/>
      <c r="O1153" s="170"/>
    </row>
    <row r="1154" spans="1:15" s="172" customFormat="1" ht="13.5" customHeight="1">
      <c r="A1154" s="332">
        <v>39226</v>
      </c>
      <c r="B1154" s="340"/>
      <c r="C1154" s="377"/>
      <c r="D1154" s="261" t="str">
        <f t="shared" si="116"/>
        <v/>
      </c>
      <c r="E1154" s="254"/>
      <c r="F1154" s="254"/>
      <c r="G1154" s="410"/>
      <c r="H1154" s="170"/>
      <c r="I1154" s="171" t="e">
        <f t="shared" si="115"/>
        <v>#VALUE!</v>
      </c>
      <c r="J1154" s="274"/>
      <c r="K1154" s="274">
        <f t="shared" si="117"/>
        <v>0</v>
      </c>
      <c r="L1154" s="274">
        <f t="shared" si="118"/>
        <v>0</v>
      </c>
      <c r="N1154" s="170"/>
      <c r="O1154" s="170"/>
    </row>
    <row r="1155" spans="1:15" s="176" customFormat="1" ht="13.5" customHeight="1" thickBot="1">
      <c r="A1155" s="332">
        <v>39227</v>
      </c>
      <c r="B1155" s="340"/>
      <c r="C1155" s="377"/>
      <c r="D1155" s="261" t="str">
        <f t="shared" si="116"/>
        <v/>
      </c>
      <c r="E1155" s="254"/>
      <c r="F1155" s="254"/>
      <c r="G1155" s="410"/>
      <c r="H1155" s="174"/>
      <c r="I1155" s="175" t="e">
        <f t="shared" si="115"/>
        <v>#VALUE!</v>
      </c>
      <c r="J1155" s="276"/>
      <c r="K1155" s="276">
        <f t="shared" si="117"/>
        <v>0</v>
      </c>
      <c r="L1155" s="276">
        <f t="shared" si="118"/>
        <v>0</v>
      </c>
      <c r="N1155" s="174"/>
      <c r="O1155" s="174"/>
    </row>
    <row r="1156" spans="1:15" s="164" customFormat="1" ht="13.5" customHeight="1" thickTop="1">
      <c r="A1156" s="332">
        <v>39228</v>
      </c>
      <c r="B1156" s="340"/>
      <c r="C1156" s="377"/>
      <c r="D1156" s="261" t="str">
        <f t="shared" si="116"/>
        <v/>
      </c>
      <c r="E1156" s="254"/>
      <c r="F1156" s="254"/>
      <c r="G1156" s="410"/>
      <c r="H1156" s="162"/>
      <c r="I1156" s="163" t="e">
        <f t="shared" si="115"/>
        <v>#VALUE!</v>
      </c>
      <c r="J1156" s="271"/>
      <c r="K1156" s="271">
        <f t="shared" si="117"/>
        <v>0</v>
      </c>
      <c r="L1156" s="271">
        <f t="shared" si="118"/>
        <v>0</v>
      </c>
      <c r="N1156" s="162"/>
      <c r="O1156" s="162"/>
    </row>
    <row r="1157" spans="1:15" s="156" customFormat="1" ht="13.5" customHeight="1" thickBot="1">
      <c r="A1157" s="333">
        <v>39229</v>
      </c>
      <c r="B1157" s="341"/>
      <c r="C1157" s="378"/>
      <c r="D1157" s="261" t="str">
        <f t="shared" si="116"/>
        <v/>
      </c>
      <c r="E1157" s="259"/>
      <c r="F1157" s="259"/>
      <c r="G1157" s="410"/>
      <c r="H1157" s="154"/>
      <c r="I1157" s="155" t="e">
        <f t="shared" si="115"/>
        <v>#VALUE!</v>
      </c>
      <c r="J1157" s="270"/>
      <c r="K1157" s="270">
        <f t="shared" si="117"/>
        <v>0</v>
      </c>
      <c r="L1157" s="270">
        <f t="shared" si="118"/>
        <v>0</v>
      </c>
      <c r="N1157" s="154"/>
      <c r="O1157" s="154"/>
    </row>
    <row r="1158" spans="1:15" s="156" customFormat="1" ht="13.5" customHeight="1">
      <c r="A1158" s="334">
        <v>39230</v>
      </c>
      <c r="B1158" s="342">
        <v>15.8</v>
      </c>
      <c r="C1158" s="379"/>
      <c r="D1158" s="261">
        <f t="shared" si="116"/>
        <v>0</v>
      </c>
      <c r="E1158" s="258">
        <v>149</v>
      </c>
      <c r="F1158" s="258">
        <v>186</v>
      </c>
      <c r="G1158" s="411"/>
      <c r="H1158" s="154"/>
      <c r="I1158" s="155" t="b">
        <f t="shared" si="115"/>
        <v>0</v>
      </c>
      <c r="J1158" s="270"/>
      <c r="K1158" s="270">
        <f t="shared" si="117"/>
        <v>0</v>
      </c>
      <c r="L1158" s="270">
        <f t="shared" si="118"/>
        <v>0</v>
      </c>
      <c r="N1158" s="154"/>
      <c r="O1158" s="154"/>
    </row>
    <row r="1159" spans="1:15" s="156" customFormat="1" ht="13.5" customHeight="1">
      <c r="A1159" s="335">
        <v>39231</v>
      </c>
      <c r="B1159" s="343"/>
      <c r="C1159" s="380"/>
      <c r="D1159" s="261" t="str">
        <f t="shared" si="116"/>
        <v/>
      </c>
      <c r="E1159" s="256"/>
      <c r="F1159" s="256"/>
      <c r="G1159" s="411"/>
      <c r="H1159" s="154"/>
      <c r="I1159" s="155" t="e">
        <f t="shared" si="115"/>
        <v>#VALUE!</v>
      </c>
      <c r="J1159" s="270"/>
      <c r="K1159" s="270">
        <f t="shared" si="117"/>
        <v>0</v>
      </c>
      <c r="L1159" s="270">
        <f t="shared" si="118"/>
        <v>0</v>
      </c>
      <c r="N1159" s="154"/>
      <c r="O1159" s="154"/>
    </row>
    <row r="1160" spans="1:15" s="156" customFormat="1" ht="13.5" customHeight="1">
      <c r="A1160" s="335">
        <v>39232</v>
      </c>
      <c r="B1160" s="346">
        <v>11.4</v>
      </c>
      <c r="C1160" s="383">
        <v>3.7341435185185186E-2</v>
      </c>
      <c r="D1160" s="261">
        <f t="shared" si="116"/>
        <v>3.2755644899285252E-3</v>
      </c>
      <c r="E1160" s="257">
        <v>158</v>
      </c>
      <c r="F1160" s="257"/>
      <c r="G1160" s="415"/>
      <c r="H1160" s="154"/>
      <c r="I1160" s="155">
        <f t="shared" si="115"/>
        <v>12.720453770573101</v>
      </c>
      <c r="J1160" s="270">
        <f>1/((182/(ConditieGetal!$B$2*(E1160/(I1160*ConditieGetal!$B$2))))*24)*10</f>
        <v>2.8436219198280602E-2</v>
      </c>
      <c r="K1160" s="270">
        <f t="shared" si="117"/>
        <v>6.2749642504284442E-2</v>
      </c>
      <c r="L1160" s="270">
        <f t="shared" si="118"/>
        <v>4.7109368425890634E-2</v>
      </c>
      <c r="N1160" s="154"/>
      <c r="O1160" s="154"/>
    </row>
    <row r="1161" spans="1:15" s="156" customFormat="1" ht="13.5" customHeight="1">
      <c r="A1161" s="335">
        <v>39233</v>
      </c>
      <c r="B1161" s="343">
        <v>11.7</v>
      </c>
      <c r="C1161" s="380">
        <v>4.2731481481481481E-2</v>
      </c>
      <c r="D1161" s="261">
        <f t="shared" si="116"/>
        <v>3.6522633744855968E-3</v>
      </c>
      <c r="E1161" s="256">
        <v>145</v>
      </c>
      <c r="F1161" s="256">
        <v>157</v>
      </c>
      <c r="G1161" s="411"/>
      <c r="H1161" s="154"/>
      <c r="I1161" s="155">
        <f t="shared" si="115"/>
        <v>11.408450704225352</v>
      </c>
      <c r="J1161" s="270">
        <f>1/((182/(ConditieGetal!$B$2*(E1161/(I1161*ConditieGetal!$B$2))))*24)*10</f>
        <v>2.909770270881382E-2</v>
      </c>
      <c r="K1161" s="270">
        <f t="shared" si="117"/>
        <v>6.4209325084412683E-2</v>
      </c>
      <c r="L1161" s="270">
        <f t="shared" si="118"/>
        <v>4.8205226851656499E-2</v>
      </c>
      <c r="N1161" s="154"/>
      <c r="O1161" s="154"/>
    </row>
    <row r="1162" spans="1:15" s="160" customFormat="1" ht="13.5" customHeight="1" thickBot="1">
      <c r="A1162" s="335">
        <v>39234</v>
      </c>
      <c r="B1162" s="343"/>
      <c r="C1162" s="380"/>
      <c r="D1162" s="261" t="str">
        <f t="shared" si="116"/>
        <v/>
      </c>
      <c r="E1162" s="256"/>
      <c r="F1162" s="256"/>
      <c r="G1162" s="411"/>
      <c r="H1162" s="158"/>
      <c r="I1162" s="159" t="e">
        <f t="shared" si="115"/>
        <v>#VALUE!</v>
      </c>
      <c r="J1162" s="272"/>
      <c r="K1162" s="272">
        <f t="shared" si="117"/>
        <v>0</v>
      </c>
      <c r="L1162" s="272">
        <f t="shared" si="118"/>
        <v>0</v>
      </c>
      <c r="N1162" s="158"/>
      <c r="O1162" s="158"/>
    </row>
    <row r="1163" spans="1:15" s="168" customFormat="1" ht="13.5" customHeight="1" thickTop="1">
      <c r="A1163" s="335">
        <v>39235</v>
      </c>
      <c r="B1163" s="343">
        <v>13.3</v>
      </c>
      <c r="C1163" s="380"/>
      <c r="D1163" s="261">
        <f t="shared" si="116"/>
        <v>0</v>
      </c>
      <c r="E1163" s="256"/>
      <c r="F1163" s="256"/>
      <c r="G1163" s="411"/>
      <c r="H1163" s="166"/>
      <c r="I1163" s="167" t="b">
        <f t="shared" si="115"/>
        <v>0</v>
      </c>
      <c r="J1163" s="273"/>
      <c r="K1163" s="273">
        <f t="shared" si="117"/>
        <v>0</v>
      </c>
      <c r="L1163" s="273">
        <f t="shared" si="118"/>
        <v>0</v>
      </c>
      <c r="N1163" s="166"/>
      <c r="O1163" s="166"/>
    </row>
    <row r="1164" spans="1:15" s="172" customFormat="1" ht="13.5" customHeight="1" thickBot="1">
      <c r="A1164" s="336">
        <v>39236</v>
      </c>
      <c r="B1164" s="344"/>
      <c r="C1164" s="381"/>
      <c r="D1164" s="261" t="str">
        <f t="shared" si="116"/>
        <v/>
      </c>
      <c r="E1164" s="260"/>
      <c r="F1164" s="260"/>
      <c r="G1164" s="411"/>
      <c r="H1164" s="170"/>
      <c r="I1164" s="171" t="e">
        <f t="shared" si="115"/>
        <v>#VALUE!</v>
      </c>
      <c r="J1164" s="274"/>
      <c r="K1164" s="274">
        <f t="shared" si="117"/>
        <v>0</v>
      </c>
      <c r="L1164" s="274">
        <f t="shared" si="118"/>
        <v>0</v>
      </c>
      <c r="N1164" s="170"/>
      <c r="O1164" s="170"/>
    </row>
    <row r="1165" spans="1:15" s="172" customFormat="1" ht="13.5" customHeight="1">
      <c r="A1165" s="337">
        <v>39237</v>
      </c>
      <c r="B1165" s="347">
        <v>11.1</v>
      </c>
      <c r="C1165" s="384">
        <v>3.7966435185185186E-2</v>
      </c>
      <c r="D1165" s="261">
        <f t="shared" si="116"/>
        <v>3.4203995662328997E-3</v>
      </c>
      <c r="E1165" s="264">
        <v>144</v>
      </c>
      <c r="F1165" s="264">
        <v>156</v>
      </c>
      <c r="G1165" s="410"/>
      <c r="H1165" s="170"/>
      <c r="I1165" s="171">
        <f t="shared" si="115"/>
        <v>12.181812639087887</v>
      </c>
      <c r="J1165" s="274">
        <f>1/((182/(ConditieGetal!$B$2*(E1165/(I1165*ConditieGetal!$B$2))))*24)*10</f>
        <v>2.7062502062502065E-2</v>
      </c>
      <c r="K1165" s="274">
        <f t="shared" si="117"/>
        <v>5.9718288069608938E-2</v>
      </c>
      <c r="L1165" s="274">
        <f t="shared" si="118"/>
        <v>4.4833575493957431E-2</v>
      </c>
      <c r="N1165" s="170"/>
      <c r="O1165" s="170"/>
    </row>
    <row r="1166" spans="1:15" s="172" customFormat="1" ht="13.5" customHeight="1" thickBot="1">
      <c r="A1166" s="338">
        <v>39454</v>
      </c>
      <c r="B1166" s="348">
        <v>4.2</v>
      </c>
      <c r="C1166" s="385">
        <v>1.0416666666666666E-2</v>
      </c>
      <c r="D1166" s="261">
        <f t="shared" si="116"/>
        <v>2.48015873015873E-3</v>
      </c>
      <c r="E1166" s="267">
        <v>150</v>
      </c>
      <c r="F1166" s="267"/>
      <c r="G1166" s="416"/>
      <c r="H1166" s="170"/>
      <c r="I1166" s="171">
        <f t="shared" si="115"/>
        <v>16.8</v>
      </c>
      <c r="J1166" s="274">
        <f>1/((182/(ConditieGetal!$B$2*(E1166/(I1166*ConditieGetal!$B$2))))*24)*10</f>
        <v>2.0440868655154369E-2</v>
      </c>
      <c r="K1166" s="274">
        <f t="shared" si="117"/>
        <v>4.5106460589723056E-2</v>
      </c>
      <c r="L1166" s="274">
        <f t="shared" si="118"/>
        <v>3.3863728708320412E-2</v>
      </c>
      <c r="N1166" s="170"/>
      <c r="O1166" s="170"/>
    </row>
    <row r="1167" spans="1:15" s="172" customFormat="1" ht="13.5" customHeight="1" thickBot="1">
      <c r="A1167" s="339">
        <v>39570</v>
      </c>
      <c r="B1167" s="349">
        <v>12.5</v>
      </c>
      <c r="C1167" s="386">
        <v>3.1900462962962964E-2</v>
      </c>
      <c r="D1167" s="261">
        <f t="shared" si="116"/>
        <v>2.5520370370370371E-3</v>
      </c>
      <c r="E1167" s="268">
        <v>180</v>
      </c>
      <c r="F1167" s="268">
        <v>192</v>
      </c>
      <c r="G1167" s="416"/>
      <c r="H1167" s="170"/>
      <c r="I1167" s="171">
        <f t="shared" si="115"/>
        <v>16.326826790508669</v>
      </c>
      <c r="J1167" s="274">
        <f>1/((182/(ConditieGetal!$B$2*(E1167/(I1167*ConditieGetal!$B$2))))*24)*10</f>
        <v>2.5239926739926741E-2</v>
      </c>
      <c r="K1167" s="274">
        <f t="shared" si="117"/>
        <v>5.5696447151472823E-2</v>
      </c>
      <c r="L1167" s="274">
        <f t="shared" si="118"/>
        <v>4.1814173661510974E-2</v>
      </c>
      <c r="N1167" s="170"/>
      <c r="O1167" s="170"/>
    </row>
    <row r="1168" spans="1:15" s="172" customFormat="1" ht="13.5" customHeight="1">
      <c r="A1168" s="404"/>
      <c r="B1168" s="350"/>
      <c r="C1168" s="387"/>
      <c r="D1168" s="261" t="str">
        <f t="shared" si="116"/>
        <v/>
      </c>
      <c r="E1168" s="265"/>
      <c r="F1168" s="265"/>
      <c r="G1168" s="417"/>
      <c r="H1168" s="170"/>
      <c r="I1168" s="171" t="e">
        <f t="shared" si="115"/>
        <v>#VALUE!</v>
      </c>
      <c r="J1168" s="274"/>
      <c r="K1168" s="274">
        <f t="shared" si="117"/>
        <v>0</v>
      </c>
      <c r="L1168" s="274">
        <f t="shared" si="118"/>
        <v>0</v>
      </c>
      <c r="N1168" s="170"/>
      <c r="O1168" s="170"/>
    </row>
    <row r="1169" spans="1:15" s="176" customFormat="1" ht="13.5" customHeight="1" thickBot="1">
      <c r="A1169" s="405"/>
      <c r="B1169" s="351"/>
      <c r="C1169" s="388"/>
      <c r="D1169" s="261" t="str">
        <f t="shared" si="116"/>
        <v/>
      </c>
      <c r="E1169" s="266"/>
      <c r="F1169" s="266"/>
      <c r="G1169" s="417"/>
      <c r="H1169" s="174"/>
      <c r="I1169" s="175" t="e">
        <f t="shared" si="115"/>
        <v>#VALUE!</v>
      </c>
      <c r="J1169" s="276"/>
      <c r="K1169" s="276">
        <f t="shared" si="117"/>
        <v>0</v>
      </c>
      <c r="L1169" s="276">
        <f t="shared" si="118"/>
        <v>0</v>
      </c>
      <c r="N1169" s="174"/>
      <c r="O1169" s="174"/>
    </row>
    <row r="1170" spans="1:15" s="164" customFormat="1" ht="13.5" customHeight="1" thickTop="1">
      <c r="A1170" s="335">
        <v>39841</v>
      </c>
      <c r="B1170" s="352">
        <v>6.9</v>
      </c>
      <c r="C1170" s="377">
        <v>2.4346064814814813E-2</v>
      </c>
      <c r="D1170" s="261">
        <f t="shared" si="116"/>
        <v>3.5284151905528712E-3</v>
      </c>
      <c r="E1170" s="254">
        <v>170</v>
      </c>
      <c r="F1170" s="254">
        <v>183</v>
      </c>
      <c r="G1170" s="410"/>
      <c r="H1170" s="162"/>
      <c r="I1170" s="163">
        <f t="shared" si="115"/>
        <v>11.808889945329216</v>
      </c>
      <c r="J1170" s="271">
        <f>1/((182/(ConditieGetal!$B$2*(E1170/(I1170*ConditieGetal!$B$2))))*24)*10</f>
        <v>3.2957724307361977E-2</v>
      </c>
      <c r="K1170" s="271">
        <f t="shared" si="117"/>
        <v>7.2727158403912459E-2</v>
      </c>
      <c r="L1170" s="271">
        <f t="shared" si="118"/>
        <v>5.4600000304130647E-2</v>
      </c>
      <c r="N1170" s="162"/>
      <c r="O1170" s="162"/>
    </row>
    <row r="1171" spans="1:15" s="156" customFormat="1" ht="13.5" customHeight="1">
      <c r="A1171" s="335">
        <v>39844</v>
      </c>
      <c r="B1171" s="340">
        <v>10.5</v>
      </c>
      <c r="C1171" s="377">
        <v>3.4104166666666665E-2</v>
      </c>
      <c r="D1171" s="261">
        <f t="shared" si="116"/>
        <v>3.2480158730158726E-3</v>
      </c>
      <c r="E1171" s="254">
        <v>178</v>
      </c>
      <c r="F1171" s="254">
        <v>200</v>
      </c>
      <c r="G1171" s="410"/>
      <c r="H1171" s="154"/>
      <c r="I1171" s="155">
        <f t="shared" si="115"/>
        <v>12.828344532681736</v>
      </c>
      <c r="J1171" s="270">
        <f>1/((182/(ConditieGetal!$B$2*(E1171/(I1171*ConditieGetal!$B$2))))*24)*10</f>
        <v>3.176630908773765E-2</v>
      </c>
      <c r="K1171" s="270">
        <f t="shared" si="117"/>
        <v>7.0098086002117546E-2</v>
      </c>
      <c r="L1171" s="270">
        <f t="shared" si="118"/>
        <v>5.2626221084814122E-2</v>
      </c>
      <c r="N1171" s="154"/>
      <c r="O1171" s="154"/>
    </row>
    <row r="1172" spans="1:15" s="156" customFormat="1" ht="13.5" customHeight="1">
      <c r="A1172" s="335">
        <v>39847</v>
      </c>
      <c r="B1172" s="343">
        <v>10.7</v>
      </c>
      <c r="C1172" s="380">
        <v>3.8773148148148147E-2</v>
      </c>
      <c r="D1172" s="261">
        <f t="shared" si="116"/>
        <v>3.6236587054344063E-3</v>
      </c>
      <c r="E1172" s="256">
        <v>159</v>
      </c>
      <c r="F1172" s="256">
        <v>172</v>
      </c>
      <c r="G1172" s="411"/>
      <c r="H1172" s="154"/>
      <c r="I1172" s="155">
        <f t="shared" si="115"/>
        <v>11.498507462686568</v>
      </c>
      <c r="J1172" s="270">
        <f>1/((182/(ConditieGetal!$B$2*(E1172/(I1172*ConditieGetal!$B$2))))*24)*10</f>
        <v>3.1657238140882997E-2</v>
      </c>
      <c r="K1172" s="270">
        <f t="shared" si="117"/>
        <v>6.985740130085645E-2</v>
      </c>
      <c r="L1172" s="270">
        <f t="shared" si="118"/>
        <v>5.2445526760294105E-2</v>
      </c>
      <c r="N1172" s="154"/>
      <c r="O1172" s="154"/>
    </row>
    <row r="1173" spans="1:15" s="156" customFormat="1" ht="13.5" customHeight="1">
      <c r="A1173" s="335">
        <v>39851</v>
      </c>
      <c r="B1173" s="343">
        <v>11</v>
      </c>
      <c r="C1173" s="380">
        <v>3.8523148148148147E-2</v>
      </c>
      <c r="D1173" s="261">
        <f t="shared" si="116"/>
        <v>3.502104377104377E-3</v>
      </c>
      <c r="E1173" s="256">
        <v>153</v>
      </c>
      <c r="F1173" s="256">
        <v>171</v>
      </c>
      <c r="G1173" s="411"/>
      <c r="H1173" s="154"/>
      <c r="I1173" s="155">
        <f t="shared" si="115"/>
        <v>11.897608460521573</v>
      </c>
      <c r="J1173" s="270">
        <f>1/((182/(ConditieGetal!$B$2*(E1173/(I1173*ConditieGetal!$B$2))))*24)*10</f>
        <v>2.9440767565767561E-2</v>
      </c>
      <c r="K1173" s="270">
        <f t="shared" si="117"/>
        <v>6.4966359519248257E-2</v>
      </c>
      <c r="L1173" s="270">
        <f t="shared" si="118"/>
        <v>4.8773571350182045E-2</v>
      </c>
      <c r="N1173" s="154"/>
      <c r="O1173" s="154"/>
    </row>
    <row r="1174" spans="1:15" s="156" customFormat="1" ht="13.5" customHeight="1">
      <c r="A1174" s="335">
        <v>39855</v>
      </c>
      <c r="B1174" s="340">
        <v>10.9</v>
      </c>
      <c r="C1174" s="377">
        <v>3.6584490740740737E-2</v>
      </c>
      <c r="D1174" s="261">
        <f t="shared" si="116"/>
        <v>3.3563752973156638E-3</v>
      </c>
      <c r="E1174" s="254">
        <v>160</v>
      </c>
      <c r="F1174" s="254">
        <v>185</v>
      </c>
      <c r="G1174" s="410"/>
      <c r="H1174" s="154"/>
      <c r="I1174" s="155">
        <f t="shared" si="115"/>
        <v>12.414185833148787</v>
      </c>
      <c r="J1174" s="270">
        <f>1/((182/(ConditieGetal!$B$2*(E1174/(I1174*ConditieGetal!$B$2))))*24)*10</f>
        <v>2.9506596020357486E-2</v>
      </c>
      <c r="K1174" s="270">
        <f t="shared" si="117"/>
        <v>6.5111621868062089E-2</v>
      </c>
      <c r="L1174" s="270">
        <f t="shared" si="118"/>
        <v>4.8882627230591467E-2</v>
      </c>
      <c r="N1174" s="154"/>
      <c r="O1174" s="154"/>
    </row>
    <row r="1175" spans="1:15" s="156" customFormat="1" ht="13.5" customHeight="1" thickBot="1">
      <c r="A1175" s="335">
        <v>39859</v>
      </c>
      <c r="B1175" s="341">
        <v>10.9</v>
      </c>
      <c r="C1175" s="378">
        <v>3.4131944444444444E-2</v>
      </c>
      <c r="D1175" s="261">
        <f t="shared" si="116"/>
        <v>3.1313710499490314E-3</v>
      </c>
      <c r="E1175" s="259">
        <v>158</v>
      </c>
      <c r="F1175" s="259">
        <v>173</v>
      </c>
      <c r="G1175" s="410"/>
      <c r="H1175" s="154"/>
      <c r="I1175" s="155">
        <f t="shared" si="115"/>
        <v>13.306205493387591</v>
      </c>
      <c r="J1175" s="270">
        <f>1/((182/(ConditieGetal!$B$2*(E1175/(I1175*ConditieGetal!$B$2))))*24)*10</f>
        <v>2.7184429994063015E-2</v>
      </c>
      <c r="K1175" s="270">
        <f t="shared" si="117"/>
        <v>5.9987344024740943E-2</v>
      </c>
      <c r="L1175" s="270">
        <f t="shared" si="118"/>
        <v>4.5035569570921745E-2</v>
      </c>
      <c r="N1175" s="154"/>
      <c r="O1175" s="154"/>
    </row>
    <row r="1176" spans="1:15" s="160" customFormat="1" ht="13.5" customHeight="1" thickBot="1">
      <c r="A1176" s="335">
        <v>39861</v>
      </c>
      <c r="B1176" s="343">
        <v>15.8</v>
      </c>
      <c r="C1176" s="380">
        <v>5.4432870370370368E-2</v>
      </c>
      <c r="D1176" s="261">
        <f t="shared" si="116"/>
        <v>3.4451183778715423E-3</v>
      </c>
      <c r="E1176" s="256">
        <v>153</v>
      </c>
      <c r="F1176" s="256">
        <v>175</v>
      </c>
      <c r="G1176" s="411"/>
      <c r="H1176" s="158"/>
      <c r="I1176" s="159">
        <f t="shared" si="115"/>
        <v>12.094407824792686</v>
      </c>
      <c r="J1176" s="272">
        <f>1/((182/(ConditieGetal!$B$2*(E1176/(I1176*ConditieGetal!$B$2))))*24)*10</f>
        <v>2.8961709440348676E-2</v>
      </c>
      <c r="K1176" s="272">
        <f t="shared" si="117"/>
        <v>6.3909231428513E-2</v>
      </c>
      <c r="L1176" s="272">
        <f t="shared" si="118"/>
        <v>4.7979931184082211E-2</v>
      </c>
      <c r="N1176" s="158"/>
      <c r="O1176" s="158"/>
    </row>
    <row r="1177" spans="1:15" s="168" customFormat="1" ht="13.5" customHeight="1" thickTop="1">
      <c r="A1177" s="335">
        <v>39865</v>
      </c>
      <c r="B1177" s="343">
        <v>21.4</v>
      </c>
      <c r="C1177" s="380">
        <v>7.0347222222222214E-2</v>
      </c>
      <c r="D1177" s="261">
        <f t="shared" si="116"/>
        <v>3.2872533748701969E-3</v>
      </c>
      <c r="E1177" s="256">
        <v>157</v>
      </c>
      <c r="F1177" s="256">
        <v>186</v>
      </c>
      <c r="G1177" s="411"/>
      <c r="H1177" s="166"/>
      <c r="I1177" s="167">
        <f t="shared" si="115"/>
        <v>12.675222112537021</v>
      </c>
      <c r="J1177" s="273">
        <f>1/((182/(ConditieGetal!$B$2*(E1177/(I1177*ConditieGetal!$B$2))))*24)*10</f>
        <v>2.835707581618796E-2</v>
      </c>
      <c r="K1177" s="273">
        <f t="shared" si="117"/>
        <v>6.2574998368287851E-2</v>
      </c>
      <c r="L1177" s="273">
        <f t="shared" si="118"/>
        <v>4.697825413395626E-2</v>
      </c>
      <c r="N1177" s="166"/>
      <c r="O1177" s="166"/>
    </row>
    <row r="1178" spans="1:15" s="172" customFormat="1" ht="13.5" customHeight="1">
      <c r="A1178" s="335">
        <v>39868</v>
      </c>
      <c r="B1178" s="340">
        <v>10.5</v>
      </c>
      <c r="C1178" s="377">
        <v>3.2984953703703704E-2</v>
      </c>
      <c r="D1178" s="261">
        <f t="shared" si="116"/>
        <v>3.1414241622574955E-3</v>
      </c>
      <c r="E1178" s="254">
        <v>161</v>
      </c>
      <c r="F1178" s="254">
        <v>169</v>
      </c>
      <c r="G1178" s="410"/>
      <c r="H1178" s="170"/>
      <c r="I1178" s="171">
        <f t="shared" si="115"/>
        <v>13.263623285027546</v>
      </c>
      <c r="J1178" s="274">
        <f>1/((182/(ConditieGetal!$B$2*(E1178/(I1178*ConditieGetal!$B$2))))*24)*10</f>
        <v>2.7789521435354767E-2</v>
      </c>
      <c r="K1178" s="274">
        <f t="shared" si="117"/>
        <v>6.1322587340974608E-2</v>
      </c>
      <c r="L1178" s="274">
        <f t="shared" si="118"/>
        <v>4.6038005071942563E-2</v>
      </c>
      <c r="N1178" s="170"/>
      <c r="O1178" s="170"/>
    </row>
    <row r="1179" spans="1:15" s="172" customFormat="1" ht="13.5" customHeight="1" thickBot="1">
      <c r="A1179" s="335">
        <v>39869</v>
      </c>
      <c r="B1179" s="340"/>
      <c r="C1179" s="377"/>
      <c r="D1179" s="261" t="str">
        <f t="shared" si="116"/>
        <v/>
      </c>
      <c r="E1179" s="254"/>
      <c r="F1179" s="254"/>
      <c r="G1179" s="410"/>
      <c r="H1179" s="170"/>
      <c r="I1179" s="171"/>
      <c r="J1179" s="274"/>
      <c r="K1179" s="274"/>
      <c r="L1179" s="274"/>
      <c r="N1179" s="170"/>
      <c r="O1179" s="170"/>
    </row>
    <row r="1180" spans="1:15" s="168" customFormat="1" ht="13.5" customHeight="1" thickTop="1">
      <c r="A1180" s="335">
        <v>39909</v>
      </c>
      <c r="B1180" s="340"/>
      <c r="C1180" s="377"/>
      <c r="D1180" s="261" t="str">
        <f t="shared" ref="D1180:D1192" si="119">IF(B1180&gt;0,C1180/B1180,"")</f>
        <v/>
      </c>
      <c r="E1180" s="254"/>
      <c r="F1180" s="254"/>
      <c r="G1180" s="410"/>
      <c r="H1180" s="166"/>
      <c r="I1180" s="167"/>
      <c r="J1180" s="273"/>
      <c r="K1180" s="273"/>
      <c r="L1180" s="273"/>
      <c r="N1180" s="166"/>
      <c r="O1180" s="166"/>
    </row>
    <row r="1181" spans="1:15" s="172" customFormat="1" ht="13.5" customHeight="1">
      <c r="A1181" s="335">
        <v>39910</v>
      </c>
      <c r="B1181" s="340"/>
      <c r="C1181" s="377"/>
      <c r="D1181" s="261" t="str">
        <f t="shared" si="119"/>
        <v/>
      </c>
      <c r="E1181" s="254"/>
      <c r="F1181" s="254"/>
      <c r="G1181" s="410"/>
      <c r="H1181" s="170"/>
      <c r="I1181" s="171"/>
      <c r="J1181" s="274"/>
      <c r="K1181" s="274"/>
      <c r="L1181" s="274"/>
      <c r="N1181" s="170"/>
      <c r="O1181" s="170"/>
    </row>
    <row r="1182" spans="1:15" s="172" customFormat="1" ht="13.5" customHeight="1">
      <c r="A1182" s="335">
        <v>39911</v>
      </c>
      <c r="B1182" s="340"/>
      <c r="C1182" s="377"/>
      <c r="D1182" s="261" t="str">
        <f t="shared" si="119"/>
        <v/>
      </c>
      <c r="E1182" s="254"/>
      <c r="F1182" s="254"/>
      <c r="G1182" s="410"/>
      <c r="H1182" s="170"/>
      <c r="I1182" s="171"/>
      <c r="J1182" s="274"/>
      <c r="K1182" s="274"/>
      <c r="L1182" s="274"/>
      <c r="N1182" s="170"/>
      <c r="O1182" s="170"/>
    </row>
    <row r="1183" spans="1:15" s="172" customFormat="1" ht="13.5" customHeight="1">
      <c r="A1183" s="335">
        <v>39912</v>
      </c>
      <c r="B1183" s="340"/>
      <c r="C1183" s="377"/>
      <c r="D1183" s="261" t="str">
        <f t="shared" si="119"/>
        <v/>
      </c>
      <c r="E1183" s="254"/>
      <c r="F1183" s="254"/>
      <c r="G1183" s="410"/>
      <c r="H1183" s="170"/>
      <c r="I1183" s="171"/>
      <c r="J1183" s="274"/>
      <c r="K1183" s="274"/>
      <c r="L1183" s="274"/>
      <c r="N1183" s="170"/>
      <c r="O1183" s="170"/>
    </row>
    <row r="1184" spans="1:15" s="172" customFormat="1" ht="13.5" customHeight="1">
      <c r="A1184" s="335">
        <v>39913</v>
      </c>
      <c r="B1184" s="340"/>
      <c r="C1184" s="377"/>
      <c r="D1184" s="261" t="str">
        <f t="shared" si="119"/>
        <v/>
      </c>
      <c r="E1184" s="254"/>
      <c r="F1184" s="254"/>
      <c r="G1184" s="410"/>
      <c r="H1184" s="170"/>
      <c r="I1184" s="171"/>
      <c r="J1184" s="274"/>
      <c r="K1184" s="274"/>
      <c r="L1184" s="274"/>
      <c r="N1184" s="170"/>
      <c r="O1184" s="170"/>
    </row>
    <row r="1185" spans="1:15" s="172" customFormat="1" ht="13.5" customHeight="1">
      <c r="A1185" s="335">
        <v>39914</v>
      </c>
      <c r="B1185" s="340">
        <v>9.8000000000000007</v>
      </c>
      <c r="C1185" s="377">
        <v>3.1776620370370372E-2</v>
      </c>
      <c r="D1185" s="261">
        <f t="shared" si="119"/>
        <v>3.2425122826908541E-3</v>
      </c>
      <c r="E1185" s="254">
        <v>170</v>
      </c>
      <c r="F1185" s="254">
        <v>188</v>
      </c>
      <c r="G1185" s="410"/>
      <c r="H1185" s="170"/>
      <c r="I1185" s="171">
        <f t="shared" ref="I1185:I1192" si="120">IF(D1185&gt;0,(1/(D1185*24)))</f>
        <v>12.850118375523584</v>
      </c>
      <c r="J1185" s="274">
        <f>1/((182/(ConditieGetal!$B$2*(E1185/(I1185*ConditieGetal!$B$2))))*24)*10</f>
        <v>3.0287202640518963E-2</v>
      </c>
      <c r="K1185" s="274">
        <f t="shared" ref="K1185:K1192" si="121">$J1185*POWER(21.1/10,1.06)</f>
        <v>6.6834171058236164E-2</v>
      </c>
      <c r="L1185" s="274">
        <f t="shared" ref="L1185:L1192" si="122">$J1185*POWER(16.1/10,1.06)</f>
        <v>5.0175833075168014E-2</v>
      </c>
      <c r="N1185" s="170"/>
      <c r="O1185" s="170"/>
    </row>
    <row r="1186" spans="1:15" s="176" customFormat="1" ht="13.5" customHeight="1" thickBot="1">
      <c r="A1186" s="335">
        <v>39915</v>
      </c>
      <c r="B1186" s="341">
        <v>10.8</v>
      </c>
      <c r="C1186" s="378">
        <v>3.5231481481481482E-2</v>
      </c>
      <c r="D1186" s="261">
        <f t="shared" si="119"/>
        <v>3.262174211248285E-3</v>
      </c>
      <c r="E1186" s="259">
        <v>162</v>
      </c>
      <c r="F1186" s="259">
        <v>190</v>
      </c>
      <c r="G1186" s="410"/>
      <c r="H1186" s="174"/>
      <c r="I1186" s="175">
        <f t="shared" si="120"/>
        <v>12.772667542706968</v>
      </c>
      <c r="J1186" s="276">
        <f>1/((182/(ConditieGetal!$B$2*(E1186/(I1186*ConditieGetal!$B$2))))*24)*10</f>
        <v>2.9036935286935281E-2</v>
      </c>
      <c r="K1186" s="276">
        <f t="shared" si="121"/>
        <v>6.4075230816387913E-2</v>
      </c>
      <c r="L1186" s="276">
        <f t="shared" si="122"/>
        <v>4.8104555421126079E-2</v>
      </c>
      <c r="N1186" s="174"/>
      <c r="O1186" s="174"/>
    </row>
    <row r="1187" spans="1:15" s="164" customFormat="1" ht="13.5" customHeight="1" thickTop="1">
      <c r="A1187" s="335">
        <v>39916</v>
      </c>
      <c r="B1187" s="342"/>
      <c r="C1187" s="379"/>
      <c r="D1187" s="261" t="str">
        <f t="shared" si="119"/>
        <v/>
      </c>
      <c r="E1187" s="258"/>
      <c r="F1187" s="258"/>
      <c r="G1187" s="411"/>
      <c r="H1187" s="162"/>
      <c r="I1187" s="163"/>
      <c r="J1187" s="271"/>
      <c r="K1187" s="271"/>
      <c r="L1187" s="271"/>
      <c r="N1187" s="162"/>
      <c r="O1187" s="162"/>
    </row>
    <row r="1188" spans="1:15" s="156" customFormat="1" ht="13.5" customHeight="1">
      <c r="A1188" s="335">
        <v>39917</v>
      </c>
      <c r="B1188" s="343">
        <v>10.4</v>
      </c>
      <c r="C1188" s="380">
        <v>3.5101851851851849E-2</v>
      </c>
      <c r="D1188" s="261">
        <f t="shared" si="119"/>
        <v>3.3751780626780623E-3</v>
      </c>
      <c r="E1188" s="256">
        <v>157</v>
      </c>
      <c r="F1188" s="256">
        <v>170</v>
      </c>
      <c r="G1188" s="411"/>
      <c r="H1188" s="154"/>
      <c r="I1188" s="155">
        <f t="shared" si="120"/>
        <v>12.345027697177526</v>
      </c>
      <c r="J1188" s="270">
        <f>1/((182/(ConditieGetal!$B$2*(E1188/(I1188*ConditieGetal!$B$2))))*24)*10</f>
        <v>2.9115547024200873E-2</v>
      </c>
      <c r="K1188" s="270">
        <f t="shared" si="121"/>
        <v>6.4248701782259318E-2</v>
      </c>
      <c r="L1188" s="270">
        <f t="shared" si="122"/>
        <v>4.823478895419956E-2</v>
      </c>
      <c r="N1188" s="154"/>
      <c r="O1188" s="154"/>
    </row>
    <row r="1189" spans="1:15" s="156" customFormat="1" ht="13.5" customHeight="1">
      <c r="A1189" s="335">
        <v>39918</v>
      </c>
      <c r="B1189" s="346"/>
      <c r="C1189" s="383"/>
      <c r="D1189" s="261" t="str">
        <f t="shared" si="119"/>
        <v/>
      </c>
      <c r="E1189" s="256"/>
      <c r="F1189" s="256"/>
      <c r="G1189" s="411"/>
      <c r="H1189" s="154"/>
      <c r="I1189" s="155"/>
      <c r="J1189" s="270"/>
      <c r="K1189" s="270"/>
      <c r="L1189" s="270"/>
      <c r="N1189" s="154"/>
      <c r="O1189" s="154"/>
    </row>
    <row r="1190" spans="1:15" s="156" customFormat="1" ht="13.5" customHeight="1">
      <c r="A1190" s="335">
        <v>39919</v>
      </c>
      <c r="B1190" s="343"/>
      <c r="C1190" s="380"/>
      <c r="D1190" s="261" t="str">
        <f t="shared" si="119"/>
        <v/>
      </c>
      <c r="E1190" s="256"/>
      <c r="F1190" s="256"/>
      <c r="G1190" s="411"/>
      <c r="H1190" s="154"/>
      <c r="I1190" s="155"/>
      <c r="J1190" s="270"/>
      <c r="K1190" s="270"/>
      <c r="L1190" s="270"/>
      <c r="N1190" s="154"/>
      <c r="O1190" s="154"/>
    </row>
    <row r="1191" spans="1:15" s="156" customFormat="1" ht="13.5" customHeight="1">
      <c r="A1191" s="335">
        <v>39920</v>
      </c>
      <c r="B1191" s="343">
        <v>10.5</v>
      </c>
      <c r="C1191" s="380">
        <v>3.4872685185185187E-2</v>
      </c>
      <c r="D1191" s="261">
        <f t="shared" si="119"/>
        <v>3.3212081128747798E-3</v>
      </c>
      <c r="E1191" s="256">
        <v>156</v>
      </c>
      <c r="F1191" s="256">
        <v>170</v>
      </c>
      <c r="G1191" s="411"/>
      <c r="H1191" s="154"/>
      <c r="I1191" s="155">
        <f t="shared" si="120"/>
        <v>12.545635579156986</v>
      </c>
      <c r="J1191" s="270">
        <f>1/((182/(ConditieGetal!$B$2*(E1191/(I1191*ConditieGetal!$B$2))))*24)*10</f>
        <v>2.8467498110355254E-2</v>
      </c>
      <c r="K1191" s="270">
        <f t="shared" si="121"/>
        <v>6.2818665060937334E-2</v>
      </c>
      <c r="L1191" s="270">
        <f t="shared" si="122"/>
        <v>4.7161187192042743E-2</v>
      </c>
      <c r="N1191" s="154"/>
      <c r="O1191" s="154"/>
    </row>
    <row r="1192" spans="1:15" s="156" customFormat="1" ht="13.5" customHeight="1">
      <c r="A1192" s="335">
        <v>39921</v>
      </c>
      <c r="B1192" s="343">
        <v>12.9</v>
      </c>
      <c r="C1192" s="380">
        <v>4.2016203703703701E-2</v>
      </c>
      <c r="D1192" s="261">
        <f t="shared" si="119"/>
        <v>3.2570700545506742E-3</v>
      </c>
      <c r="E1192" s="256">
        <v>156</v>
      </c>
      <c r="F1192" s="256">
        <v>172</v>
      </c>
      <c r="G1192" s="411"/>
      <c r="H1192" s="154"/>
      <c r="I1192" s="155">
        <f t="shared" si="120"/>
        <v>12.792683598699798</v>
      </c>
      <c r="J1192" s="270">
        <f>1/((182/(ConditieGetal!$B$2*(E1192/(I1192*ConditieGetal!$B$2))))*24)*10</f>
        <v>2.7917743324720065E-2</v>
      </c>
      <c r="K1192" s="270">
        <f t="shared" si="121"/>
        <v>6.1605532048314003E-2</v>
      </c>
      <c r="L1192" s="270">
        <f t="shared" si="122"/>
        <v>4.625042614607533E-2</v>
      </c>
      <c r="N1192" s="154"/>
      <c r="O1192" s="154"/>
    </row>
    <row r="1201" spans="1:15" ht="13.5" customHeight="1">
      <c r="A1201" s="395">
        <v>40481</v>
      </c>
      <c r="B1201" s="177">
        <v>15.4</v>
      </c>
      <c r="C1201" s="361">
        <v>5.4745370370370368E-2</v>
      </c>
      <c r="D1201" s="261">
        <f t="shared" ref="D1201:D1219" si="123">IF(B1201&gt;0,C1201/B1201,"")</f>
        <v>3.5548941798941797E-3</v>
      </c>
      <c r="E1201" s="66">
        <v>138</v>
      </c>
      <c r="F1201" s="66">
        <v>173</v>
      </c>
      <c r="I1201" s="155">
        <f t="shared" ref="I1201" si="124">IF(D1201&gt;0,(1/(D1201*24)))</f>
        <v>11.720930232558139</v>
      </c>
      <c r="J1201" s="270">
        <f>1/((182/(ConditieGetal!$B$2*(E1201/(I1201*ConditieGetal!$B$2))))*24)*10</f>
        <v>2.6954692133263559E-2</v>
      </c>
      <c r="K1201" s="270">
        <f t="shared" ref="K1201:K1219" si="125">$J1201*POWER(21.1/10,1.06)</f>
        <v>5.9480386030981471E-2</v>
      </c>
      <c r="L1201" s="270">
        <f t="shared" ref="L1201:L1219" si="126">$J1201*POWER(16.1/10,1.06)</f>
        <v>4.4654970256705173E-2</v>
      </c>
      <c r="M1201" s="270">
        <f>$J1201*POWER(42.2/10,1.06)</f>
        <v>0.12401253175782141</v>
      </c>
      <c r="N1201" s="28" t="b">
        <f>ISEVEN(WEEKNUM(A1201))</f>
        <v>1</v>
      </c>
    </row>
    <row r="1202" spans="1:15" s="283" customFormat="1" ht="13.5" customHeight="1">
      <c r="A1202" s="406">
        <v>40482</v>
      </c>
      <c r="B1202" s="296">
        <v>19.3</v>
      </c>
      <c r="C1202" s="374">
        <v>7.3564814814814819E-2</v>
      </c>
      <c r="D1202" s="261">
        <f t="shared" si="123"/>
        <v>3.8116484360007676E-3</v>
      </c>
      <c r="E1202" s="86">
        <v>149</v>
      </c>
      <c r="F1202" s="86">
        <v>170</v>
      </c>
      <c r="G1202" s="86"/>
      <c r="H1202" s="280"/>
      <c r="I1202" s="281">
        <f t="shared" ref="I1202" si="127">IF(D1202&gt;0,(1/(D1202*24)))</f>
        <v>10.93140339836375</v>
      </c>
      <c r="J1202" s="282">
        <f>1/((182/(ConditieGetal!$B$2*(E1202/(I1202*ConditieGetal!$B$2))))*24)*10</f>
        <v>3.1205253679346939E-2</v>
      </c>
      <c r="K1202" s="282">
        <f t="shared" si="125"/>
        <v>6.8860016128758958E-2</v>
      </c>
      <c r="L1202" s="282">
        <f t="shared" si="126"/>
        <v>5.1696738661116438E-2</v>
      </c>
      <c r="M1202" s="270">
        <f t="shared" ref="M1202:M1219" si="128">$J1202*POWER(42.2/10,1.06)</f>
        <v>0.14356841821039718</v>
      </c>
      <c r="N1202" s="280" t="b">
        <f t="shared" ref="N1202:N1206" si="129">ISEVEN(WEEKNUM(A1202))</f>
        <v>0</v>
      </c>
      <c r="O1202" s="280"/>
    </row>
    <row r="1203" spans="1:15" ht="13.5" customHeight="1">
      <c r="A1203" s="395">
        <v>40484</v>
      </c>
      <c r="B1203" s="177">
        <v>16.100000000000001</v>
      </c>
      <c r="C1203" s="361">
        <v>5.4201388888888889E-2</v>
      </c>
      <c r="D1203" s="279">
        <f t="shared" si="123"/>
        <v>3.3665458937198064E-3</v>
      </c>
      <c r="E1203" s="66">
        <v>156</v>
      </c>
      <c r="F1203" s="66">
        <v>185</v>
      </c>
      <c r="I1203" s="205">
        <f t="shared" ref="I1203" si="130">IF(D1203&gt;0,(1/(D1203*24)))</f>
        <v>12.376681614349778</v>
      </c>
      <c r="J1203" s="277">
        <f>1/((182/(ConditieGetal!$B$2*(E1203/(I1203*ConditieGetal!$B$2))))*24)*10</f>
        <v>2.8856107660455474E-2</v>
      </c>
      <c r="K1203" s="277">
        <f t="shared" si="125"/>
        <v>6.3676202069373883E-2</v>
      </c>
      <c r="L1203" s="277">
        <f t="shared" si="126"/>
        <v>4.7804984116726665E-2</v>
      </c>
      <c r="M1203" s="270">
        <f t="shared" si="128"/>
        <v>0.13276052087544568</v>
      </c>
      <c r="N1203" s="28" t="b">
        <f t="shared" si="129"/>
        <v>0</v>
      </c>
    </row>
    <row r="1204" spans="1:15" ht="13.5" customHeight="1">
      <c r="A1204" s="395">
        <v>40486</v>
      </c>
      <c r="B1204" s="177">
        <v>23</v>
      </c>
      <c r="C1204" s="361">
        <v>7.8016203703703699E-2</v>
      </c>
      <c r="D1204" s="261">
        <f t="shared" si="123"/>
        <v>3.3920088566827696E-3</v>
      </c>
      <c r="E1204" s="66">
        <v>155</v>
      </c>
      <c r="F1204" s="66">
        <v>163</v>
      </c>
      <c r="I1204" s="155">
        <f t="shared" ref="I1204" si="131">IF(D1204&gt;0,(1/(D1204*24)))</f>
        <v>12.283772957896923</v>
      </c>
      <c r="J1204" s="270">
        <f>1/((182/(ConditieGetal!$B$2*(E1204/(I1204*ConditieGetal!$B$2))))*24)*10</f>
        <v>2.888798751570491E-2</v>
      </c>
      <c r="K1204" s="270">
        <f t="shared" si="125"/>
        <v>6.3746550715445355E-2</v>
      </c>
      <c r="L1204" s="270">
        <f t="shared" si="126"/>
        <v>4.7857798446080284E-2</v>
      </c>
      <c r="M1204" s="270">
        <f t="shared" si="128"/>
        <v>0.13290719298514775</v>
      </c>
      <c r="N1204" s="28" t="b">
        <f t="shared" si="129"/>
        <v>0</v>
      </c>
    </row>
    <row r="1205" spans="1:15" ht="13.5" customHeight="1">
      <c r="A1205" s="395">
        <v>40488.626388888886</v>
      </c>
      <c r="B1205" s="177">
        <v>10</v>
      </c>
      <c r="C1205" s="361">
        <v>2.6916666666666669E-2</v>
      </c>
      <c r="D1205" s="261">
        <f t="shared" si="123"/>
        <v>2.6916666666666669E-3</v>
      </c>
      <c r="E1205" s="66">
        <v>173</v>
      </c>
      <c r="F1205" s="66">
        <v>185</v>
      </c>
      <c r="H1205" s="28" t="s">
        <v>514</v>
      </c>
      <c r="I1205" s="155">
        <f t="shared" ref="I1205" si="132">IF(D1205&gt;0,(1/(D1205*24)))</f>
        <v>15.479876160990711</v>
      </c>
      <c r="J1205" s="270">
        <f>1/((182/(ConditieGetal!$B$2*(E1205/(I1205*ConditieGetal!$B$2))))*24)*10</f>
        <v>2.5585622710622709E-2</v>
      </c>
      <c r="K1205" s="270">
        <f t="shared" si="125"/>
        <v>5.6459287612966216E-2</v>
      </c>
      <c r="L1205" s="270">
        <f t="shared" si="126"/>
        <v>4.2386877041426088E-2</v>
      </c>
      <c r="M1205" s="270">
        <f t="shared" si="128"/>
        <v>0.11771374843599706</v>
      </c>
      <c r="N1205" s="28" t="b">
        <f t="shared" si="129"/>
        <v>0</v>
      </c>
    </row>
    <row r="1206" spans="1:15" ht="13.5" customHeight="1">
      <c r="A1206" s="395">
        <v>40488.670138888891</v>
      </c>
      <c r="B1206" s="177">
        <v>4.4000000000000004</v>
      </c>
      <c r="C1206" s="361">
        <v>1.714351851851852E-2</v>
      </c>
      <c r="D1206" s="261">
        <f t="shared" si="123"/>
        <v>3.8962542087542088E-3</v>
      </c>
      <c r="E1206" s="66">
        <v>143</v>
      </c>
      <c r="F1206" s="66">
        <v>161</v>
      </c>
      <c r="I1206" s="155">
        <f t="shared" ref="I1206" si="133">IF(D1206&gt;0,(1/(D1206*24)))</f>
        <v>10.69403186605455</v>
      </c>
      <c r="J1206" s="270">
        <f>1/((182/(ConditieGetal!$B$2*(E1206/(I1206*ConditieGetal!$B$2))))*24)*10</f>
        <v>3.0613425925925926E-2</v>
      </c>
      <c r="K1206" s="270">
        <f t="shared" si="125"/>
        <v>6.7554041530225553E-2</v>
      </c>
      <c r="L1206" s="270">
        <f t="shared" si="126"/>
        <v>5.0716276684572681E-2</v>
      </c>
      <c r="M1206" s="270">
        <f t="shared" si="128"/>
        <v>0.14084555060339859</v>
      </c>
      <c r="N1206" s="28" t="b">
        <f t="shared" si="129"/>
        <v>0</v>
      </c>
    </row>
    <row r="1207" spans="1:15" s="283" customFormat="1" ht="13.5" customHeight="1">
      <c r="A1207" s="406">
        <v>40489</v>
      </c>
      <c r="B1207" s="296">
        <v>13.6</v>
      </c>
      <c r="C1207" s="374">
        <v>4.4714120370370369E-2</v>
      </c>
      <c r="D1207" s="261">
        <f t="shared" si="123"/>
        <v>3.2878029684095859E-3</v>
      </c>
      <c r="E1207" s="86">
        <v>150</v>
      </c>
      <c r="F1207" s="86">
        <v>163</v>
      </c>
      <c r="G1207" s="86"/>
      <c r="H1207" s="280"/>
      <c r="I1207" s="281">
        <f t="shared" ref="I1207" si="134">IF(D1207&gt;0,(1/(D1207*24)))</f>
        <v>12.673103305464242</v>
      </c>
      <c r="J1207" s="282">
        <f>1/((182/(ConditieGetal!$B$2*(E1207/(I1207*ConditieGetal!$B$2))))*24)*10</f>
        <v>2.7097277212166912E-2</v>
      </c>
      <c r="K1207" s="282">
        <f t="shared" si="125"/>
        <v>5.9795025704604876E-2</v>
      </c>
      <c r="L1207" s="282">
        <f t="shared" si="126"/>
        <v>4.4891186364312718E-2</v>
      </c>
      <c r="M1207" s="270">
        <f t="shared" si="128"/>
        <v>0.12466853393133066</v>
      </c>
      <c r="N1207" s="280"/>
      <c r="O1207" s="280"/>
    </row>
    <row r="1208" spans="1:15" ht="13.5" customHeight="1">
      <c r="A1208" s="395">
        <v>40490</v>
      </c>
      <c r="B1208" s="177">
        <v>10.9</v>
      </c>
      <c r="C1208" s="361">
        <v>3.4212962962962966E-2</v>
      </c>
      <c r="D1208" s="279">
        <f t="shared" si="123"/>
        <v>3.1388039415562352E-3</v>
      </c>
      <c r="E1208" s="66">
        <v>150</v>
      </c>
      <c r="F1208" s="66">
        <v>168</v>
      </c>
      <c r="I1208" s="205">
        <f t="shared" ref="I1208" si="135">IF(D1208&gt;0,(1/(D1208*24)))</f>
        <v>13.274695534506089</v>
      </c>
      <c r="J1208" s="277">
        <f>1/((182/(ConditieGetal!$B$2*(E1208/(I1208*ConditieGetal!$B$2))))*24)*10</f>
        <v>2.5869263254584357E-2</v>
      </c>
      <c r="K1208" s="277">
        <f t="shared" si="125"/>
        <v>5.7085191591593247E-2</v>
      </c>
      <c r="L1208" s="277">
        <f t="shared" si="126"/>
        <v>4.285677519465235E-2</v>
      </c>
      <c r="M1208" s="270">
        <f t="shared" si="128"/>
        <v>0.11901871537058288</v>
      </c>
    </row>
    <row r="1209" spans="1:15" ht="13.5" customHeight="1">
      <c r="A1209" s="395">
        <v>40493</v>
      </c>
      <c r="B1209" s="177">
        <v>12.4</v>
      </c>
      <c r="C1209" s="361">
        <v>3.9265046296296298E-2</v>
      </c>
      <c r="D1209" s="279">
        <f t="shared" si="123"/>
        <v>3.1665359916367981E-3</v>
      </c>
      <c r="E1209" s="66">
        <v>157</v>
      </c>
      <c r="F1209" s="66">
        <v>170</v>
      </c>
      <c r="I1209" s="155">
        <f t="shared" ref="I1209" si="136">IF(D1209&gt;0,(1/(D1209*24)))</f>
        <v>13.1584377302874</v>
      </c>
      <c r="J1209" s="270">
        <f>1/((182/(ConditieGetal!$B$2*(E1209/(I1209*ConditieGetal!$B$2))))*24)*10</f>
        <v>2.7315722565218525E-2</v>
      </c>
      <c r="K1209" s="270">
        <f t="shared" si="125"/>
        <v>6.0277064744856036E-2</v>
      </c>
      <c r="L1209" s="270">
        <f t="shared" si="126"/>
        <v>4.5253077744670855E-2</v>
      </c>
      <c r="M1209" s="270">
        <f t="shared" si="128"/>
        <v>0.12567355232103178</v>
      </c>
    </row>
    <row r="1210" spans="1:15" ht="13.5" customHeight="1">
      <c r="A1210" s="395">
        <v>40494</v>
      </c>
      <c r="B1210" s="177">
        <v>10.6</v>
      </c>
      <c r="C1210" s="361">
        <v>3.4812500000000003E-2</v>
      </c>
      <c r="D1210" s="279">
        <f t="shared" si="123"/>
        <v>3.2841981132075474E-3</v>
      </c>
      <c r="E1210" s="66">
        <v>149</v>
      </c>
      <c r="F1210" s="66">
        <v>155</v>
      </c>
      <c r="I1210" s="155">
        <f t="shared" ref="I1210" si="137">IF(D1210&gt;0,(1/(D1210*24)))</f>
        <v>12.687013764213045</v>
      </c>
      <c r="J1210" s="270">
        <f>1/((182/(ConditieGetal!$B$2*(E1210/(I1210*ConditieGetal!$B$2))))*24)*10</f>
        <v>2.6887116421314534E-2</v>
      </c>
      <c r="K1210" s="270">
        <f t="shared" si="125"/>
        <v>5.9331268043909889E-2</v>
      </c>
      <c r="L1210" s="270">
        <f t="shared" si="126"/>
        <v>4.4543019751307436E-2</v>
      </c>
      <c r="M1210" s="270">
        <f t="shared" si="128"/>
        <v>0.12370163096612607</v>
      </c>
    </row>
    <row r="1211" spans="1:15" ht="13.5" customHeight="1">
      <c r="A1211" s="395">
        <v>40496</v>
      </c>
      <c r="B1211" s="177">
        <v>20.3</v>
      </c>
      <c r="C1211" s="361">
        <v>5.8113425925925923E-2</v>
      </c>
      <c r="D1211" s="279">
        <f t="shared" si="123"/>
        <v>2.8627303411786166E-3</v>
      </c>
      <c r="E1211" s="66">
        <v>170</v>
      </c>
      <c r="F1211" s="66">
        <v>176</v>
      </c>
      <c r="H1211" s="28" t="s">
        <v>515</v>
      </c>
      <c r="I1211" s="155">
        <f t="shared" ref="I1211" si="138">IF(D1211&gt;0,(1/(D1211*24)))</f>
        <v>14.554869547898829</v>
      </c>
      <c r="J1211" s="270">
        <f>1/((182/(ConditieGetal!$B$2*(E1211/(I1211*ConditieGetal!$B$2))))*24)*10</f>
        <v>2.6739788901118944E-2</v>
      </c>
      <c r="K1211" s="270">
        <f t="shared" si="125"/>
        <v>5.9006163318881075E-2</v>
      </c>
      <c r="L1211" s="270">
        <f t="shared" si="126"/>
        <v>4.4298946993963285E-2</v>
      </c>
      <c r="M1211" s="270">
        <f t="shared" si="128"/>
        <v>0.12302380987706567</v>
      </c>
    </row>
    <row r="1212" spans="1:15" ht="13.5" customHeight="1">
      <c r="A1212" s="395">
        <v>40503</v>
      </c>
      <c r="B1212" s="177">
        <v>10.4</v>
      </c>
      <c r="C1212" s="361">
        <v>3.0138888888888885E-2</v>
      </c>
      <c r="D1212" s="279">
        <f t="shared" si="123"/>
        <v>2.8979700854700851E-3</v>
      </c>
      <c r="E1212" s="66">
        <v>173</v>
      </c>
      <c r="F1212" s="66">
        <v>179</v>
      </c>
      <c r="I1212" s="155">
        <f t="shared" ref="I1212" si="139">IF(D1212&gt;0,(1/(D1212*24)))</f>
        <v>14.377880184331799</v>
      </c>
      <c r="J1212" s="270">
        <f>1/((182/(ConditieGetal!$B$2*(E1212/(I1212*ConditieGetal!$B$2))))*24)*10</f>
        <v>2.7546638724523342E-2</v>
      </c>
      <c r="K1212" s="270">
        <f t="shared" si="125"/>
        <v>6.0786622866623355E-2</v>
      </c>
      <c r="L1212" s="270">
        <f t="shared" si="126"/>
        <v>4.5635629108068697E-2</v>
      </c>
      <c r="M1212" s="270">
        <f t="shared" si="128"/>
        <v>0.12673594611123365</v>
      </c>
    </row>
    <row r="1213" spans="1:15" ht="13.5" customHeight="1">
      <c r="A1213" s="395">
        <v>40504</v>
      </c>
      <c r="B1213" s="177">
        <v>5.5</v>
      </c>
      <c r="C1213" s="361">
        <v>2.1452546296296296E-2</v>
      </c>
      <c r="D1213" s="279">
        <f t="shared" si="123"/>
        <v>3.9004629629629628E-3</v>
      </c>
      <c r="E1213" s="66">
        <v>143</v>
      </c>
      <c r="F1213" s="66">
        <v>176</v>
      </c>
      <c r="I1213" s="155">
        <f t="shared" ref="I1213" si="140">IF(D1213&gt;0,(1/(D1213*24)))</f>
        <v>10.682492581602375</v>
      </c>
      <c r="J1213" s="270">
        <f>1/((182/(ConditieGetal!$B$2*(E1213/(I1213*ConditieGetal!$B$2))))*24)*10</f>
        <v>3.0646494708994707E-2</v>
      </c>
      <c r="K1213" s="270">
        <f t="shared" si="125"/>
        <v>6.7627013759801805E-2</v>
      </c>
      <c r="L1213" s="270">
        <f t="shared" si="126"/>
        <v>5.0771060672349697E-2</v>
      </c>
      <c r="M1213" s="270">
        <f t="shared" si="128"/>
        <v>0.14099769270504955</v>
      </c>
    </row>
    <row r="1214" spans="1:15" ht="13.5" customHeight="1">
      <c r="A1214" s="395">
        <v>40539</v>
      </c>
      <c r="B1214" s="177">
        <v>10.9</v>
      </c>
      <c r="C1214" s="361">
        <v>3.638541666666667E-2</v>
      </c>
      <c r="D1214" s="279">
        <f t="shared" si="123"/>
        <v>3.3381116207951071E-3</v>
      </c>
      <c r="E1214" s="66">
        <v>148</v>
      </c>
      <c r="F1214" s="66">
        <v>178</v>
      </c>
      <c r="I1214" s="155">
        <f t="shared" ref="I1214:I1218" si="141">IF(D1214&gt;0,(1/(D1214*24)))</f>
        <v>12.482107071285428</v>
      </c>
      <c r="J1214" s="270">
        <f>1/((182/(ConditieGetal!$B$2*(E1214/(I1214*ConditieGetal!$B$2))))*24)*10</f>
        <v>2.7145083509762417E-2</v>
      </c>
      <c r="K1214" s="270">
        <f t="shared" si="125"/>
        <v>5.9900518916014382E-2</v>
      </c>
      <c r="L1214" s="270">
        <f t="shared" si="126"/>
        <v>4.4970385517716364E-2</v>
      </c>
      <c r="M1214" s="270">
        <f t="shared" si="128"/>
        <v>0.12488848005312184</v>
      </c>
    </row>
    <row r="1215" spans="1:15" ht="13.5" customHeight="1">
      <c r="A1215" s="395">
        <v>40540</v>
      </c>
      <c r="B1215" s="177">
        <v>11.4</v>
      </c>
      <c r="C1215" s="361">
        <v>3.8480324074074077E-2</v>
      </c>
      <c r="D1215" s="279">
        <f t="shared" si="123"/>
        <v>3.3754670240415856E-3</v>
      </c>
      <c r="E1215" s="66">
        <v>161</v>
      </c>
      <c r="F1215" s="66">
        <v>175</v>
      </c>
      <c r="I1215" s="155">
        <f t="shared" si="141"/>
        <v>12.343970884591089</v>
      </c>
      <c r="J1215" s="270">
        <f>1/((182/(ConditieGetal!$B$2*(E1215/(I1215*ConditieGetal!$B$2))))*24)*10</f>
        <v>2.9859900597290958E-2</v>
      </c>
      <c r="K1215" s="270">
        <f t="shared" si="125"/>
        <v>6.5891252090459707E-2</v>
      </c>
      <c r="L1215" s="270">
        <f t="shared" si="126"/>
        <v>4.9467935543389914E-2</v>
      </c>
      <c r="M1215" s="270">
        <f t="shared" si="128"/>
        <v>0.13737874848651041</v>
      </c>
    </row>
    <row r="1216" spans="1:15" ht="13.5" customHeight="1">
      <c r="A1216" s="395">
        <v>40541</v>
      </c>
      <c r="B1216" s="177">
        <v>14.6</v>
      </c>
      <c r="C1216" s="361">
        <v>5.2946759259259256E-2</v>
      </c>
      <c r="D1216" s="279">
        <f t="shared" si="123"/>
        <v>3.6264903602232367E-3</v>
      </c>
      <c r="E1216" s="66">
        <v>152</v>
      </c>
      <c r="F1216" s="66">
        <v>170</v>
      </c>
      <c r="I1216" s="155">
        <f t="shared" si="141"/>
        <v>11.489529139159709</v>
      </c>
      <c r="J1216" s="270">
        <f>1/((182/(ConditieGetal!$B$2*(E1216/(I1216*ConditieGetal!$B$2))))*24)*10</f>
        <v>3.0287172239227035E-2</v>
      </c>
      <c r="K1216" s="270">
        <f t="shared" si="125"/>
        <v>6.6834103972306519E-2</v>
      </c>
      <c r="L1216" s="270">
        <f t="shared" si="126"/>
        <v>5.017578271032689E-2</v>
      </c>
      <c r="M1216" s="270">
        <f t="shared" si="128"/>
        <v>0.13934453009525027</v>
      </c>
    </row>
    <row r="1217" spans="1:13" ht="13.5" customHeight="1">
      <c r="A1217" s="395">
        <v>40543</v>
      </c>
      <c r="B1217" s="177">
        <v>22.1</v>
      </c>
      <c r="C1217" s="361">
        <v>6.841319444444445E-2</v>
      </c>
      <c r="D1217" s="279">
        <f t="shared" si="123"/>
        <v>3.0956196581196581E-3</v>
      </c>
      <c r="E1217" s="66">
        <v>170</v>
      </c>
      <c r="F1217" s="66">
        <v>181</v>
      </c>
      <c r="I1217" s="155">
        <f t="shared" si="141"/>
        <v>13.459879206212252</v>
      </c>
      <c r="J1217" s="270">
        <f>1/((182/(ConditieGetal!$B$2*(E1217/(I1217*ConditieGetal!$B$2))))*24)*10</f>
        <v>2.8915128674744064E-2</v>
      </c>
      <c r="K1217" s="270">
        <f t="shared" si="125"/>
        <v>6.3806442574309702E-2</v>
      </c>
      <c r="L1217" s="270">
        <f t="shared" si="126"/>
        <v>4.7902762330053951E-2</v>
      </c>
      <c r="M1217" s="270">
        <f t="shared" si="128"/>
        <v>0.13303206340958615</v>
      </c>
    </row>
    <row r="1218" spans="1:13" ht="13.5" customHeight="1">
      <c r="A1218" s="395">
        <v>40545</v>
      </c>
      <c r="B1218" s="177">
        <v>11</v>
      </c>
      <c r="C1218" s="361">
        <v>3.6399305555555553E-2</v>
      </c>
      <c r="D1218" s="279">
        <f t="shared" si="123"/>
        <v>3.3090277777777775E-3</v>
      </c>
      <c r="E1218" s="66">
        <v>151</v>
      </c>
      <c r="F1218" s="66">
        <v>160</v>
      </c>
      <c r="I1218" s="155">
        <f t="shared" si="141"/>
        <v>12.591815320041974</v>
      </c>
      <c r="J1218" s="270">
        <f>1/((182/(ConditieGetal!$B$2*(E1218/(I1218*ConditieGetal!$B$2))))*24)*10</f>
        <v>2.745402167277167E-2</v>
      </c>
      <c r="K1218" s="270">
        <f t="shared" si="125"/>
        <v>6.0582246650267221E-2</v>
      </c>
      <c r="L1218" s="270">
        <f t="shared" si="126"/>
        <v>4.5482193421592029E-2</v>
      </c>
      <c r="M1218" s="270">
        <f t="shared" si="128"/>
        <v>0.12630983569547061</v>
      </c>
    </row>
    <row r="1219" spans="1:13" ht="13.5" customHeight="1">
      <c r="A1219" s="395">
        <v>40547</v>
      </c>
      <c r="B1219" s="177">
        <v>12.9</v>
      </c>
      <c r="C1219" s="361">
        <v>3.9828703703703706E-2</v>
      </c>
      <c r="D1219" s="279">
        <f t="shared" si="123"/>
        <v>3.0874964111398222E-3</v>
      </c>
      <c r="E1219" s="66">
        <v>158</v>
      </c>
      <c r="F1219" s="66">
        <v>168</v>
      </c>
      <c r="I1219" s="155">
        <f t="shared" ref="I1219" si="142">IF(D1219&gt;0,(1/(D1219*24)))</f>
        <v>13.495292339881436</v>
      </c>
      <c r="J1219" s="270">
        <f>1/((182/(ConditieGetal!$B$2*(E1219/(I1219*ConditieGetal!$B$2))))*24)*10</f>
        <v>2.6803540272532518E-2</v>
      </c>
      <c r="K1219" s="270">
        <f t="shared" si="125"/>
        <v>5.9146842209329406E-2</v>
      </c>
      <c r="L1219" s="270">
        <f t="shared" si="126"/>
        <v>4.4404561837576517E-2</v>
      </c>
      <c r="M1219" s="270">
        <f t="shared" si="128"/>
        <v>0.12331711573019667</v>
      </c>
    </row>
    <row r="1220" spans="1:13" ht="13.5" customHeight="1">
      <c r="A1220" s="395" t="str">
        <f>Garmin!D21</f>
        <v>Hardlopen</v>
      </c>
      <c r="B1220" s="177">
        <v>9.52</v>
      </c>
      <c r="C1220" s="389">
        <v>2.6412037037037036E-2</v>
      </c>
      <c r="D1220" s="279">
        <f t="shared" ref="D1220" si="143">IF(B1220&gt;0,C1220/B1220,"")</f>
        <v>2.7743736383442266E-3</v>
      </c>
      <c r="E1220" s="298">
        <v>173</v>
      </c>
      <c r="F1220" s="298">
        <v>183</v>
      </c>
      <c r="G1220" s="298"/>
    </row>
    <row r="1224" spans="1:13" ht="13.5" customHeight="1">
      <c r="A1224" s="422" t="s">
        <v>518</v>
      </c>
      <c r="B1224" s="353">
        <v>9.52</v>
      </c>
      <c r="C1224" s="389">
        <v>2.6412037037037036E-2</v>
      </c>
      <c r="D1224" s="279">
        <f t="shared" ref="D1224:D1242" si="144">IF(B1224&gt;0,C1224/B1224,"")</f>
        <v>2.7743736383442266E-3</v>
      </c>
      <c r="H1224" s="27"/>
    </row>
    <row r="1225" spans="1:13" ht="13.5" customHeight="1">
      <c r="A1225" s="422" t="s">
        <v>519</v>
      </c>
      <c r="B1225" s="353">
        <v>13.78</v>
      </c>
      <c r="C1225" s="389">
        <v>4.4849537037037035E-2</v>
      </c>
      <c r="D1225" s="279">
        <f t="shared" si="144"/>
        <v>3.2546833844003657E-3</v>
      </c>
    </row>
    <row r="1226" spans="1:13" ht="13.5" customHeight="1">
      <c r="A1226" s="422" t="s">
        <v>520</v>
      </c>
      <c r="B1226" s="353">
        <v>14.13</v>
      </c>
      <c r="C1226" s="389">
        <v>4.6851851851851846E-2</v>
      </c>
      <c r="D1226" s="279">
        <f t="shared" si="144"/>
        <v>3.3157715394091891E-3</v>
      </c>
    </row>
    <row r="1227" spans="1:13" ht="13.5" customHeight="1">
      <c r="A1227" s="422" t="s">
        <v>521</v>
      </c>
      <c r="B1227" s="353">
        <v>16.489999999999998</v>
      </c>
      <c r="C1227" s="389">
        <v>5.4155092592592595E-2</v>
      </c>
      <c r="D1227" s="279">
        <f t="shared" si="144"/>
        <v>3.2841171978527958E-3</v>
      </c>
    </row>
    <row r="1228" spans="1:13" ht="13.5" customHeight="1">
      <c r="A1228" s="422" t="s">
        <v>522</v>
      </c>
      <c r="B1228" s="353">
        <v>20.63</v>
      </c>
      <c r="C1228" s="389">
        <v>7.0578703703703713E-2</v>
      </c>
      <c r="D1228" s="279">
        <f t="shared" si="144"/>
        <v>3.4211683811780766E-3</v>
      </c>
    </row>
    <row r="1229" spans="1:13" ht="13.5" customHeight="1">
      <c r="A1229" s="422" t="s">
        <v>523</v>
      </c>
      <c r="B1229" s="353">
        <v>9.94</v>
      </c>
      <c r="C1229" s="389">
        <v>2.6666666666666668E-2</v>
      </c>
      <c r="D1229" s="279">
        <f t="shared" si="144"/>
        <v>2.6827632461435282E-3</v>
      </c>
    </row>
    <row r="1230" spans="1:13" ht="13.5" customHeight="1">
      <c r="A1230" s="422" t="s">
        <v>524</v>
      </c>
      <c r="B1230" s="353">
        <v>3.48</v>
      </c>
      <c r="C1230" s="389">
        <v>2.4224537037037034E-2</v>
      </c>
      <c r="D1230" s="279">
        <f t="shared" si="144"/>
        <v>6.9610738612175382E-3</v>
      </c>
    </row>
    <row r="1231" spans="1:13" ht="13.5" customHeight="1">
      <c r="A1231" s="422" t="s">
        <v>525</v>
      </c>
      <c r="B1231" s="353">
        <v>10.58</v>
      </c>
      <c r="C1231" s="389">
        <v>3.619212962962963E-2</v>
      </c>
      <c r="D1231" s="279">
        <f t="shared" si="144"/>
        <v>3.4208062031786039E-3</v>
      </c>
    </row>
    <row r="1232" spans="1:13" ht="13.5" customHeight="1">
      <c r="A1232" s="422" t="s">
        <v>526</v>
      </c>
      <c r="B1232" s="353">
        <v>12.68</v>
      </c>
      <c r="C1232" s="389">
        <v>4.6238425925925926E-2</v>
      </c>
      <c r="D1232" s="279">
        <f t="shared" si="144"/>
        <v>3.6465635588269658E-3</v>
      </c>
    </row>
    <row r="1233" spans="1:7" ht="13.5" customHeight="1">
      <c r="A1233" s="422" t="s">
        <v>527</v>
      </c>
      <c r="B1233" s="353">
        <v>9.39</v>
      </c>
      <c r="C1233" s="389">
        <v>2.763888888888889E-2</v>
      </c>
      <c r="D1233" s="279">
        <f t="shared" si="144"/>
        <v>2.9434386463140457E-3</v>
      </c>
    </row>
    <row r="1234" spans="1:7" ht="13.5" customHeight="1">
      <c r="A1234" s="422" t="s">
        <v>528</v>
      </c>
      <c r="B1234" s="353">
        <v>2.5499999999999998</v>
      </c>
      <c r="C1234" s="389">
        <v>1.2106481481481482E-2</v>
      </c>
      <c r="D1234" s="279">
        <f t="shared" si="144"/>
        <v>4.7476397966594048E-3</v>
      </c>
    </row>
    <row r="1235" spans="1:7" ht="13.5" customHeight="1">
      <c r="A1235" s="422" t="s">
        <v>529</v>
      </c>
      <c r="B1235" s="353">
        <v>12.1</v>
      </c>
      <c r="C1235" s="389">
        <v>3.9942129629629626E-2</v>
      </c>
      <c r="D1235" s="279">
        <f t="shared" si="144"/>
        <v>3.3010024487297213E-3</v>
      </c>
    </row>
    <row r="1236" spans="1:7" ht="13.5" customHeight="1">
      <c r="A1236" s="422" t="s">
        <v>530</v>
      </c>
      <c r="B1236" s="353">
        <v>17.73</v>
      </c>
      <c r="C1236" s="389">
        <v>5.5659722222222228E-2</v>
      </c>
      <c r="D1236" s="279">
        <f t="shared" si="144"/>
        <v>3.139296233627875E-3</v>
      </c>
    </row>
    <row r="1237" spans="1:7" ht="13.5" customHeight="1">
      <c r="A1237" s="422" t="s">
        <v>531</v>
      </c>
      <c r="B1237" s="353">
        <v>12.24</v>
      </c>
      <c r="C1237" s="389">
        <v>4.2638888888888893E-2</v>
      </c>
      <c r="D1237" s="279">
        <f t="shared" si="144"/>
        <v>3.4835693536673933E-3</v>
      </c>
    </row>
    <row r="1238" spans="1:7" ht="13.5" customHeight="1">
      <c r="A1238" s="422" t="s">
        <v>532</v>
      </c>
      <c r="B1238" s="353">
        <v>12.44</v>
      </c>
      <c r="C1238" s="389">
        <v>4.2395833333333334E-2</v>
      </c>
      <c r="D1238" s="279">
        <f t="shared" si="144"/>
        <v>3.4080251875669883E-3</v>
      </c>
    </row>
    <row r="1239" spans="1:7" ht="13.5" customHeight="1">
      <c r="A1239" s="422" t="s">
        <v>533</v>
      </c>
      <c r="B1239" s="353">
        <v>20.56</v>
      </c>
      <c r="C1239" s="389">
        <v>7.0150462962962956E-2</v>
      </c>
      <c r="D1239" s="279">
        <f t="shared" si="144"/>
        <v>3.4119874981985874E-3</v>
      </c>
    </row>
    <row r="1240" spans="1:7" ht="13.5" customHeight="1">
      <c r="A1240" s="422" t="s">
        <v>534</v>
      </c>
      <c r="B1240" s="353">
        <v>10.07</v>
      </c>
      <c r="C1240" s="389">
        <v>2.9074074074074075E-2</v>
      </c>
      <c r="D1240" s="279">
        <f t="shared" si="144"/>
        <v>2.8871970282099381E-3</v>
      </c>
    </row>
    <row r="1241" spans="1:7" ht="13.5" customHeight="1">
      <c r="A1241" s="422" t="s">
        <v>535</v>
      </c>
      <c r="B1241" s="353">
        <v>9.99</v>
      </c>
      <c r="C1241" s="389">
        <v>3.2708333333333332E-2</v>
      </c>
      <c r="D1241" s="279">
        <f t="shared" si="144"/>
        <v>3.2741074407741074E-3</v>
      </c>
    </row>
    <row r="1242" spans="1:7" ht="13.5" customHeight="1">
      <c r="A1242" s="422" t="s">
        <v>536</v>
      </c>
      <c r="B1242" s="353">
        <v>10.09</v>
      </c>
      <c r="C1242" s="389">
        <v>3.4884259259259261E-2</v>
      </c>
      <c r="D1242" s="279">
        <f t="shared" si="144"/>
        <v>3.4573101347135046E-3</v>
      </c>
    </row>
    <row r="1244" spans="1:7" ht="13.5" customHeight="1" thickBot="1">
      <c r="A1244" s="423" t="s">
        <v>560</v>
      </c>
      <c r="B1244" s="354">
        <v>11.56</v>
      </c>
      <c r="C1244" s="390">
        <v>4.9826388888888885E-2</v>
      </c>
      <c r="D1244" s="279">
        <f t="shared" ref="D1244:D1270" si="145">IF(B1244&gt;0,C1244/B1244,"")</f>
        <v>4.3102412533640904E-3</v>
      </c>
      <c r="E1244" s="329">
        <v>147</v>
      </c>
      <c r="F1244" s="329">
        <v>185</v>
      </c>
      <c r="G1244" s="418"/>
    </row>
    <row r="1245" spans="1:7" ht="13.5" customHeight="1" thickBot="1">
      <c r="A1245" s="424" t="s">
        <v>551</v>
      </c>
      <c r="B1245" s="355">
        <v>0</v>
      </c>
      <c r="C1245" s="391" t="s">
        <v>552</v>
      </c>
      <c r="D1245" s="279" t="str">
        <f t="shared" si="145"/>
        <v/>
      </c>
      <c r="E1245" s="330">
        <v>62</v>
      </c>
      <c r="F1245" s="330">
        <v>63</v>
      </c>
      <c r="G1245" s="419"/>
    </row>
    <row r="1246" spans="1:7" ht="13.5" customHeight="1" thickBot="1">
      <c r="A1246" s="424" t="s">
        <v>549</v>
      </c>
      <c r="B1246" s="355">
        <v>14.73</v>
      </c>
      <c r="C1246" s="391">
        <v>6.1423611111111109E-2</v>
      </c>
      <c r="D1246" s="279">
        <f t="shared" si="145"/>
        <v>4.1699668099871761E-3</v>
      </c>
      <c r="E1246" s="330">
        <v>143</v>
      </c>
      <c r="F1246" s="330">
        <v>174</v>
      </c>
      <c r="G1246" s="419"/>
    </row>
    <row r="1247" spans="1:7" ht="13.5" customHeight="1" thickBot="1">
      <c r="A1247" s="423" t="s">
        <v>549</v>
      </c>
      <c r="B1247" s="354">
        <v>0</v>
      </c>
      <c r="C1247" s="390" t="s">
        <v>550</v>
      </c>
      <c r="D1247" s="279" t="str">
        <f t="shared" si="145"/>
        <v/>
      </c>
      <c r="E1247" s="329">
        <v>76</v>
      </c>
      <c r="F1247" s="329">
        <v>77</v>
      </c>
      <c r="G1247" s="418"/>
    </row>
    <row r="1248" spans="1:7" ht="13.5" customHeight="1" thickBot="1">
      <c r="A1248" s="423" t="s">
        <v>540</v>
      </c>
      <c r="B1248" s="354">
        <v>6.95</v>
      </c>
      <c r="C1248" s="390">
        <v>1.4694444444444443</v>
      </c>
      <c r="D1248" s="279">
        <f t="shared" si="145"/>
        <v>0.21143085531574737</v>
      </c>
      <c r="E1248" s="329">
        <v>164</v>
      </c>
      <c r="F1248" s="329">
        <v>189</v>
      </c>
      <c r="G1248" s="418"/>
    </row>
    <row r="1249" spans="1:15" ht="13.5" customHeight="1" thickBot="1">
      <c r="A1249" s="423" t="s">
        <v>542</v>
      </c>
      <c r="B1249" s="354">
        <v>0</v>
      </c>
      <c r="C1249" s="390" t="s">
        <v>543</v>
      </c>
      <c r="D1249" s="279" t="str">
        <f t="shared" si="145"/>
        <v/>
      </c>
      <c r="E1249" s="329" t="s">
        <v>233</v>
      </c>
      <c r="F1249" s="329" t="s">
        <v>233</v>
      </c>
      <c r="G1249" s="418"/>
    </row>
    <row r="1250" spans="1:15" ht="13.5" customHeight="1" thickBot="1">
      <c r="A1250" s="424" t="s">
        <v>539</v>
      </c>
      <c r="B1250" s="355">
        <v>6.37</v>
      </c>
      <c r="C1250" s="391">
        <v>1.2645833333333334</v>
      </c>
      <c r="D1250" s="279">
        <f t="shared" si="145"/>
        <v>0.19852171637885924</v>
      </c>
      <c r="E1250" s="330">
        <v>168</v>
      </c>
      <c r="F1250" s="330">
        <v>182</v>
      </c>
      <c r="G1250" s="419"/>
    </row>
    <row r="1251" spans="1:15" ht="13.5" customHeight="1" thickBot="1">
      <c r="A1251" s="423" t="s">
        <v>538</v>
      </c>
      <c r="B1251" s="354">
        <v>0.26</v>
      </c>
      <c r="C1251" s="390">
        <v>6.3888888888888884E-2</v>
      </c>
      <c r="D1251" s="279">
        <f t="shared" si="145"/>
        <v>0.24572649572649569</v>
      </c>
      <c r="E1251" s="329">
        <v>153</v>
      </c>
      <c r="F1251" s="329">
        <v>157</v>
      </c>
      <c r="G1251" s="418"/>
    </row>
    <row r="1252" spans="1:15" ht="13.5" customHeight="1" thickBot="1">
      <c r="A1252" s="425" t="s">
        <v>562</v>
      </c>
      <c r="B1252" s="356">
        <v>1.9</v>
      </c>
      <c r="C1252" s="392">
        <v>0.43194444444444446</v>
      </c>
      <c r="D1252" s="279">
        <f t="shared" si="145"/>
        <v>0.22733918128654973</v>
      </c>
      <c r="E1252" s="331">
        <v>161</v>
      </c>
      <c r="F1252" s="331">
        <v>169</v>
      </c>
      <c r="G1252" s="420"/>
    </row>
    <row r="1253" spans="1:15" ht="13.5" customHeight="1" thickBot="1">
      <c r="A1253" s="424" t="s">
        <v>559</v>
      </c>
      <c r="B1253" s="355">
        <v>11.33</v>
      </c>
      <c r="C1253" s="391">
        <v>2.3611111111111112</v>
      </c>
      <c r="D1253" s="279">
        <f t="shared" si="145"/>
        <v>0.20839462587035404</v>
      </c>
      <c r="E1253" s="330">
        <v>155</v>
      </c>
      <c r="F1253" s="330">
        <v>176</v>
      </c>
      <c r="G1253" s="419"/>
    </row>
    <row r="1254" spans="1:15" ht="13.5" customHeight="1" thickBot="1">
      <c r="A1254" s="423" t="s">
        <v>546</v>
      </c>
      <c r="B1254" s="354">
        <v>1.62</v>
      </c>
      <c r="C1254" s="390">
        <v>6.0451388888888895E-2</v>
      </c>
      <c r="D1254" s="279">
        <f t="shared" si="145"/>
        <v>3.731567215363512E-2</v>
      </c>
      <c r="E1254" s="329" t="s">
        <v>233</v>
      </c>
      <c r="F1254" s="329" t="s">
        <v>233</v>
      </c>
      <c r="G1254" s="418"/>
    </row>
    <row r="1255" spans="1:15" ht="13.5" customHeight="1" thickBot="1">
      <c r="A1255" s="424" t="s">
        <v>545</v>
      </c>
      <c r="B1255" s="355">
        <v>0</v>
      </c>
      <c r="C1255" s="391">
        <v>6.9409722222222234E-2</v>
      </c>
      <c r="D1255" s="279" t="str">
        <f t="shared" si="145"/>
        <v/>
      </c>
      <c r="E1255" s="330" t="s">
        <v>233</v>
      </c>
      <c r="F1255" s="330" t="s">
        <v>233</v>
      </c>
      <c r="G1255" s="419"/>
    </row>
    <row r="1256" spans="1:15" ht="13.5" customHeight="1" thickBot="1">
      <c r="A1256" s="424" t="s">
        <v>547</v>
      </c>
      <c r="B1256" s="355">
        <v>0.38</v>
      </c>
      <c r="C1256" s="391">
        <v>9.4444444444444442E-2</v>
      </c>
      <c r="D1256" s="279">
        <f t="shared" si="145"/>
        <v>0.24853801169590642</v>
      </c>
      <c r="E1256" s="330">
        <v>108</v>
      </c>
      <c r="F1256" s="330">
        <v>125</v>
      </c>
      <c r="G1256" s="419"/>
    </row>
    <row r="1257" spans="1:15" ht="13.5" customHeight="1" thickBot="1">
      <c r="A1257" s="424" t="s">
        <v>541</v>
      </c>
      <c r="B1257" s="355">
        <v>6.18</v>
      </c>
      <c r="C1257" s="391">
        <v>1.5833333333333333</v>
      </c>
      <c r="D1257" s="279">
        <f t="shared" si="145"/>
        <v>0.25620280474649404</v>
      </c>
      <c r="E1257" s="330">
        <v>147</v>
      </c>
      <c r="F1257" s="330">
        <v>163</v>
      </c>
      <c r="G1257" s="419"/>
    </row>
    <row r="1258" spans="1:15" ht="13.5" customHeight="1" thickBot="1">
      <c r="A1258" s="423" t="s">
        <v>558</v>
      </c>
      <c r="B1258" s="354">
        <v>0</v>
      </c>
      <c r="C1258" s="390">
        <v>0.46527777777777773</v>
      </c>
      <c r="D1258" s="279" t="str">
        <f t="shared" si="145"/>
        <v/>
      </c>
      <c r="E1258" s="329">
        <v>139</v>
      </c>
      <c r="F1258" s="329">
        <v>150</v>
      </c>
      <c r="G1258" s="418"/>
    </row>
    <row r="1259" spans="1:15" ht="13.5" customHeight="1" thickBot="1">
      <c r="A1259" s="424" t="s">
        <v>557</v>
      </c>
      <c r="B1259" s="355">
        <v>0</v>
      </c>
      <c r="C1259" s="391">
        <v>7.2222222222222229E-2</v>
      </c>
      <c r="D1259" s="279" t="str">
        <f t="shared" si="145"/>
        <v/>
      </c>
      <c r="E1259" s="330">
        <v>155</v>
      </c>
      <c r="F1259" s="330">
        <v>164</v>
      </c>
      <c r="G1259" s="419"/>
    </row>
    <row r="1260" spans="1:15" ht="13.5" customHeight="1" thickBot="1">
      <c r="A1260" s="423" t="s">
        <v>555</v>
      </c>
      <c r="B1260" s="354">
        <v>0.46</v>
      </c>
      <c r="C1260" s="390">
        <v>0.31527777777777777</v>
      </c>
      <c r="D1260" s="279">
        <f t="shared" si="145"/>
        <v>0.68538647342995163</v>
      </c>
      <c r="E1260" s="329">
        <v>146</v>
      </c>
      <c r="F1260" s="329">
        <v>174</v>
      </c>
      <c r="G1260" s="418"/>
    </row>
    <row r="1261" spans="1:15" ht="13.5" customHeight="1" thickBot="1">
      <c r="A1261" s="424" t="s">
        <v>554</v>
      </c>
      <c r="B1261" s="355">
        <v>3.88</v>
      </c>
      <c r="C1261" s="391">
        <v>0.65625</v>
      </c>
      <c r="D1261" s="279">
        <f t="shared" si="145"/>
        <v>0.16913659793814434</v>
      </c>
      <c r="E1261" s="330">
        <v>173</v>
      </c>
      <c r="F1261" s="330">
        <v>184</v>
      </c>
      <c r="G1261" s="419"/>
    </row>
    <row r="1262" spans="1:15" ht="13.5" customHeight="1" thickBot="1">
      <c r="A1262" s="423" t="s">
        <v>553</v>
      </c>
      <c r="B1262" s="354">
        <v>0.74</v>
      </c>
      <c r="C1262" s="390">
        <v>0.21875</v>
      </c>
      <c r="D1262" s="279">
        <f t="shared" si="145"/>
        <v>0.29560810810810811</v>
      </c>
      <c r="E1262" s="329">
        <v>141</v>
      </c>
      <c r="F1262" s="329">
        <v>160</v>
      </c>
      <c r="G1262" s="418"/>
    </row>
    <row r="1263" spans="1:15" thickBot="1">
      <c r="A1263" s="423" t="s">
        <v>548</v>
      </c>
      <c r="B1263" s="354">
        <v>21.69</v>
      </c>
      <c r="C1263" s="390">
        <v>7.3136574074074076E-2</v>
      </c>
      <c r="D1263" s="279">
        <f t="shared" si="145"/>
        <v>3.3719029079794407E-3</v>
      </c>
      <c r="E1263" s="329">
        <v>162</v>
      </c>
      <c r="F1263" s="329">
        <v>175</v>
      </c>
      <c r="G1263" s="418"/>
    </row>
    <row r="1264" spans="1:15" ht="12.75">
      <c r="A1264" s="395">
        <v>41021</v>
      </c>
      <c r="B1264" s="177">
        <v>6.18</v>
      </c>
      <c r="C1264" s="361">
        <v>2.6388888888888889E-2</v>
      </c>
      <c r="D1264" s="279">
        <f t="shared" si="145"/>
        <v>4.2700467457749015E-3</v>
      </c>
      <c r="E1264" s="66">
        <v>147</v>
      </c>
      <c r="F1264" s="66">
        <v>163</v>
      </c>
      <c r="G1264" s="66">
        <v>495</v>
      </c>
      <c r="I1264" s="155">
        <f t="shared" ref="I1264" si="146">IF(D1264&gt;0,(1/(D1264*24)))</f>
        <v>9.7578947368421041</v>
      </c>
      <c r="J1264" s="270">
        <f>1/((182/(ConditieGetal!$B$2*(E1264/(I1264*ConditieGetal!$B$2))))*24)*10</f>
        <v>3.4488839100489589E-2</v>
      </c>
      <c r="K1264" s="270">
        <f t="shared" ref="K1264:K1270" si="147">$J1264*POWER(21.1/10,1.06)</f>
        <v>7.610583913611009E-2</v>
      </c>
      <c r="L1264" s="270">
        <f t="shared" ref="L1264:L1270" si="148">$J1264*POWER(16.1/10,1.06)</f>
        <v>5.7136548865274854E-2</v>
      </c>
      <c r="M1264" s="270">
        <f t="shared" ref="M1264:M1270" si="149">$J1264*POWER(42.2/10,1.06)</f>
        <v>0.15867546299895399</v>
      </c>
      <c r="N1264" s="428">
        <f>G1264/B1264</f>
        <v>80.097087378640779</v>
      </c>
      <c r="O1264" s="428">
        <f>G1264/C1264/24</f>
        <v>781.57894736842115</v>
      </c>
    </row>
    <row r="1265" spans="1:15" ht="13.5" customHeight="1">
      <c r="A1265" s="426">
        <v>41067</v>
      </c>
      <c r="B1265" s="357">
        <v>6.95</v>
      </c>
      <c r="C1265" s="393">
        <v>2.449074074074074E-2</v>
      </c>
      <c r="D1265" s="279">
        <f t="shared" si="145"/>
        <v>3.5238475885957898E-3</v>
      </c>
      <c r="E1265" s="28">
        <v>164</v>
      </c>
      <c r="F1265" s="28">
        <v>189</v>
      </c>
      <c r="G1265" s="28">
        <v>476</v>
      </c>
      <c r="I1265" s="155">
        <f t="shared" ref="I1265:I1268" si="150">IF(D1265&gt;0,(1/(D1265*24)))</f>
        <v>11.824196597353499</v>
      </c>
      <c r="J1265" s="270">
        <f>1/((182/(ConditieGetal!$B$2*(E1265/(I1265*ConditieGetal!$B$2))))*24)*10</f>
        <v>3.1753351897236777E-2</v>
      </c>
      <c r="K1265" s="270">
        <f t="shared" si="147"/>
        <v>7.0069493626101584E-2</v>
      </c>
      <c r="L1265" s="270">
        <f t="shared" si="148"/>
        <v>5.2604755324657547E-2</v>
      </c>
      <c r="M1265" s="270">
        <f t="shared" si="149"/>
        <v>0.14609009596937217</v>
      </c>
      <c r="N1265" s="428">
        <f t="shared" ref="N1265:N1268" si="151">G1265/B1265</f>
        <v>68.489208633093526</v>
      </c>
      <c r="O1265" s="428">
        <f t="shared" ref="O1265:O1268" si="152">G1265/C1265/24</f>
        <v>809.82986767485818</v>
      </c>
    </row>
    <row r="1266" spans="1:15" ht="13.5" customHeight="1">
      <c r="A1266" s="426">
        <v>41076</v>
      </c>
      <c r="B1266" s="357">
        <v>6.37</v>
      </c>
      <c r="C1266" s="393">
        <v>2.1076388888888891E-2</v>
      </c>
      <c r="D1266" s="279">
        <f t="shared" si="145"/>
        <v>3.3086952729809876E-3</v>
      </c>
      <c r="E1266" s="28">
        <v>168</v>
      </c>
      <c r="F1266" s="28">
        <v>182</v>
      </c>
      <c r="G1266" s="28">
        <v>354</v>
      </c>
      <c r="I1266" s="155">
        <f t="shared" si="150"/>
        <v>12.59308072487644</v>
      </c>
      <c r="J1266" s="270">
        <f>1/((182/(ConditieGetal!$B$2*(E1266/(I1266*ConditieGetal!$B$2))))*24)*10</f>
        <v>3.0541802519824503E-2</v>
      </c>
      <c r="K1266" s="270">
        <f t="shared" si="147"/>
        <v>6.7395991576521611E-2</v>
      </c>
      <c r="L1266" s="270">
        <f t="shared" si="148"/>
        <v>5.0597620494647368E-2</v>
      </c>
      <c r="M1266" s="270">
        <f t="shared" si="149"/>
        <v>0.14051602727292081</v>
      </c>
      <c r="N1266" s="428">
        <f t="shared" si="151"/>
        <v>55.57299843014129</v>
      </c>
      <c r="O1266" s="428">
        <f t="shared" si="152"/>
        <v>699.83525535420085</v>
      </c>
    </row>
    <row r="1267" spans="1:15" ht="13.5" customHeight="1">
      <c r="A1267" s="426">
        <v>41094</v>
      </c>
      <c r="B1267" s="357">
        <v>6.4</v>
      </c>
      <c r="C1267" s="393">
        <v>2.1597222222222223E-2</v>
      </c>
      <c r="D1267" s="279">
        <f t="shared" si="145"/>
        <v>3.3745659722222219E-3</v>
      </c>
      <c r="E1267" s="28">
        <v>167</v>
      </c>
      <c r="F1267" s="28">
        <v>191</v>
      </c>
      <c r="G1267" s="28">
        <v>397</v>
      </c>
      <c r="I1267" s="155">
        <f t="shared" si="150"/>
        <v>12.34726688102894</v>
      </c>
      <c r="J1267" s="270">
        <f>1/((182/(ConditieGetal!$B$2*(E1267/(I1267*ConditieGetal!$B$2))))*24)*10</f>
        <v>3.0964424030830273E-2</v>
      </c>
      <c r="K1267" s="270">
        <f t="shared" si="147"/>
        <v>6.8328582106413002E-2</v>
      </c>
      <c r="L1267" s="270">
        <f t="shared" si="148"/>
        <v>5.1297763939451069E-2</v>
      </c>
      <c r="M1267" s="270">
        <f t="shared" si="149"/>
        <v>0.14246041466551373</v>
      </c>
      <c r="N1267" s="428">
        <f t="shared" si="151"/>
        <v>62.03125</v>
      </c>
      <c r="O1267" s="428">
        <f t="shared" si="152"/>
        <v>765.91639871382631</v>
      </c>
    </row>
    <row r="1268" spans="1:15" ht="13.5" customHeight="1">
      <c r="A1268" s="426">
        <v>41096</v>
      </c>
      <c r="B1268" s="357">
        <v>6.4</v>
      </c>
      <c r="C1268" s="393">
        <v>2.0173611111111111E-2</v>
      </c>
      <c r="D1268" s="279">
        <f t="shared" si="145"/>
        <v>3.1521267361111108E-3</v>
      </c>
      <c r="E1268" s="28">
        <v>173</v>
      </c>
      <c r="F1268" s="28">
        <v>185</v>
      </c>
      <c r="G1268" s="28">
        <v>390</v>
      </c>
      <c r="I1268" s="155">
        <f t="shared" si="150"/>
        <v>13.218588640275389</v>
      </c>
      <c r="J1268" s="270">
        <f>1/((182/(ConditieGetal!$B$2*(E1268/(I1268*ConditieGetal!$B$2))))*24)*10</f>
        <v>2.9962523370726503E-2</v>
      </c>
      <c r="K1268" s="270">
        <f t="shared" si="147"/>
        <v>6.6117707734966349E-2</v>
      </c>
      <c r="L1268" s="270">
        <f t="shared" si="148"/>
        <v>4.963794738669973E-2</v>
      </c>
      <c r="M1268" s="270">
        <f t="shared" si="149"/>
        <v>0.13785089299800518</v>
      </c>
      <c r="N1268" s="428">
        <f t="shared" si="151"/>
        <v>60.9375</v>
      </c>
      <c r="O1268" s="428">
        <f t="shared" si="152"/>
        <v>805.5077452667814</v>
      </c>
    </row>
    <row r="1269" spans="1:15" ht="13.5" customHeight="1">
      <c r="A1269" s="426">
        <v>41098</v>
      </c>
      <c r="B1269" s="357">
        <v>6.64</v>
      </c>
      <c r="C1269" s="393">
        <v>2.2349537037037032E-2</v>
      </c>
      <c r="D1269" s="279">
        <f t="shared" si="145"/>
        <v>3.3658941320838906E-3</v>
      </c>
      <c r="E1269" s="28">
        <v>163</v>
      </c>
      <c r="F1269" s="28">
        <v>185</v>
      </c>
      <c r="G1269" s="28">
        <v>419</v>
      </c>
      <c r="I1269" s="155">
        <f t="shared" ref="I1269:I1270" si="153">IF(D1269&gt;0,(1/(D1269*24)))</f>
        <v>12.379078197824963</v>
      </c>
      <c r="J1269" s="270">
        <f>1/((182/(ConditieGetal!$B$2*(E1269/(I1269*ConditieGetal!$B$2))))*24)*10</f>
        <v>3.0145095798333747E-2</v>
      </c>
      <c r="K1269" s="270">
        <f t="shared" si="147"/>
        <v>6.6520586700120288E-2</v>
      </c>
      <c r="L1269" s="270">
        <f t="shared" si="148"/>
        <v>4.9940409246927581E-2</v>
      </c>
      <c r="M1269" s="270">
        <f t="shared" si="149"/>
        <v>0.13869086805187736</v>
      </c>
      <c r="N1269" s="428">
        <f t="shared" ref="N1269:N1270" si="154">G1269/B1269</f>
        <v>63.102409638554221</v>
      </c>
      <c r="O1269" s="428">
        <f t="shared" ref="O1269:O1270" si="155">G1269/C1269/24</f>
        <v>781.14966338684633</v>
      </c>
    </row>
    <row r="1270" spans="1:15" ht="13.5" customHeight="1">
      <c r="A1270" s="426">
        <v>41103</v>
      </c>
      <c r="B1270" s="357">
        <v>6.38</v>
      </c>
      <c r="C1270" s="393">
        <v>1.9918981481481482E-2</v>
      </c>
      <c r="D1270" s="279">
        <f t="shared" si="145"/>
        <v>3.1220974108905146E-3</v>
      </c>
      <c r="E1270" s="28">
        <v>165</v>
      </c>
      <c r="F1270" s="28">
        <v>185</v>
      </c>
      <c r="G1270" s="28">
        <v>384</v>
      </c>
      <c r="I1270" s="155">
        <f t="shared" ref="I1270" si="156">IF(D1270&gt;0,(1/(D1270*24)))</f>
        <v>13.345729227193491</v>
      </c>
      <c r="J1270" s="270">
        <f>1/((182/(ConditieGetal!$B$2*(E1270/(I1270*ConditieGetal!$B$2))))*24)*10</f>
        <v>2.8304729274556861E-2</v>
      </c>
      <c r="K1270" s="270">
        <f t="shared" si="147"/>
        <v>6.2459486290160196E-2</v>
      </c>
      <c r="L1270" s="270">
        <f t="shared" si="148"/>
        <v>4.6891533304498391E-2</v>
      </c>
      <c r="M1270" s="270">
        <f t="shared" si="149"/>
        <v>0.13022375179443488</v>
      </c>
      <c r="N1270" s="428">
        <f t="shared" ref="N1270" si="157">G1270/B1270</f>
        <v>60.188087774294672</v>
      </c>
      <c r="O1270" s="428">
        <f t="shared" ref="O1270" si="158">G1270/C1270/24</f>
        <v>803.25392213829173</v>
      </c>
    </row>
    <row r="1271" spans="1:15" ht="13.5" customHeight="1">
      <c r="A1271" s="426"/>
      <c r="B1271" s="357"/>
      <c r="C1271" s="393"/>
      <c r="D1271" s="27"/>
      <c r="E1271" s="28"/>
      <c r="F1271" s="28"/>
      <c r="G1271" s="28"/>
    </row>
    <row r="1272" spans="1:15" ht="13.5" customHeight="1">
      <c r="A1272" s="426"/>
      <c r="B1272" s="357"/>
      <c r="C1272" s="393"/>
      <c r="D1272" s="27"/>
      <c r="E1272" s="28"/>
      <c r="F1272" s="28"/>
      <c r="G1272" s="28"/>
    </row>
    <row r="1273" spans="1:15" ht="13.5" customHeight="1">
      <c r="A1273" s="426"/>
      <c r="B1273" s="357"/>
      <c r="C1273" s="393"/>
      <c r="D1273" s="27"/>
      <c r="E1273" s="28"/>
      <c r="F1273" s="28"/>
      <c r="G1273" s="28"/>
    </row>
    <row r="1274" spans="1:15" ht="13.5" customHeight="1">
      <c r="A1274" s="426"/>
      <c r="B1274" s="357"/>
      <c r="C1274" s="393"/>
      <c r="D1274" s="27"/>
      <c r="E1274" s="28"/>
      <c r="F1274" s="28"/>
      <c r="G1274" s="28"/>
    </row>
    <row r="1275" spans="1:15" ht="13.5" customHeight="1">
      <c r="A1275" s="426"/>
      <c r="B1275" s="357"/>
      <c r="C1275" s="393"/>
      <c r="D1275" s="27"/>
      <c r="E1275" s="28"/>
      <c r="F1275" s="28"/>
      <c r="G1275" s="28"/>
    </row>
    <row r="1276" spans="1:15" ht="13.5" customHeight="1">
      <c r="A1276" s="426"/>
      <c r="B1276" s="357"/>
      <c r="C1276" s="393"/>
      <c r="D1276" s="27"/>
      <c r="E1276" s="28"/>
      <c r="F1276" s="28"/>
      <c r="G1276" s="28"/>
    </row>
    <row r="1277" spans="1:15" ht="13.5" customHeight="1">
      <c r="A1277" s="426"/>
      <c r="B1277" s="357"/>
      <c r="C1277" s="393"/>
      <c r="D1277" s="27"/>
      <c r="E1277" s="28"/>
      <c r="F1277" s="28"/>
      <c r="G1277" s="28"/>
    </row>
    <row r="1278" spans="1:15" ht="13.5" customHeight="1">
      <c r="A1278" s="426"/>
      <c r="B1278" s="357"/>
      <c r="C1278" s="393"/>
      <c r="D1278" s="27"/>
      <c r="E1278" s="28"/>
      <c r="F1278" s="28"/>
      <c r="G1278" s="28"/>
    </row>
    <row r="1279" spans="1:15" ht="13.5" customHeight="1">
      <c r="A1279" s="426"/>
      <c r="B1279" s="357"/>
      <c r="C1279" s="393"/>
      <c r="D1279" s="27"/>
      <c r="E1279" s="28"/>
      <c r="F1279" s="28"/>
      <c r="G1279" s="28"/>
    </row>
    <row r="1280" spans="1:15" ht="13.5" customHeight="1">
      <c r="A1280" s="426"/>
      <c r="B1280" s="357"/>
      <c r="C1280" s="393"/>
      <c r="D1280" s="27"/>
      <c r="E1280" s="28"/>
      <c r="F1280" s="28"/>
      <c r="G1280" s="28"/>
    </row>
    <row r="1281" spans="1:7" ht="13.5" customHeight="1">
      <c r="A1281" s="426"/>
      <c r="B1281" s="357"/>
      <c r="C1281" s="393"/>
      <c r="D1281" s="27"/>
      <c r="E1281" s="28"/>
      <c r="F1281" s="28"/>
      <c r="G1281" s="28"/>
    </row>
    <row r="1282" spans="1:7" ht="13.5" customHeight="1">
      <c r="A1282" s="426"/>
      <c r="B1282" s="357"/>
      <c r="C1282" s="393"/>
      <c r="D1282" s="27"/>
      <c r="E1282" s="28"/>
      <c r="F1282" s="28"/>
      <c r="G1282" s="28"/>
    </row>
    <row r="1283" spans="1:7" ht="13.5" customHeight="1">
      <c r="A1283" s="426"/>
      <c r="B1283" s="357"/>
      <c r="C1283" s="393"/>
      <c r="D1283" s="27"/>
      <c r="E1283" s="28"/>
      <c r="F1283" s="28"/>
      <c r="G1283" s="28"/>
    </row>
    <row r="1284" spans="1:7" ht="13.5" customHeight="1">
      <c r="A1284" s="426"/>
      <c r="B1284" s="357"/>
      <c r="C1284" s="393"/>
      <c r="D1284" s="27"/>
      <c r="E1284" s="28"/>
      <c r="F1284" s="28"/>
      <c r="G1284" s="28"/>
    </row>
  </sheetData>
  <sortState ref="A1265:XFD1284">
    <sortCondition ref="A1265:A1284"/>
  </sortState>
  <mergeCells count="4">
    <mergeCell ref="H666:H667"/>
    <mergeCell ref="B950:F951"/>
    <mergeCell ref="H985:H986"/>
    <mergeCell ref="E1040:F1040"/>
  </mergeCells>
  <phoneticPr fontId="0" type="noConversion"/>
  <conditionalFormatting sqref="A1201:XFD1201 M1202:M1219">
    <cfRule type="expression" dxfId="2" priority="2">
      <formula>"ISEVEN(WEEKNUM(A1201))"</formula>
    </cfRule>
  </conditionalFormatting>
  <conditionalFormatting sqref="M1264:M1270">
    <cfRule type="expression" dxfId="1" priority="1">
      <formula>"ISEVEN(WEEKNUM(A1201))"</formula>
    </cfRule>
  </conditionalFormatting>
  <printOptions gridLines="1"/>
  <pageMargins left="0" right="0" top="0" bottom="0" header="0.51181102362204722" footer="0.51181102362204722"/>
  <pageSetup paperSize="9" orientation="landscape" blackAndWhite="1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W44"/>
  <sheetViews>
    <sheetView topLeftCell="C10" workbookViewId="0">
      <selection activeCell="F22" sqref="F3:F22"/>
    </sheetView>
  </sheetViews>
  <sheetFormatPr defaultRowHeight="12.75"/>
  <cols>
    <col min="1" max="1" width="16.42578125" customWidth="1"/>
    <col min="2" max="2" width="27.7109375" customWidth="1"/>
    <col min="3" max="3" width="17" customWidth="1"/>
    <col min="4" max="4" width="25" customWidth="1"/>
    <col min="5" max="5" width="19.28515625" customWidth="1"/>
    <col min="6" max="6" width="20.7109375" customWidth="1"/>
    <col min="7" max="7" width="17.5703125" customWidth="1"/>
    <col min="9" max="9" width="18.85546875" customWidth="1"/>
  </cols>
  <sheetData>
    <row r="1" spans="1:22" s="297" customFormat="1" ht="15.75">
      <c r="A1" s="442" t="s">
        <v>563</v>
      </c>
      <c r="B1" s="440" t="s">
        <v>564</v>
      </c>
      <c r="C1" s="440" t="s">
        <v>565</v>
      </c>
      <c r="D1" s="440" t="s">
        <v>507</v>
      </c>
      <c r="E1" s="440" t="s">
        <v>263</v>
      </c>
      <c r="F1" s="440" t="s">
        <v>566</v>
      </c>
      <c r="G1" s="440" t="s">
        <v>567</v>
      </c>
      <c r="H1" s="440" t="s">
        <v>568</v>
      </c>
      <c r="I1" s="440" t="s">
        <v>569</v>
      </c>
      <c r="J1" s="440" t="s">
        <v>570</v>
      </c>
      <c r="K1" s="440" t="s">
        <v>571</v>
      </c>
      <c r="L1" s="440" t="s">
        <v>572</v>
      </c>
      <c r="M1" s="440" t="s">
        <v>573</v>
      </c>
      <c r="N1" s="440" t="s">
        <v>574</v>
      </c>
      <c r="O1" s="440" t="s">
        <v>575</v>
      </c>
      <c r="P1" s="440" t="s">
        <v>576</v>
      </c>
      <c r="Q1" s="440" t="s">
        <v>577</v>
      </c>
      <c r="R1" s="440" t="s">
        <v>578</v>
      </c>
      <c r="S1" s="440" t="s">
        <v>579</v>
      </c>
      <c r="T1" s="444"/>
      <c r="U1" s="301"/>
      <c r="V1" s="301"/>
    </row>
    <row r="2" spans="1:22" ht="13.5" thickBot="1">
      <c r="A2" s="443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5"/>
      <c r="U2" s="301"/>
      <c r="V2" s="301"/>
    </row>
    <row r="3" spans="1:22" ht="13.5" thickBot="1">
      <c r="A3" s="315"/>
      <c r="B3" s="316"/>
      <c r="C3" s="302" t="s">
        <v>537</v>
      </c>
      <c r="D3" s="303" t="s">
        <v>517</v>
      </c>
      <c r="E3" s="304" t="s">
        <v>555</v>
      </c>
      <c r="F3" s="305">
        <v>0.31527777777777777</v>
      </c>
      <c r="G3" s="304">
        <v>0.46</v>
      </c>
      <c r="H3" s="304">
        <v>5</v>
      </c>
      <c r="I3" s="305">
        <v>0.68611111111111101</v>
      </c>
      <c r="J3" s="304" t="s">
        <v>556</v>
      </c>
      <c r="K3" s="304">
        <v>146</v>
      </c>
      <c r="L3" s="304">
        <v>174</v>
      </c>
      <c r="M3" s="304">
        <v>84</v>
      </c>
      <c r="N3" s="304" t="s">
        <v>233</v>
      </c>
      <c r="O3" s="304" t="s">
        <v>233</v>
      </c>
      <c r="P3" s="304" t="s">
        <v>233</v>
      </c>
      <c r="Q3" s="304" t="s">
        <v>233</v>
      </c>
      <c r="R3" s="304" t="s">
        <v>233</v>
      </c>
      <c r="S3" s="304" t="s">
        <v>233</v>
      </c>
      <c r="T3" s="304">
        <v>2.1</v>
      </c>
      <c r="U3" s="304" t="s">
        <v>233</v>
      </c>
      <c r="V3" s="326"/>
    </row>
    <row r="4" spans="1:22" ht="13.5" thickBot="1">
      <c r="A4" s="307"/>
      <c r="B4" s="308"/>
      <c r="C4" s="309" t="s">
        <v>537</v>
      </c>
      <c r="D4" s="310" t="s">
        <v>517</v>
      </c>
      <c r="E4" s="311" t="s">
        <v>557</v>
      </c>
      <c r="F4" s="313">
        <v>7.2222222222222229E-2</v>
      </c>
      <c r="G4" s="311">
        <v>0</v>
      </c>
      <c r="H4" s="311" t="s">
        <v>233</v>
      </c>
      <c r="I4" s="311" t="s">
        <v>544</v>
      </c>
      <c r="J4" s="311" t="s">
        <v>233</v>
      </c>
      <c r="K4" s="311">
        <v>155</v>
      </c>
      <c r="L4" s="311">
        <v>164</v>
      </c>
      <c r="M4" s="311">
        <v>22</v>
      </c>
      <c r="N4" s="311" t="s">
        <v>233</v>
      </c>
      <c r="O4" s="311" t="s">
        <v>233</v>
      </c>
      <c r="P4" s="311" t="s">
        <v>233</v>
      </c>
      <c r="Q4" s="311" t="s">
        <v>233</v>
      </c>
      <c r="R4" s="311" t="s">
        <v>233</v>
      </c>
      <c r="S4" s="311" t="s">
        <v>233</v>
      </c>
      <c r="T4" s="311">
        <v>1.4</v>
      </c>
      <c r="U4" s="311" t="s">
        <v>233</v>
      </c>
      <c r="V4" s="327"/>
    </row>
    <row r="5" spans="1:22" ht="13.5" thickBot="1">
      <c r="A5" s="315"/>
      <c r="B5" s="316"/>
      <c r="C5" s="302" t="s">
        <v>537</v>
      </c>
      <c r="D5" s="303" t="s">
        <v>517</v>
      </c>
      <c r="E5" s="304" t="s">
        <v>558</v>
      </c>
      <c r="F5" s="305">
        <v>0.46527777777777773</v>
      </c>
      <c r="G5" s="304">
        <v>0</v>
      </c>
      <c r="H5" s="304" t="s">
        <v>233</v>
      </c>
      <c r="I5" s="304" t="s">
        <v>544</v>
      </c>
      <c r="J5" s="304" t="s">
        <v>233</v>
      </c>
      <c r="K5" s="304">
        <v>139</v>
      </c>
      <c r="L5" s="304">
        <v>150</v>
      </c>
      <c r="M5" s="304">
        <v>118</v>
      </c>
      <c r="N5" s="304" t="s">
        <v>233</v>
      </c>
      <c r="O5" s="304" t="s">
        <v>233</v>
      </c>
      <c r="P5" s="304" t="s">
        <v>233</v>
      </c>
      <c r="Q5" s="304" t="s">
        <v>233</v>
      </c>
      <c r="R5" s="304" t="s">
        <v>233</v>
      </c>
      <c r="S5" s="304" t="s">
        <v>233</v>
      </c>
      <c r="T5" s="304">
        <v>2</v>
      </c>
      <c r="U5" s="304" t="s">
        <v>233</v>
      </c>
      <c r="V5" s="326"/>
    </row>
    <row r="6" spans="1:22" ht="13.5" thickBot="1">
      <c r="A6" s="307"/>
      <c r="B6" s="308"/>
      <c r="C6" s="309" t="s">
        <v>537</v>
      </c>
      <c r="D6" s="310" t="s">
        <v>517</v>
      </c>
      <c r="E6" s="311" t="s">
        <v>559</v>
      </c>
      <c r="F6" s="312">
        <v>2.3611111111111112</v>
      </c>
      <c r="G6" s="311">
        <v>11.33</v>
      </c>
      <c r="H6" s="311">
        <v>62</v>
      </c>
      <c r="I6" s="313">
        <v>0.20833333333333334</v>
      </c>
      <c r="J6" s="313">
        <v>7.6388888888888895E-2</v>
      </c>
      <c r="K6" s="311">
        <v>155</v>
      </c>
      <c r="L6" s="311">
        <v>176</v>
      </c>
      <c r="M6" s="311">
        <v>613</v>
      </c>
      <c r="N6" s="311" t="s">
        <v>233</v>
      </c>
      <c r="O6" s="311" t="s">
        <v>233</v>
      </c>
      <c r="P6" s="311" t="s">
        <v>233</v>
      </c>
      <c r="Q6" s="311" t="s">
        <v>233</v>
      </c>
      <c r="R6" s="311" t="s">
        <v>233</v>
      </c>
      <c r="S6" s="311" t="s">
        <v>233</v>
      </c>
      <c r="T6" s="311">
        <v>4.3</v>
      </c>
      <c r="U6" s="311" t="s">
        <v>233</v>
      </c>
      <c r="V6" s="327"/>
    </row>
    <row r="7" spans="1:22" ht="13.5" thickBot="1">
      <c r="A7" s="315"/>
      <c r="B7" s="316"/>
      <c r="C7" s="302" t="s">
        <v>537</v>
      </c>
      <c r="D7" s="303" t="s">
        <v>517</v>
      </c>
      <c r="E7" s="304" t="s">
        <v>560</v>
      </c>
      <c r="F7" s="319">
        <v>4.9826388888888885E-2</v>
      </c>
      <c r="G7" s="304">
        <v>11.56</v>
      </c>
      <c r="H7" s="304">
        <v>33</v>
      </c>
      <c r="I7" s="305">
        <v>0.25833333333333336</v>
      </c>
      <c r="J7" s="304" t="s">
        <v>561</v>
      </c>
      <c r="K7" s="304">
        <v>147</v>
      </c>
      <c r="L7" s="304">
        <v>185</v>
      </c>
      <c r="M7" s="304">
        <v>735</v>
      </c>
      <c r="N7" s="304" t="s">
        <v>233</v>
      </c>
      <c r="O7" s="304" t="s">
        <v>233</v>
      </c>
      <c r="P7" s="304" t="s">
        <v>233</v>
      </c>
      <c r="Q7" s="304" t="s">
        <v>233</v>
      </c>
      <c r="R7" s="304" t="s">
        <v>233</v>
      </c>
      <c r="S7" s="304" t="s">
        <v>233</v>
      </c>
      <c r="T7" s="304">
        <v>3.7</v>
      </c>
      <c r="U7" s="304" t="s">
        <v>233</v>
      </c>
      <c r="V7" s="326"/>
    </row>
    <row r="8" spans="1:22" ht="13.5" thickBot="1">
      <c r="A8" s="307"/>
      <c r="B8" s="308"/>
      <c r="C8" s="309" t="s">
        <v>537</v>
      </c>
      <c r="D8" s="310" t="s">
        <v>517</v>
      </c>
      <c r="E8" s="311" t="s">
        <v>562</v>
      </c>
      <c r="F8" s="313">
        <v>0.43194444444444446</v>
      </c>
      <c r="G8" s="311">
        <v>1.9</v>
      </c>
      <c r="H8" s="311">
        <v>6</v>
      </c>
      <c r="I8" s="313">
        <v>0.22777777777777777</v>
      </c>
      <c r="J8" s="313">
        <v>0.18472222222222223</v>
      </c>
      <c r="K8" s="311">
        <v>161</v>
      </c>
      <c r="L8" s="311">
        <v>169</v>
      </c>
      <c r="M8" s="311">
        <v>133</v>
      </c>
      <c r="N8" s="311" t="s">
        <v>233</v>
      </c>
      <c r="O8" s="311" t="s">
        <v>233</v>
      </c>
      <c r="P8" s="311" t="s">
        <v>233</v>
      </c>
      <c r="Q8" s="311" t="s">
        <v>233</v>
      </c>
      <c r="R8" s="311" t="s">
        <v>233</v>
      </c>
      <c r="S8" s="311" t="s">
        <v>233</v>
      </c>
      <c r="T8" s="311">
        <v>2.7</v>
      </c>
      <c r="U8" s="311" t="s">
        <v>233</v>
      </c>
      <c r="V8" s="327"/>
    </row>
    <row r="9" spans="1:22" ht="13.5" thickBot="1">
      <c r="A9" s="315"/>
      <c r="B9" s="316"/>
      <c r="C9" s="302" t="s">
        <v>537</v>
      </c>
      <c r="D9" s="303" t="s">
        <v>517</v>
      </c>
      <c r="E9" s="304" t="s">
        <v>580</v>
      </c>
      <c r="F9" s="317">
        <v>1.565277777777778</v>
      </c>
      <c r="G9" s="304">
        <v>7.67</v>
      </c>
      <c r="H9" s="304">
        <v>45</v>
      </c>
      <c r="I9" s="305">
        <v>0.20416666666666669</v>
      </c>
      <c r="J9" s="305">
        <v>0.15416666666666667</v>
      </c>
      <c r="K9" s="304">
        <v>166</v>
      </c>
      <c r="L9" s="304">
        <v>185</v>
      </c>
      <c r="M9" s="304">
        <v>480</v>
      </c>
      <c r="N9" s="304" t="s">
        <v>233</v>
      </c>
      <c r="O9" s="304" t="s">
        <v>233</v>
      </c>
      <c r="P9" s="304" t="s">
        <v>233</v>
      </c>
      <c r="Q9" s="304" t="s">
        <v>233</v>
      </c>
      <c r="R9" s="304" t="s">
        <v>233</v>
      </c>
      <c r="S9" s="304" t="s">
        <v>233</v>
      </c>
      <c r="T9" s="304">
        <v>4.5</v>
      </c>
      <c r="U9" s="304" t="s">
        <v>233</v>
      </c>
      <c r="V9" s="326"/>
    </row>
    <row r="10" spans="1:22" ht="13.5" thickBot="1">
      <c r="A10" s="307"/>
      <c r="B10" s="308"/>
      <c r="C10" s="309" t="s">
        <v>537</v>
      </c>
      <c r="D10" s="310" t="s">
        <v>517</v>
      </c>
      <c r="E10" s="311" t="s">
        <v>581</v>
      </c>
      <c r="F10" s="313">
        <v>0.17986111111111111</v>
      </c>
      <c r="G10" s="311">
        <v>0.67</v>
      </c>
      <c r="H10" s="311">
        <v>8</v>
      </c>
      <c r="I10" s="313">
        <v>0.26666666666666666</v>
      </c>
      <c r="J10" s="313">
        <v>0.21249999999999999</v>
      </c>
      <c r="K10" s="311">
        <v>126</v>
      </c>
      <c r="L10" s="311">
        <v>141</v>
      </c>
      <c r="M10" s="311">
        <v>35</v>
      </c>
      <c r="N10" s="311" t="s">
        <v>233</v>
      </c>
      <c r="O10" s="311" t="s">
        <v>233</v>
      </c>
      <c r="P10" s="311" t="s">
        <v>233</v>
      </c>
      <c r="Q10" s="311" t="s">
        <v>233</v>
      </c>
      <c r="R10" s="311" t="s">
        <v>233</v>
      </c>
      <c r="S10" s="311" t="s">
        <v>233</v>
      </c>
      <c r="T10" s="311">
        <v>1.3</v>
      </c>
      <c r="U10" s="311" t="s">
        <v>233</v>
      </c>
      <c r="V10" s="327"/>
    </row>
    <row r="11" spans="1:22" ht="13.5" thickBot="1">
      <c r="A11" s="315"/>
      <c r="B11" s="316"/>
      <c r="C11" s="302" t="s">
        <v>537</v>
      </c>
      <c r="D11" s="303" t="s">
        <v>517</v>
      </c>
      <c r="E11" s="304" t="s">
        <v>582</v>
      </c>
      <c r="F11" s="305">
        <v>8.9583333333333334E-2</v>
      </c>
      <c r="G11" s="304">
        <v>0.64</v>
      </c>
      <c r="H11" s="304">
        <v>0</v>
      </c>
      <c r="I11" s="305">
        <v>0.14027777777777778</v>
      </c>
      <c r="J11" s="305">
        <v>0.12222222222222223</v>
      </c>
      <c r="K11" s="304">
        <v>186</v>
      </c>
      <c r="L11" s="304">
        <v>195</v>
      </c>
      <c r="M11" s="304">
        <v>32</v>
      </c>
      <c r="N11" s="304" t="s">
        <v>233</v>
      </c>
      <c r="O11" s="304" t="s">
        <v>233</v>
      </c>
      <c r="P11" s="304" t="s">
        <v>233</v>
      </c>
      <c r="Q11" s="304" t="s">
        <v>233</v>
      </c>
      <c r="R11" s="304" t="s">
        <v>233</v>
      </c>
      <c r="S11" s="304" t="s">
        <v>233</v>
      </c>
      <c r="T11" s="304">
        <v>2.1</v>
      </c>
      <c r="U11" s="304" t="s">
        <v>233</v>
      </c>
      <c r="V11" s="326"/>
    </row>
    <row r="12" spans="1:22" ht="13.5" thickBot="1">
      <c r="A12" s="307"/>
      <c r="B12" s="308"/>
      <c r="C12" s="309" t="s">
        <v>537</v>
      </c>
      <c r="D12" s="310" t="s">
        <v>517</v>
      </c>
      <c r="E12" s="311" t="s">
        <v>583</v>
      </c>
      <c r="F12" s="313">
        <v>0.28611111111111115</v>
      </c>
      <c r="G12" s="311">
        <v>1.38</v>
      </c>
      <c r="H12" s="311">
        <v>2</v>
      </c>
      <c r="I12" s="313">
        <v>0.20694444444444446</v>
      </c>
      <c r="J12" s="313">
        <v>0.11527777777777777</v>
      </c>
      <c r="K12" s="311">
        <v>176</v>
      </c>
      <c r="L12" s="311">
        <v>201</v>
      </c>
      <c r="M12" s="311">
        <v>95</v>
      </c>
      <c r="N12" s="311" t="s">
        <v>233</v>
      </c>
      <c r="O12" s="311" t="s">
        <v>233</v>
      </c>
      <c r="P12" s="311" t="s">
        <v>233</v>
      </c>
      <c r="Q12" s="311" t="s">
        <v>233</v>
      </c>
      <c r="R12" s="311" t="s">
        <v>233</v>
      </c>
      <c r="S12" s="311" t="s">
        <v>233</v>
      </c>
      <c r="T12" s="311">
        <v>3.2</v>
      </c>
      <c r="U12" s="311" t="s">
        <v>233</v>
      </c>
      <c r="V12" s="327"/>
    </row>
    <row r="13" spans="1:22" ht="13.5" thickBot="1">
      <c r="A13" s="315"/>
      <c r="B13" s="316"/>
      <c r="C13" s="302" t="s">
        <v>537</v>
      </c>
      <c r="D13" s="303" t="s">
        <v>517</v>
      </c>
      <c r="E13" s="304" t="s">
        <v>584</v>
      </c>
      <c r="F13" s="305">
        <v>0.36805555555555558</v>
      </c>
      <c r="G13" s="304">
        <v>1.39</v>
      </c>
      <c r="H13" s="304">
        <v>2</v>
      </c>
      <c r="I13" s="305">
        <v>0.26527777777777778</v>
      </c>
      <c r="J13" s="305">
        <v>0.20138888888888887</v>
      </c>
      <c r="K13" s="304">
        <v>178</v>
      </c>
      <c r="L13" s="304">
        <v>188</v>
      </c>
      <c r="M13" s="304">
        <v>124</v>
      </c>
      <c r="N13" s="304" t="s">
        <v>233</v>
      </c>
      <c r="O13" s="304" t="s">
        <v>233</v>
      </c>
      <c r="P13" s="304" t="s">
        <v>233</v>
      </c>
      <c r="Q13" s="304" t="s">
        <v>233</v>
      </c>
      <c r="R13" s="304" t="s">
        <v>233</v>
      </c>
      <c r="S13" s="304" t="s">
        <v>233</v>
      </c>
      <c r="T13" s="304">
        <v>3</v>
      </c>
      <c r="U13" s="304" t="s">
        <v>233</v>
      </c>
      <c r="V13" s="326"/>
    </row>
    <row r="14" spans="1:22" ht="13.5" thickBot="1">
      <c r="A14" s="307"/>
      <c r="B14" s="308"/>
      <c r="C14" s="309" t="s">
        <v>537</v>
      </c>
      <c r="D14" s="310" t="s">
        <v>517</v>
      </c>
      <c r="E14" s="311" t="s">
        <v>585</v>
      </c>
      <c r="F14" s="313">
        <v>0.27569444444444446</v>
      </c>
      <c r="G14" s="311">
        <v>1.7</v>
      </c>
      <c r="H14" s="311">
        <v>0</v>
      </c>
      <c r="I14" s="313">
        <v>0.16250000000000001</v>
      </c>
      <c r="J14" s="313">
        <v>0.14583333333333334</v>
      </c>
      <c r="K14" s="311">
        <v>198</v>
      </c>
      <c r="L14" s="311">
        <v>201</v>
      </c>
      <c r="M14" s="311">
        <v>107</v>
      </c>
      <c r="N14" s="311" t="s">
        <v>233</v>
      </c>
      <c r="O14" s="311" t="s">
        <v>233</v>
      </c>
      <c r="P14" s="311" t="s">
        <v>233</v>
      </c>
      <c r="Q14" s="311" t="s">
        <v>233</v>
      </c>
      <c r="R14" s="311" t="s">
        <v>233</v>
      </c>
      <c r="S14" s="311" t="s">
        <v>233</v>
      </c>
      <c r="T14" s="311">
        <v>3.3</v>
      </c>
      <c r="U14" s="311" t="s">
        <v>233</v>
      </c>
      <c r="V14" s="327"/>
    </row>
    <row r="15" spans="1:22" ht="13.5" thickBot="1">
      <c r="A15" s="315"/>
      <c r="B15" s="316"/>
      <c r="C15" s="302" t="s">
        <v>537</v>
      </c>
      <c r="D15" s="303" t="s">
        <v>517</v>
      </c>
      <c r="E15" s="304" t="s">
        <v>586</v>
      </c>
      <c r="F15" s="305">
        <v>4.9999999999999996E-2</v>
      </c>
      <c r="G15" s="304">
        <v>0.22</v>
      </c>
      <c r="H15" s="304">
        <v>0</v>
      </c>
      <c r="I15" s="305">
        <v>0.22638888888888889</v>
      </c>
      <c r="J15" s="305">
        <v>0.15</v>
      </c>
      <c r="K15" s="304">
        <v>179</v>
      </c>
      <c r="L15" s="304">
        <v>190</v>
      </c>
      <c r="M15" s="304">
        <v>3</v>
      </c>
      <c r="N15" s="304" t="s">
        <v>233</v>
      </c>
      <c r="O15" s="304" t="s">
        <v>233</v>
      </c>
      <c r="P15" s="304" t="s">
        <v>233</v>
      </c>
      <c r="Q15" s="304" t="s">
        <v>233</v>
      </c>
      <c r="R15" s="304" t="s">
        <v>233</v>
      </c>
      <c r="S15" s="304" t="s">
        <v>233</v>
      </c>
      <c r="T15" s="304">
        <v>1.6</v>
      </c>
      <c r="U15" s="304" t="s">
        <v>233</v>
      </c>
      <c r="V15" s="326"/>
    </row>
    <row r="16" spans="1:22" ht="13.5" thickBot="1">
      <c r="A16" s="307"/>
      <c r="B16" s="308"/>
      <c r="C16" s="309" t="s">
        <v>537</v>
      </c>
      <c r="D16" s="310" t="s">
        <v>517</v>
      </c>
      <c r="E16" s="311" t="s">
        <v>587</v>
      </c>
      <c r="F16" s="318">
        <v>4.296296296296296E-2</v>
      </c>
      <c r="G16" s="311">
        <v>7.68</v>
      </c>
      <c r="H16" s="311">
        <v>29</v>
      </c>
      <c r="I16" s="313">
        <v>0.33611111111111108</v>
      </c>
      <c r="J16" s="313">
        <v>0.14722222222222223</v>
      </c>
      <c r="K16" s="311">
        <v>152</v>
      </c>
      <c r="L16" s="311">
        <v>195</v>
      </c>
      <c r="M16" s="311">
        <v>616</v>
      </c>
      <c r="N16" s="311" t="s">
        <v>233</v>
      </c>
      <c r="O16" s="311" t="s">
        <v>233</v>
      </c>
      <c r="P16" s="311" t="s">
        <v>233</v>
      </c>
      <c r="Q16" s="311" t="s">
        <v>233</v>
      </c>
      <c r="R16" s="311" t="s">
        <v>233</v>
      </c>
      <c r="S16" s="311" t="s">
        <v>233</v>
      </c>
      <c r="T16" s="311">
        <v>5</v>
      </c>
      <c r="U16" s="311" t="s">
        <v>233</v>
      </c>
      <c r="V16" s="327"/>
    </row>
    <row r="17" spans="1:23" ht="13.5" thickBot="1">
      <c r="A17" s="315"/>
      <c r="B17" s="316"/>
      <c r="C17" s="302" t="s">
        <v>537</v>
      </c>
      <c r="D17" s="303" t="s">
        <v>517</v>
      </c>
      <c r="E17" s="304" t="s">
        <v>588</v>
      </c>
      <c r="F17" s="305">
        <v>0.4291666666666667</v>
      </c>
      <c r="G17" s="304">
        <v>1.86</v>
      </c>
      <c r="H17" s="304">
        <v>8</v>
      </c>
      <c r="I17" s="305">
        <v>0.23055555555555554</v>
      </c>
      <c r="J17" s="304" t="s">
        <v>589</v>
      </c>
      <c r="K17" s="304">
        <v>168</v>
      </c>
      <c r="L17" s="304">
        <v>182</v>
      </c>
      <c r="M17" s="304">
        <v>137</v>
      </c>
      <c r="N17" s="304" t="s">
        <v>233</v>
      </c>
      <c r="O17" s="304" t="s">
        <v>233</v>
      </c>
      <c r="P17" s="304" t="s">
        <v>233</v>
      </c>
      <c r="Q17" s="304" t="s">
        <v>233</v>
      </c>
      <c r="R17" s="304" t="s">
        <v>233</v>
      </c>
      <c r="S17" s="304" t="s">
        <v>233</v>
      </c>
      <c r="T17" s="304">
        <v>2.8</v>
      </c>
      <c r="U17" s="304" t="s">
        <v>233</v>
      </c>
      <c r="V17" s="326"/>
    </row>
    <row r="18" spans="1:23" ht="13.5" thickBot="1">
      <c r="A18" s="307"/>
      <c r="B18" s="308"/>
      <c r="C18" s="309" t="s">
        <v>537</v>
      </c>
      <c r="D18" s="310" t="s">
        <v>517</v>
      </c>
      <c r="E18" s="311" t="s">
        <v>590</v>
      </c>
      <c r="F18" s="313">
        <v>0.38819444444444445</v>
      </c>
      <c r="G18" s="311">
        <v>1.52</v>
      </c>
      <c r="H18" s="311">
        <v>4</v>
      </c>
      <c r="I18" s="313">
        <v>0.25555555555555559</v>
      </c>
      <c r="J18" s="313">
        <v>0.16250000000000001</v>
      </c>
      <c r="K18" s="311">
        <v>151</v>
      </c>
      <c r="L18" s="311">
        <v>173</v>
      </c>
      <c r="M18" s="311">
        <v>88</v>
      </c>
      <c r="N18" s="311" t="s">
        <v>233</v>
      </c>
      <c r="O18" s="311" t="s">
        <v>233</v>
      </c>
      <c r="P18" s="311" t="s">
        <v>233</v>
      </c>
      <c r="Q18" s="311" t="s">
        <v>233</v>
      </c>
      <c r="R18" s="311" t="s">
        <v>233</v>
      </c>
      <c r="S18" s="311" t="s">
        <v>233</v>
      </c>
      <c r="T18" s="311">
        <v>2.1</v>
      </c>
      <c r="U18" s="311" t="s">
        <v>233</v>
      </c>
      <c r="V18" s="327"/>
    </row>
    <row r="19" spans="1:23" ht="13.5" thickBot="1">
      <c r="A19" s="315"/>
      <c r="B19" s="316"/>
      <c r="C19" s="302" t="s">
        <v>537</v>
      </c>
      <c r="D19" s="303" t="s">
        <v>517</v>
      </c>
      <c r="E19" s="304" t="s">
        <v>591</v>
      </c>
      <c r="F19" s="304" t="s">
        <v>592</v>
      </c>
      <c r="G19" s="304">
        <v>0</v>
      </c>
      <c r="H19" s="304" t="s">
        <v>233</v>
      </c>
      <c r="I19" s="304" t="s">
        <v>544</v>
      </c>
      <c r="J19" s="304" t="s">
        <v>233</v>
      </c>
      <c r="K19" s="304">
        <v>88</v>
      </c>
      <c r="L19" s="304">
        <v>90</v>
      </c>
      <c r="M19" s="304">
        <v>0</v>
      </c>
      <c r="N19" s="304" t="s">
        <v>233</v>
      </c>
      <c r="O19" s="304" t="s">
        <v>233</v>
      </c>
      <c r="P19" s="304" t="s">
        <v>233</v>
      </c>
      <c r="Q19" s="304" t="s">
        <v>233</v>
      </c>
      <c r="R19" s="304" t="s">
        <v>233</v>
      </c>
      <c r="S19" s="304" t="s">
        <v>233</v>
      </c>
      <c r="T19" s="304">
        <v>1</v>
      </c>
      <c r="U19" s="304" t="s">
        <v>233</v>
      </c>
      <c r="V19" s="326"/>
    </row>
    <row r="20" spans="1:23" ht="13.5" thickBot="1">
      <c r="A20" s="307"/>
      <c r="B20" s="308"/>
      <c r="C20" s="309" t="s">
        <v>537</v>
      </c>
      <c r="D20" s="310" t="s">
        <v>517</v>
      </c>
      <c r="E20" s="311" t="s">
        <v>593</v>
      </c>
      <c r="F20" s="313">
        <v>0.15625</v>
      </c>
      <c r="G20" s="311">
        <v>0</v>
      </c>
      <c r="H20" s="311" t="s">
        <v>233</v>
      </c>
      <c r="I20" s="311" t="s">
        <v>544</v>
      </c>
      <c r="J20" s="311" t="s">
        <v>233</v>
      </c>
      <c r="K20" s="311" t="s">
        <v>233</v>
      </c>
      <c r="L20" s="311" t="s">
        <v>233</v>
      </c>
      <c r="M20" s="311">
        <v>0</v>
      </c>
      <c r="N20" s="311" t="s">
        <v>233</v>
      </c>
      <c r="O20" s="311" t="s">
        <v>233</v>
      </c>
      <c r="P20" s="311" t="s">
        <v>233</v>
      </c>
      <c r="Q20" s="311" t="s">
        <v>233</v>
      </c>
      <c r="R20" s="311" t="s">
        <v>233</v>
      </c>
      <c r="S20" s="311" t="s">
        <v>233</v>
      </c>
      <c r="T20" s="311" t="s">
        <v>233</v>
      </c>
      <c r="U20" s="311" t="s">
        <v>233</v>
      </c>
      <c r="V20" s="327"/>
    </row>
    <row r="21" spans="1:23" ht="13.5" thickBot="1">
      <c r="A21" s="315"/>
      <c r="B21" s="316"/>
      <c r="C21" s="302" t="s">
        <v>537</v>
      </c>
      <c r="D21" s="303" t="s">
        <v>517</v>
      </c>
      <c r="E21" s="304" t="s">
        <v>594</v>
      </c>
      <c r="F21" s="305">
        <v>0.20833333333333334</v>
      </c>
      <c r="G21" s="304">
        <v>0</v>
      </c>
      <c r="H21" s="304" t="s">
        <v>233</v>
      </c>
      <c r="I21" s="304" t="s">
        <v>544</v>
      </c>
      <c r="J21" s="304" t="s">
        <v>233</v>
      </c>
      <c r="K21" s="304" t="s">
        <v>233</v>
      </c>
      <c r="L21" s="304" t="s">
        <v>233</v>
      </c>
      <c r="M21" s="304">
        <v>0</v>
      </c>
      <c r="N21" s="304" t="s">
        <v>233</v>
      </c>
      <c r="O21" s="304" t="s">
        <v>233</v>
      </c>
      <c r="P21" s="304" t="s">
        <v>233</v>
      </c>
      <c r="Q21" s="304" t="s">
        <v>233</v>
      </c>
      <c r="R21" s="304" t="s">
        <v>233</v>
      </c>
      <c r="S21" s="304" t="s">
        <v>233</v>
      </c>
      <c r="T21" s="304" t="s">
        <v>233</v>
      </c>
      <c r="U21" s="304" t="s">
        <v>233</v>
      </c>
      <c r="V21" s="326"/>
    </row>
    <row r="22" spans="1:23" ht="13.5" thickBot="1">
      <c r="A22" s="307"/>
      <c r="B22" s="308"/>
      <c r="C22" s="309" t="s">
        <v>537</v>
      </c>
      <c r="D22" s="310" t="s">
        <v>517</v>
      </c>
      <c r="E22" s="311" t="s">
        <v>595</v>
      </c>
      <c r="F22" s="312">
        <v>2.3111111111111113</v>
      </c>
      <c r="G22" s="311">
        <v>9.2100000000000009</v>
      </c>
      <c r="H22" s="311">
        <v>22</v>
      </c>
      <c r="I22" s="313">
        <v>0.25069444444444444</v>
      </c>
      <c r="J22" s="311" t="s">
        <v>596</v>
      </c>
      <c r="K22" s="311">
        <v>166</v>
      </c>
      <c r="L22" s="311">
        <v>206</v>
      </c>
      <c r="M22" s="311">
        <v>753</v>
      </c>
      <c r="N22" s="311" t="s">
        <v>233</v>
      </c>
      <c r="O22" s="311" t="s">
        <v>233</v>
      </c>
      <c r="P22" s="311" t="s">
        <v>233</v>
      </c>
      <c r="Q22" s="311" t="s">
        <v>233</v>
      </c>
      <c r="R22" s="311" t="s">
        <v>233</v>
      </c>
      <c r="S22" s="311" t="s">
        <v>233</v>
      </c>
      <c r="T22" s="311">
        <v>5</v>
      </c>
      <c r="U22" s="311" t="s">
        <v>233</v>
      </c>
      <c r="V22" s="327"/>
    </row>
    <row r="24" spans="1:23">
      <c r="A24" s="301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</row>
    <row r="25" spans="1:23" ht="13.5" thickBot="1">
      <c r="A25" s="302"/>
      <c r="D25" s="303"/>
      <c r="E25" s="304"/>
      <c r="F25" s="305"/>
      <c r="G25" s="304"/>
      <c r="H25" s="304"/>
      <c r="I25" s="305"/>
      <c r="J25" s="305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1"/>
      <c r="W25" s="314"/>
    </row>
    <row r="26" spans="1:23" ht="13.5" thickBot="1">
      <c r="A26" s="307"/>
      <c r="B26" s="308"/>
      <c r="C26" s="309"/>
      <c r="D26" s="310"/>
      <c r="E26" s="311"/>
      <c r="F26" s="312"/>
      <c r="G26" s="311"/>
      <c r="H26" s="311"/>
      <c r="I26" s="313"/>
      <c r="J26" s="313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4"/>
      <c r="W26" s="306"/>
    </row>
    <row r="27" spans="1:23" ht="13.5" thickBot="1">
      <c r="A27" s="315"/>
      <c r="B27" s="316"/>
      <c r="C27" s="302"/>
      <c r="D27" s="303"/>
      <c r="E27" s="304"/>
      <c r="F27" s="317"/>
      <c r="G27" s="304"/>
      <c r="H27" s="304"/>
      <c r="I27" s="305"/>
      <c r="J27" s="305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6"/>
      <c r="W27" s="314"/>
    </row>
    <row r="28" spans="1:23" ht="13.5" thickBot="1">
      <c r="A28" s="307"/>
      <c r="B28" s="308"/>
      <c r="C28" s="309"/>
      <c r="D28" s="310"/>
      <c r="E28" s="311"/>
      <c r="F28" s="312"/>
      <c r="G28" s="311"/>
      <c r="H28" s="311"/>
      <c r="I28" s="313"/>
      <c r="J28" s="313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4"/>
      <c r="W28" s="306"/>
    </row>
    <row r="29" spans="1:23" ht="13.5" thickBot="1">
      <c r="A29" s="315"/>
      <c r="B29" s="316"/>
      <c r="C29" s="302"/>
      <c r="D29" s="303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6"/>
      <c r="W29" s="314"/>
    </row>
    <row r="30" spans="1:23" ht="13.5" thickBot="1">
      <c r="A30" s="307"/>
      <c r="B30" s="308"/>
      <c r="C30" s="309"/>
      <c r="D30" s="310"/>
      <c r="E30" s="311"/>
      <c r="F30" s="318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4"/>
      <c r="W30" s="306"/>
    </row>
    <row r="31" spans="1:23" ht="13.5" thickBot="1">
      <c r="A31" s="315"/>
      <c r="B31" s="316"/>
      <c r="C31" s="302"/>
      <c r="D31" s="303"/>
      <c r="E31" s="304"/>
      <c r="F31" s="319"/>
      <c r="G31" s="304"/>
      <c r="H31" s="304"/>
      <c r="I31" s="317"/>
      <c r="J31" s="305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6"/>
      <c r="W31" s="314"/>
    </row>
    <row r="32" spans="1:23" ht="13.5" thickBot="1">
      <c r="A32" s="307"/>
      <c r="B32" s="308"/>
      <c r="C32" s="309"/>
      <c r="D32" s="310"/>
      <c r="E32" s="311"/>
      <c r="F32" s="313"/>
      <c r="G32" s="311"/>
      <c r="H32" s="311"/>
      <c r="I32" s="313"/>
      <c r="J32" s="313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4"/>
      <c r="W32" s="306"/>
    </row>
    <row r="33" spans="1:23" ht="13.5" thickBot="1">
      <c r="A33" s="315"/>
      <c r="B33" s="316"/>
      <c r="C33" s="302"/>
      <c r="D33" s="303"/>
      <c r="E33" s="304"/>
      <c r="F33" s="319"/>
      <c r="G33" s="304"/>
      <c r="H33" s="304"/>
      <c r="I33" s="305"/>
      <c r="J33" s="305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6"/>
      <c r="W33" s="314"/>
    </row>
    <row r="34" spans="1:23" ht="13.5" thickBot="1">
      <c r="A34" s="307"/>
      <c r="B34" s="308"/>
      <c r="C34" s="309"/>
      <c r="D34" s="310"/>
      <c r="E34" s="311"/>
      <c r="F34" s="318"/>
      <c r="G34" s="311"/>
      <c r="H34" s="311"/>
      <c r="I34" s="313"/>
      <c r="J34" s="313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4"/>
      <c r="W34" s="306"/>
    </row>
    <row r="35" spans="1:23" ht="13.5" thickBot="1">
      <c r="A35" s="315"/>
      <c r="B35" s="316"/>
      <c r="C35" s="302"/>
      <c r="D35" s="303"/>
      <c r="E35" s="304"/>
      <c r="F35" s="304"/>
      <c r="G35" s="304"/>
      <c r="H35" s="304"/>
      <c r="I35" s="305"/>
      <c r="J35" s="305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6"/>
      <c r="W35" s="314"/>
    </row>
    <row r="36" spans="1:23" ht="13.5" thickBot="1">
      <c r="A36" s="307"/>
      <c r="B36" s="308"/>
      <c r="C36" s="309"/>
      <c r="D36" s="310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4"/>
      <c r="W36" s="306"/>
    </row>
    <row r="37" spans="1:23" ht="13.5" thickBot="1">
      <c r="A37" s="315"/>
      <c r="B37" s="316"/>
      <c r="C37" s="302"/>
      <c r="D37" s="303"/>
      <c r="E37" s="304"/>
      <c r="F37" s="305"/>
      <c r="G37" s="304"/>
      <c r="H37" s="304"/>
      <c r="I37" s="305"/>
      <c r="J37" s="305"/>
      <c r="K37" s="304"/>
      <c r="L37" s="304"/>
      <c r="M37" s="304"/>
      <c r="N37" s="304"/>
      <c r="O37" s="304"/>
      <c r="P37" s="304"/>
      <c r="Q37" s="304"/>
      <c r="R37" s="304"/>
      <c r="S37" s="304"/>
      <c r="T37" s="304"/>
      <c r="U37" s="304"/>
      <c r="V37" s="306"/>
      <c r="W37" s="314"/>
    </row>
    <row r="38" spans="1:23" ht="13.5" thickBot="1">
      <c r="A38" s="307"/>
      <c r="B38" s="308"/>
      <c r="C38" s="309"/>
      <c r="D38" s="310"/>
      <c r="E38" s="311"/>
      <c r="F38" s="313"/>
      <c r="G38" s="311"/>
      <c r="H38" s="311"/>
      <c r="I38" s="313"/>
      <c r="J38" s="313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4"/>
      <c r="W38" s="306"/>
    </row>
    <row r="39" spans="1:23" ht="13.5" thickBot="1">
      <c r="A39" s="315"/>
      <c r="B39" s="316"/>
      <c r="C39" s="302"/>
      <c r="D39" s="303"/>
      <c r="E39" s="304"/>
      <c r="F39" s="305"/>
      <c r="G39" s="304"/>
      <c r="H39" s="304"/>
      <c r="I39" s="305"/>
      <c r="J39" s="304"/>
      <c r="K39" s="304"/>
      <c r="L39" s="304"/>
      <c r="M39" s="304"/>
      <c r="N39" s="304"/>
      <c r="O39" s="304"/>
      <c r="P39" s="304"/>
      <c r="Q39" s="304"/>
      <c r="R39" s="304"/>
      <c r="S39" s="304"/>
      <c r="T39" s="304"/>
      <c r="U39" s="304"/>
      <c r="V39" s="306"/>
      <c r="W39" s="314"/>
    </row>
    <row r="40" spans="1:23" ht="13.5" thickBot="1">
      <c r="A40" s="307"/>
      <c r="B40" s="308"/>
      <c r="C40" s="309"/>
      <c r="D40" s="310"/>
      <c r="E40" s="311"/>
      <c r="F40" s="313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4"/>
      <c r="W40" s="306"/>
    </row>
    <row r="41" spans="1:23" ht="13.5" thickBot="1">
      <c r="A41" s="315"/>
      <c r="B41" s="316"/>
      <c r="C41" s="302"/>
      <c r="D41" s="303"/>
      <c r="E41" s="304"/>
      <c r="F41" s="305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6"/>
      <c r="W41" s="314"/>
    </row>
    <row r="42" spans="1:23" ht="13.5" thickBot="1">
      <c r="A42" s="307"/>
      <c r="B42" s="308"/>
      <c r="C42" s="309"/>
      <c r="D42" s="310"/>
      <c r="E42" s="311"/>
      <c r="F42" s="312"/>
      <c r="G42" s="311"/>
      <c r="H42" s="311"/>
      <c r="I42" s="313"/>
      <c r="J42" s="313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4"/>
      <c r="W42" s="306"/>
    </row>
    <row r="43" spans="1:23" ht="13.5" thickBot="1">
      <c r="A43" s="315"/>
      <c r="B43" s="316"/>
      <c r="C43" s="302"/>
      <c r="D43" s="303"/>
      <c r="E43" s="304"/>
      <c r="F43" s="319"/>
      <c r="G43" s="304"/>
      <c r="H43" s="304"/>
      <c r="I43" s="305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6"/>
      <c r="W43" s="301"/>
    </row>
    <row r="44" spans="1:23" ht="13.5" thickBot="1">
      <c r="A44" s="320"/>
      <c r="B44" s="321"/>
      <c r="C44" s="322"/>
      <c r="D44" s="323"/>
      <c r="E44" s="324"/>
      <c r="F44" s="325"/>
      <c r="G44" s="324"/>
      <c r="H44" s="324"/>
      <c r="I44" s="325"/>
      <c r="J44" s="325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01"/>
    </row>
  </sheetData>
  <mergeCells count="20">
    <mergeCell ref="S1:S2"/>
    <mergeCell ref="T1:T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hyperlinks>
    <hyperlink ref="A1" r:id="rId1" display="http://connect.garmin.com/activities"/>
    <hyperlink ref="B1" r:id="rId2" display="http://connect.garmin.com/activities"/>
    <hyperlink ref="C1" r:id="rId3" tooltip="(GMT+01:00) Central European Time" display="http://connect.garmin.com/activities"/>
    <hyperlink ref="D1" r:id="rId4" tooltip="Uren:Minuten:Seconden" display="http://connect.garmin.com/activities"/>
    <hyperlink ref="E1" r:id="rId5" tooltip="Kilometers" display="http://connect.garmin.com/activities"/>
    <hyperlink ref="F1" r:id="rId6" tooltip="Meter" display="http://connect.garmin.com/activities"/>
    <hyperlink ref="G1" r:id="rId7" tooltip="Kilometer per uur" display="http://connect.garmin.com/activities"/>
    <hyperlink ref="H1" r:id="rId8" tooltip="Kilometer per uur" display="http://connect.garmin.com/activities"/>
    <hyperlink ref="I1" r:id="rId9" tooltip="Slagen per minuut" display="http://connect.garmin.com/activities"/>
    <hyperlink ref="J1" r:id="rId10" tooltip="Slagen per minuut" display="http://connect.garmin.com/activities"/>
    <hyperlink ref="K1" r:id="rId11" tooltip="Calorieën" display="http://connect.garmin.com/activities"/>
    <hyperlink ref="L1" r:id="rId12" tooltip="dimensieloos" display="http://connect.garmin.com/activities"/>
    <hyperlink ref="M1" r:id="rId13" tooltip="dimensieloos" display="http://connect.garmin.com/activities"/>
    <hyperlink ref="N1" r:id="rId14" tooltip="dimensieloos" display="http://connect.garmin.com/activities"/>
    <hyperlink ref="O1" r:id="rId15" tooltip="dimensieloos" display="http://connect.garmin.com/activities"/>
    <hyperlink ref="P1" r:id="rId16" tooltip="dimensieloos" display="http://connect.garmin.com/activities"/>
    <hyperlink ref="Q1" r:id="rId17" tooltip="dimensieloos" display="http://connect.garmin.com/activities"/>
    <hyperlink ref="R1" r:id="rId18" tooltip="dimensieloos" display="http://connect.garmin.com/activities"/>
    <hyperlink ref="S1" r:id="rId19" tooltip="dimensieloos" display="http://connect.garmin.com/activities"/>
    <hyperlink ref="C3" r:id="rId20" display="http://connect.garmin.com/activity/152764377"/>
    <hyperlink ref="C4" r:id="rId21" display="http://connect.garmin.com/activity/152764366"/>
    <hyperlink ref="C5" r:id="rId22" display="http://connect.garmin.com/activity/152764365"/>
    <hyperlink ref="C6" r:id="rId23" display="http://connect.garmin.com/activity/152714387"/>
    <hyperlink ref="C7" r:id="rId24" display="http://connect.garmin.com/activity/151485415"/>
    <hyperlink ref="C8" r:id="rId25" display="http://connect.garmin.com/activity/151485393"/>
    <hyperlink ref="C9" r:id="rId26" display="http://connect.garmin.com/activity/151485380"/>
    <hyperlink ref="C10" r:id="rId27" display="http://connect.garmin.com/activity/151485346"/>
    <hyperlink ref="C11" r:id="rId28" display="http://connect.garmin.com/activity/149937846"/>
    <hyperlink ref="C12" r:id="rId29" display="http://connect.garmin.com/activity/149937842"/>
    <hyperlink ref="C13" r:id="rId30" display="http://connect.garmin.com/activity/149937840"/>
    <hyperlink ref="C14" r:id="rId31" display="http://connect.garmin.com/activity/149937837"/>
    <hyperlink ref="C15" r:id="rId32" display="http://connect.garmin.com/activity/149937834"/>
    <hyperlink ref="C16" r:id="rId33" display="http://connect.garmin.com/activity/149937832"/>
    <hyperlink ref="C17" r:id="rId34" display="http://connect.garmin.com/activity/149937818"/>
    <hyperlink ref="C18" r:id="rId35" display="http://connect.garmin.com/activity/149937815"/>
    <hyperlink ref="C19" r:id="rId36" display="http://connect.garmin.com/activity/149937812"/>
    <hyperlink ref="C20" r:id="rId37" display="http://connect.garmin.com/activity/149616135"/>
    <hyperlink ref="C21" r:id="rId38" display="http://connect.garmin.com/activity/149612642"/>
    <hyperlink ref="C22" r:id="rId39" display="http://connect.garmin.com/activity/149605158"/>
  </hyperlinks>
  <pageMargins left="0.7" right="0.7" top="0.75" bottom="0.75" header="0.3" footer="0.3"/>
  <drawing r:id="rId40"/>
  <legacyDrawing r:id="rId41"/>
  <controls>
    <mc:AlternateContent xmlns:mc="http://schemas.openxmlformats.org/markup-compatibility/2006">
      <mc:Choice Requires="x14">
        <control shapeId="26720" r:id="rId42" name="Control 96">
          <controlPr defaultSize="0" r:id="rId43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22</xdr:row>
                <xdr:rowOff>66675</xdr:rowOff>
              </to>
            </anchor>
          </controlPr>
        </control>
      </mc:Choice>
      <mc:Fallback>
        <control shapeId="26720" r:id="rId42" name="Control 96"/>
      </mc:Fallback>
    </mc:AlternateContent>
    <mc:AlternateContent xmlns:mc="http://schemas.openxmlformats.org/markup-compatibility/2006">
      <mc:Choice Requires="x14">
        <control shapeId="26719" r:id="rId44" name="Control 95">
          <controlPr defaultSize="0" r:id="rId43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26719" r:id="rId44" name="Control 95"/>
      </mc:Fallback>
    </mc:AlternateContent>
    <mc:AlternateContent xmlns:mc="http://schemas.openxmlformats.org/markup-compatibility/2006">
      <mc:Choice Requires="x14">
        <control shapeId="26718" r:id="rId45" name="Control 94">
          <controlPr defaultSize="0" r:id="rId43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26718" r:id="rId45" name="Control 94"/>
      </mc:Fallback>
    </mc:AlternateContent>
    <mc:AlternateContent xmlns:mc="http://schemas.openxmlformats.org/markup-compatibility/2006">
      <mc:Choice Requires="x14">
        <control shapeId="26717" r:id="rId46" name="Control 93">
          <controlPr defaultSize="0" r:id="rId43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26717" r:id="rId46" name="Control 93"/>
      </mc:Fallback>
    </mc:AlternateContent>
    <mc:AlternateContent xmlns:mc="http://schemas.openxmlformats.org/markup-compatibility/2006">
      <mc:Choice Requires="x14">
        <control shapeId="26716" r:id="rId47" name="Control 92">
          <controlPr defaultSize="0" r:id="rId43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66675</xdr:rowOff>
              </to>
            </anchor>
          </controlPr>
        </control>
      </mc:Choice>
      <mc:Fallback>
        <control shapeId="26716" r:id="rId47" name="Control 92"/>
      </mc:Fallback>
    </mc:AlternateContent>
    <mc:AlternateContent xmlns:mc="http://schemas.openxmlformats.org/markup-compatibility/2006">
      <mc:Choice Requires="x14">
        <control shapeId="26715" r:id="rId48" name="Control 91">
          <controlPr defaultSize="0" r:id="rId43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26715" r:id="rId48" name="Control 91"/>
      </mc:Fallback>
    </mc:AlternateContent>
    <mc:AlternateContent xmlns:mc="http://schemas.openxmlformats.org/markup-compatibility/2006">
      <mc:Choice Requires="x14">
        <control shapeId="26714" r:id="rId49" name="Control 90">
          <controlPr defaultSize="0" r:id="rId43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26714" r:id="rId49" name="Control 90"/>
      </mc:Fallback>
    </mc:AlternateContent>
    <mc:AlternateContent xmlns:mc="http://schemas.openxmlformats.org/markup-compatibility/2006">
      <mc:Choice Requires="x14">
        <control shapeId="26713" r:id="rId50" name="Control 89">
          <controlPr defaultSize="0" r:id="rId43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26713" r:id="rId50" name="Control 89"/>
      </mc:Fallback>
    </mc:AlternateContent>
    <mc:AlternateContent xmlns:mc="http://schemas.openxmlformats.org/markup-compatibility/2006">
      <mc:Choice Requires="x14">
        <control shapeId="26712" r:id="rId51" name="Control 88">
          <controlPr defaultSize="0" r:id="rId43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26712" r:id="rId51" name="Control 88"/>
      </mc:Fallback>
    </mc:AlternateContent>
    <mc:AlternateContent xmlns:mc="http://schemas.openxmlformats.org/markup-compatibility/2006">
      <mc:Choice Requires="x14">
        <control shapeId="26711" r:id="rId52" name="Control 87">
          <controlPr defaultSize="0" r:id="rId43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26711" r:id="rId52" name="Control 87"/>
      </mc:Fallback>
    </mc:AlternateContent>
    <mc:AlternateContent xmlns:mc="http://schemas.openxmlformats.org/markup-compatibility/2006">
      <mc:Choice Requires="x14">
        <control shapeId="26710" r:id="rId53" name="Control 86">
          <controlPr defaultSize="0" r:id="rId43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26710" r:id="rId53" name="Control 86"/>
      </mc:Fallback>
    </mc:AlternateContent>
    <mc:AlternateContent xmlns:mc="http://schemas.openxmlformats.org/markup-compatibility/2006">
      <mc:Choice Requires="x14">
        <control shapeId="26709" r:id="rId54" name="Control 85">
          <controlPr defaultSize="0" r:id="rId43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26709" r:id="rId54" name="Control 85"/>
      </mc:Fallback>
    </mc:AlternateContent>
    <mc:AlternateContent xmlns:mc="http://schemas.openxmlformats.org/markup-compatibility/2006">
      <mc:Choice Requires="x14">
        <control shapeId="26708" r:id="rId55" name="Control 84">
          <controlPr defaultSize="0" r:id="rId43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26708" r:id="rId55" name="Control 84"/>
      </mc:Fallback>
    </mc:AlternateContent>
    <mc:AlternateContent xmlns:mc="http://schemas.openxmlformats.org/markup-compatibility/2006">
      <mc:Choice Requires="x14">
        <control shapeId="26707" r:id="rId56" name="Control 83">
          <controlPr defaultSize="0" r:id="rId43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26707" r:id="rId56" name="Control 83"/>
      </mc:Fallback>
    </mc:AlternateContent>
    <mc:AlternateContent xmlns:mc="http://schemas.openxmlformats.org/markup-compatibility/2006">
      <mc:Choice Requires="x14">
        <control shapeId="26706" r:id="rId57" name="Control 82">
          <controlPr defaultSize="0" r:id="rId43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26706" r:id="rId57" name="Control 82"/>
      </mc:Fallback>
    </mc:AlternateContent>
    <mc:AlternateContent xmlns:mc="http://schemas.openxmlformats.org/markup-compatibility/2006">
      <mc:Choice Requires="x14">
        <control shapeId="26705" r:id="rId58" name="Control 81">
          <controlPr defaultSize="0" r:id="rId43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26705" r:id="rId58" name="Control 81"/>
      </mc:Fallback>
    </mc:AlternateContent>
    <mc:AlternateContent xmlns:mc="http://schemas.openxmlformats.org/markup-compatibility/2006">
      <mc:Choice Requires="x14">
        <control shapeId="26704" r:id="rId59" name="Control 80">
          <controlPr defaultSize="0" r:id="rId43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26704" r:id="rId59" name="Control 80"/>
      </mc:Fallback>
    </mc:AlternateContent>
    <mc:AlternateContent xmlns:mc="http://schemas.openxmlformats.org/markup-compatibility/2006">
      <mc:Choice Requires="x14">
        <control shapeId="26703" r:id="rId60" name="Control 79">
          <controlPr defaultSize="0" r:id="rId43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26703" r:id="rId60" name="Control 79"/>
      </mc:Fallback>
    </mc:AlternateContent>
    <mc:AlternateContent xmlns:mc="http://schemas.openxmlformats.org/markup-compatibility/2006">
      <mc:Choice Requires="x14">
        <control shapeId="26702" r:id="rId61" name="Control 78">
          <controlPr defaultSize="0" r:id="rId4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66675</xdr:rowOff>
              </to>
            </anchor>
          </controlPr>
        </control>
      </mc:Choice>
      <mc:Fallback>
        <control shapeId="26702" r:id="rId61" name="Control 78"/>
      </mc:Fallback>
    </mc:AlternateContent>
    <mc:AlternateContent xmlns:mc="http://schemas.openxmlformats.org/markup-compatibility/2006">
      <mc:Choice Requires="x14">
        <control shapeId="26701" r:id="rId62" name="Control 77">
          <controlPr defaultSize="0" r:id="rId4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66675</xdr:rowOff>
              </to>
            </anchor>
          </controlPr>
        </control>
      </mc:Choice>
      <mc:Fallback>
        <control shapeId="26701" r:id="rId62" name="Control 77"/>
      </mc:Fallback>
    </mc:AlternateContent>
    <mc:AlternateContent xmlns:mc="http://schemas.openxmlformats.org/markup-compatibility/2006">
      <mc:Choice Requires="x14">
        <control shapeId="26681" r:id="rId63" name="Control 57">
          <controlPr defaultSize="0" r:id="rId43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44</xdr:row>
                <xdr:rowOff>66675</xdr:rowOff>
              </to>
            </anchor>
          </controlPr>
        </control>
      </mc:Choice>
      <mc:Fallback>
        <control shapeId="26681" r:id="rId63" name="Control 57"/>
      </mc:Fallback>
    </mc:AlternateContent>
    <mc:AlternateContent xmlns:mc="http://schemas.openxmlformats.org/markup-compatibility/2006">
      <mc:Choice Requires="x14">
        <control shapeId="26680" r:id="rId64" name="Control 56">
          <controlPr defaultSize="0" r:id="rId43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43</xdr:row>
                <xdr:rowOff>66675</xdr:rowOff>
              </to>
            </anchor>
          </controlPr>
        </control>
      </mc:Choice>
      <mc:Fallback>
        <control shapeId="26680" r:id="rId64" name="Control 56"/>
      </mc:Fallback>
    </mc:AlternateContent>
    <mc:AlternateContent xmlns:mc="http://schemas.openxmlformats.org/markup-compatibility/2006">
      <mc:Choice Requires="x14">
        <control shapeId="26679" r:id="rId65" name="Control 55">
          <controlPr defaultSize="0" r:id="rId43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42</xdr:row>
                <xdr:rowOff>66675</xdr:rowOff>
              </to>
            </anchor>
          </controlPr>
        </control>
      </mc:Choice>
      <mc:Fallback>
        <control shapeId="26679" r:id="rId65" name="Control 55"/>
      </mc:Fallback>
    </mc:AlternateContent>
    <mc:AlternateContent xmlns:mc="http://schemas.openxmlformats.org/markup-compatibility/2006">
      <mc:Choice Requires="x14">
        <control shapeId="26678" r:id="rId66" name="Control 54">
          <controlPr defaultSize="0" r:id="rId43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66675</xdr:rowOff>
              </to>
            </anchor>
          </controlPr>
        </control>
      </mc:Choice>
      <mc:Fallback>
        <control shapeId="26678" r:id="rId66" name="Control 54"/>
      </mc:Fallback>
    </mc:AlternateContent>
    <mc:AlternateContent xmlns:mc="http://schemas.openxmlformats.org/markup-compatibility/2006">
      <mc:Choice Requires="x14">
        <control shapeId="26677" r:id="rId67" name="Control 53">
          <controlPr defaultSize="0" r:id="rId43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66675</xdr:rowOff>
              </to>
            </anchor>
          </controlPr>
        </control>
      </mc:Choice>
      <mc:Fallback>
        <control shapeId="26677" r:id="rId67" name="Control 53"/>
      </mc:Fallback>
    </mc:AlternateContent>
    <mc:AlternateContent xmlns:mc="http://schemas.openxmlformats.org/markup-compatibility/2006">
      <mc:Choice Requires="x14">
        <control shapeId="26676" r:id="rId68" name="Control 52">
          <controlPr defaultSize="0" r:id="rId43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66675</xdr:rowOff>
              </to>
            </anchor>
          </controlPr>
        </control>
      </mc:Choice>
      <mc:Fallback>
        <control shapeId="26676" r:id="rId68" name="Control 52"/>
      </mc:Fallback>
    </mc:AlternateContent>
    <mc:AlternateContent xmlns:mc="http://schemas.openxmlformats.org/markup-compatibility/2006">
      <mc:Choice Requires="x14">
        <control shapeId="26675" r:id="rId69" name="Control 51">
          <controlPr defaultSize="0" r:id="rId43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66675</xdr:rowOff>
              </to>
            </anchor>
          </controlPr>
        </control>
      </mc:Choice>
      <mc:Fallback>
        <control shapeId="26675" r:id="rId69" name="Control 51"/>
      </mc:Fallback>
    </mc:AlternateContent>
    <mc:AlternateContent xmlns:mc="http://schemas.openxmlformats.org/markup-compatibility/2006">
      <mc:Choice Requires="x14">
        <control shapeId="26674" r:id="rId70" name="Control 50">
          <controlPr defaultSize="0" r:id="rId43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26674" r:id="rId70" name="Control 50"/>
      </mc:Fallback>
    </mc:AlternateContent>
    <mc:AlternateContent xmlns:mc="http://schemas.openxmlformats.org/markup-compatibility/2006">
      <mc:Choice Requires="x14">
        <control shapeId="26673" r:id="rId71" name="Control 49">
          <controlPr defaultSize="0" r:id="rId43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66675</xdr:rowOff>
              </to>
            </anchor>
          </controlPr>
        </control>
      </mc:Choice>
      <mc:Fallback>
        <control shapeId="26673" r:id="rId71" name="Control 49"/>
      </mc:Fallback>
    </mc:AlternateContent>
    <mc:AlternateContent xmlns:mc="http://schemas.openxmlformats.org/markup-compatibility/2006">
      <mc:Choice Requires="x14">
        <control shapeId="26672" r:id="rId72" name="Control 48">
          <controlPr defaultSize="0" r:id="rId43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66675</xdr:rowOff>
              </to>
            </anchor>
          </controlPr>
        </control>
      </mc:Choice>
      <mc:Fallback>
        <control shapeId="26672" r:id="rId72" name="Control 48"/>
      </mc:Fallback>
    </mc:AlternateContent>
    <mc:AlternateContent xmlns:mc="http://schemas.openxmlformats.org/markup-compatibility/2006">
      <mc:Choice Requires="x14">
        <control shapeId="26671" r:id="rId73" name="Control 47">
          <controlPr defaultSize="0" r:id="rId43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66675</xdr:rowOff>
              </to>
            </anchor>
          </controlPr>
        </control>
      </mc:Choice>
      <mc:Fallback>
        <control shapeId="26671" r:id="rId73" name="Control 47"/>
      </mc:Fallback>
    </mc:AlternateContent>
    <mc:AlternateContent xmlns:mc="http://schemas.openxmlformats.org/markup-compatibility/2006">
      <mc:Choice Requires="x14">
        <control shapeId="26670" r:id="rId74" name="Control 46">
          <controlPr defaultSize="0" r:id="rId43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26670" r:id="rId74" name="Control 46"/>
      </mc:Fallback>
    </mc:AlternateContent>
    <mc:AlternateContent xmlns:mc="http://schemas.openxmlformats.org/markup-compatibility/2006">
      <mc:Choice Requires="x14">
        <control shapeId="26669" r:id="rId75" name="Control 45">
          <controlPr defaultSize="0" r:id="rId43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66675</xdr:rowOff>
              </to>
            </anchor>
          </controlPr>
        </control>
      </mc:Choice>
      <mc:Fallback>
        <control shapeId="26669" r:id="rId75" name="Control 45"/>
      </mc:Fallback>
    </mc:AlternateContent>
    <mc:AlternateContent xmlns:mc="http://schemas.openxmlformats.org/markup-compatibility/2006">
      <mc:Choice Requires="x14">
        <control shapeId="26668" r:id="rId76" name="Control 44">
          <controlPr defaultSize="0" r:id="rId43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66675</xdr:rowOff>
              </to>
            </anchor>
          </controlPr>
        </control>
      </mc:Choice>
      <mc:Fallback>
        <control shapeId="26668" r:id="rId76" name="Control 44"/>
      </mc:Fallback>
    </mc:AlternateContent>
    <mc:AlternateContent xmlns:mc="http://schemas.openxmlformats.org/markup-compatibility/2006">
      <mc:Choice Requires="x14">
        <control shapeId="26667" r:id="rId77" name="Control 43">
          <controlPr defaultSize="0" r:id="rId43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66675</xdr:rowOff>
              </to>
            </anchor>
          </controlPr>
        </control>
      </mc:Choice>
      <mc:Fallback>
        <control shapeId="26667" r:id="rId77" name="Control 43"/>
      </mc:Fallback>
    </mc:AlternateContent>
    <mc:AlternateContent xmlns:mc="http://schemas.openxmlformats.org/markup-compatibility/2006">
      <mc:Choice Requires="x14">
        <control shapeId="26666" r:id="rId78" name="Control 42">
          <controlPr defaultSize="0" r:id="rId43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66675</xdr:rowOff>
              </to>
            </anchor>
          </controlPr>
        </control>
      </mc:Choice>
      <mc:Fallback>
        <control shapeId="26666" r:id="rId78" name="Control 42"/>
      </mc:Fallback>
    </mc:AlternateContent>
    <mc:AlternateContent xmlns:mc="http://schemas.openxmlformats.org/markup-compatibility/2006">
      <mc:Choice Requires="x14">
        <control shapeId="26665" r:id="rId79" name="Control 41">
          <controlPr defaultSize="0" r:id="rId43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66675</xdr:rowOff>
              </to>
            </anchor>
          </controlPr>
        </control>
      </mc:Choice>
      <mc:Fallback>
        <control shapeId="26665" r:id="rId79" name="Control 41"/>
      </mc:Fallback>
    </mc:AlternateContent>
    <mc:AlternateContent xmlns:mc="http://schemas.openxmlformats.org/markup-compatibility/2006">
      <mc:Choice Requires="x14">
        <control shapeId="26664" r:id="rId80" name="Control 40">
          <controlPr defaultSize="0" r:id="rId43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26664" r:id="rId80" name="Control 40"/>
      </mc:Fallback>
    </mc:AlternateContent>
    <mc:AlternateContent xmlns:mc="http://schemas.openxmlformats.org/markup-compatibility/2006">
      <mc:Choice Requires="x14">
        <control shapeId="26663" r:id="rId81" name="Control 39">
          <controlPr defaultSize="0" r:id="rId43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26663" r:id="rId81" name="Control 39"/>
      </mc:Fallback>
    </mc:AlternateContent>
    <mc:AlternateContent xmlns:mc="http://schemas.openxmlformats.org/markup-compatibility/2006">
      <mc:Choice Requires="x14">
        <control shapeId="26662" r:id="rId82" name="Control 38">
          <controlPr defaultSize="0" r:id="rId43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43</xdr:row>
                <xdr:rowOff>66675</xdr:rowOff>
              </to>
            </anchor>
          </controlPr>
        </control>
      </mc:Choice>
      <mc:Fallback>
        <control shapeId="26662" r:id="rId82" name="Control 38"/>
      </mc:Fallback>
    </mc:AlternateContent>
    <mc:AlternateContent xmlns:mc="http://schemas.openxmlformats.org/markup-compatibility/2006">
      <mc:Choice Requires="x14">
        <control shapeId="26661" r:id="rId83" name="Control 37">
          <controlPr defaultSize="0" r:id="rId43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42</xdr:row>
                <xdr:rowOff>66675</xdr:rowOff>
              </to>
            </anchor>
          </controlPr>
        </control>
      </mc:Choice>
      <mc:Fallback>
        <control shapeId="26661" r:id="rId83" name="Control 37"/>
      </mc:Fallback>
    </mc:AlternateContent>
    <mc:AlternateContent xmlns:mc="http://schemas.openxmlformats.org/markup-compatibility/2006">
      <mc:Choice Requires="x14">
        <control shapeId="26660" r:id="rId84" name="Control 36">
          <controlPr defaultSize="0" r:id="rId43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66675</xdr:rowOff>
              </to>
            </anchor>
          </controlPr>
        </control>
      </mc:Choice>
      <mc:Fallback>
        <control shapeId="26660" r:id="rId84" name="Control 36"/>
      </mc:Fallback>
    </mc:AlternateContent>
    <mc:AlternateContent xmlns:mc="http://schemas.openxmlformats.org/markup-compatibility/2006">
      <mc:Choice Requires="x14">
        <control shapeId="26659" r:id="rId85" name="Control 35">
          <controlPr defaultSize="0" r:id="rId43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66675</xdr:rowOff>
              </to>
            </anchor>
          </controlPr>
        </control>
      </mc:Choice>
      <mc:Fallback>
        <control shapeId="26659" r:id="rId85" name="Control 35"/>
      </mc:Fallback>
    </mc:AlternateContent>
    <mc:AlternateContent xmlns:mc="http://schemas.openxmlformats.org/markup-compatibility/2006">
      <mc:Choice Requires="x14">
        <control shapeId="26658" r:id="rId86" name="Control 34">
          <controlPr defaultSize="0" r:id="rId43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66675</xdr:rowOff>
              </to>
            </anchor>
          </controlPr>
        </control>
      </mc:Choice>
      <mc:Fallback>
        <control shapeId="26658" r:id="rId86" name="Control 34"/>
      </mc:Fallback>
    </mc:AlternateContent>
    <mc:AlternateContent xmlns:mc="http://schemas.openxmlformats.org/markup-compatibility/2006">
      <mc:Choice Requires="x14">
        <control shapeId="26657" r:id="rId87" name="Control 33">
          <controlPr defaultSize="0" r:id="rId43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66675</xdr:rowOff>
              </to>
            </anchor>
          </controlPr>
        </control>
      </mc:Choice>
      <mc:Fallback>
        <control shapeId="26657" r:id="rId87" name="Control 33"/>
      </mc:Fallback>
    </mc:AlternateContent>
    <mc:AlternateContent xmlns:mc="http://schemas.openxmlformats.org/markup-compatibility/2006">
      <mc:Choice Requires="x14">
        <control shapeId="26656" r:id="rId88" name="Control 32">
          <controlPr defaultSize="0" r:id="rId43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26656" r:id="rId88" name="Control 32"/>
      </mc:Fallback>
    </mc:AlternateContent>
    <mc:AlternateContent xmlns:mc="http://schemas.openxmlformats.org/markup-compatibility/2006">
      <mc:Choice Requires="x14">
        <control shapeId="26655" r:id="rId89" name="Control 31">
          <controlPr defaultSize="0" r:id="rId43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66675</xdr:rowOff>
              </to>
            </anchor>
          </controlPr>
        </control>
      </mc:Choice>
      <mc:Fallback>
        <control shapeId="26655" r:id="rId89" name="Control 31"/>
      </mc:Fallback>
    </mc:AlternateContent>
    <mc:AlternateContent xmlns:mc="http://schemas.openxmlformats.org/markup-compatibility/2006">
      <mc:Choice Requires="x14">
        <control shapeId="26654" r:id="rId90" name="Control 30">
          <controlPr defaultSize="0" r:id="rId43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66675</xdr:rowOff>
              </to>
            </anchor>
          </controlPr>
        </control>
      </mc:Choice>
      <mc:Fallback>
        <control shapeId="26654" r:id="rId90" name="Control 30"/>
      </mc:Fallback>
    </mc:AlternateContent>
    <mc:AlternateContent xmlns:mc="http://schemas.openxmlformats.org/markup-compatibility/2006">
      <mc:Choice Requires="x14">
        <control shapeId="26653" r:id="rId91" name="Control 29">
          <controlPr defaultSize="0" r:id="rId43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66675</xdr:rowOff>
              </to>
            </anchor>
          </controlPr>
        </control>
      </mc:Choice>
      <mc:Fallback>
        <control shapeId="26653" r:id="rId91" name="Control 29"/>
      </mc:Fallback>
    </mc:AlternateContent>
    <mc:AlternateContent xmlns:mc="http://schemas.openxmlformats.org/markup-compatibility/2006">
      <mc:Choice Requires="x14">
        <control shapeId="26652" r:id="rId92" name="Control 28">
          <controlPr defaultSize="0" r:id="rId43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26652" r:id="rId92" name="Control 28"/>
      </mc:Fallback>
    </mc:AlternateContent>
    <mc:AlternateContent xmlns:mc="http://schemas.openxmlformats.org/markup-compatibility/2006">
      <mc:Choice Requires="x14">
        <control shapeId="26651" r:id="rId93" name="Control 27">
          <controlPr defaultSize="0" r:id="rId43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66675</xdr:rowOff>
              </to>
            </anchor>
          </controlPr>
        </control>
      </mc:Choice>
      <mc:Fallback>
        <control shapeId="26651" r:id="rId93" name="Control 27"/>
      </mc:Fallback>
    </mc:AlternateContent>
    <mc:AlternateContent xmlns:mc="http://schemas.openxmlformats.org/markup-compatibility/2006">
      <mc:Choice Requires="x14">
        <control shapeId="26650" r:id="rId94" name="Control 26">
          <controlPr defaultSize="0" r:id="rId43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66675</xdr:rowOff>
              </to>
            </anchor>
          </controlPr>
        </control>
      </mc:Choice>
      <mc:Fallback>
        <control shapeId="26650" r:id="rId94" name="Control 26"/>
      </mc:Fallback>
    </mc:AlternateContent>
    <mc:AlternateContent xmlns:mc="http://schemas.openxmlformats.org/markup-compatibility/2006">
      <mc:Choice Requires="x14">
        <control shapeId="26649" r:id="rId95" name="Control 25">
          <controlPr defaultSize="0" r:id="rId43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66675</xdr:rowOff>
              </to>
            </anchor>
          </controlPr>
        </control>
      </mc:Choice>
      <mc:Fallback>
        <control shapeId="26649" r:id="rId95" name="Control 25"/>
      </mc:Fallback>
    </mc:AlternateContent>
    <mc:AlternateContent xmlns:mc="http://schemas.openxmlformats.org/markup-compatibility/2006">
      <mc:Choice Requires="x14">
        <control shapeId="26648" r:id="rId96" name="Control 24">
          <controlPr defaultSize="0" r:id="rId43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66675</xdr:rowOff>
              </to>
            </anchor>
          </controlPr>
        </control>
      </mc:Choice>
      <mc:Fallback>
        <control shapeId="26648" r:id="rId96" name="Control 24"/>
      </mc:Fallback>
    </mc:AlternateContent>
    <mc:AlternateContent xmlns:mc="http://schemas.openxmlformats.org/markup-compatibility/2006">
      <mc:Choice Requires="x14">
        <control shapeId="26647" r:id="rId97" name="Control 23">
          <controlPr defaultSize="0" r:id="rId43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66675</xdr:rowOff>
              </to>
            </anchor>
          </controlPr>
        </control>
      </mc:Choice>
      <mc:Fallback>
        <control shapeId="26647" r:id="rId97" name="Control 23"/>
      </mc:Fallback>
    </mc:AlternateContent>
    <mc:AlternateContent xmlns:mc="http://schemas.openxmlformats.org/markup-compatibility/2006">
      <mc:Choice Requires="x14">
        <control shapeId="26646" r:id="rId98" name="Control 22">
          <controlPr defaultSize="0" r:id="rId43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26646" r:id="rId98" name="Control 22"/>
      </mc:Fallback>
    </mc:AlternateContent>
    <mc:AlternateContent xmlns:mc="http://schemas.openxmlformats.org/markup-compatibility/2006">
      <mc:Choice Requires="x14">
        <control shapeId="26645" r:id="rId99" name="Control 21">
          <controlPr defaultSize="0" r:id="rId43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26645" r:id="rId99" name="Control 21"/>
      </mc:Fallback>
    </mc:AlternateContent>
    <mc:AlternateContent xmlns:mc="http://schemas.openxmlformats.org/markup-compatibility/2006">
      <mc:Choice Requires="x14">
        <control shapeId="26644" r:id="rId100" name="Control 20">
          <controlPr defaultSize="0" r:id="rId101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26644" r:id="rId100" name="Control 20"/>
      </mc:Fallback>
    </mc:AlternateContent>
    <mc:AlternateContent xmlns:mc="http://schemas.openxmlformats.org/markup-compatibility/2006">
      <mc:Choice Requires="x14">
        <control shapeId="26643" r:id="rId102" name="Control 19">
          <controlPr defaultSize="0" r:id="rId43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26643" r:id="rId102" name="Control 19"/>
      </mc:Fallback>
    </mc:AlternateContent>
    <mc:AlternateContent xmlns:mc="http://schemas.openxmlformats.org/markup-compatibility/2006">
      <mc:Choice Requires="x14">
        <control shapeId="26642" r:id="rId103" name="Control 18">
          <controlPr defaultSize="0" r:id="rId43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26642" r:id="rId103" name="Control 18"/>
      </mc:Fallback>
    </mc:AlternateContent>
    <mc:AlternateContent xmlns:mc="http://schemas.openxmlformats.org/markup-compatibility/2006">
      <mc:Choice Requires="x14">
        <control shapeId="26641" r:id="rId104" name="Control 17">
          <controlPr defaultSize="0" r:id="rId43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26641" r:id="rId104" name="Control 17"/>
      </mc:Fallback>
    </mc:AlternateContent>
    <mc:AlternateContent xmlns:mc="http://schemas.openxmlformats.org/markup-compatibility/2006">
      <mc:Choice Requires="x14">
        <control shapeId="26640" r:id="rId105" name="Control 16">
          <controlPr defaultSize="0" r:id="rId43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66675</xdr:rowOff>
              </to>
            </anchor>
          </controlPr>
        </control>
      </mc:Choice>
      <mc:Fallback>
        <control shapeId="26640" r:id="rId105" name="Control 16"/>
      </mc:Fallback>
    </mc:AlternateContent>
    <mc:AlternateContent xmlns:mc="http://schemas.openxmlformats.org/markup-compatibility/2006">
      <mc:Choice Requires="x14">
        <control shapeId="26639" r:id="rId106" name="Control 15">
          <controlPr defaultSize="0" r:id="rId43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26639" r:id="rId106" name="Control 15"/>
      </mc:Fallback>
    </mc:AlternateContent>
    <mc:AlternateContent xmlns:mc="http://schemas.openxmlformats.org/markup-compatibility/2006">
      <mc:Choice Requires="x14">
        <control shapeId="26638" r:id="rId107" name="Control 14">
          <controlPr defaultSize="0" r:id="rId43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26638" r:id="rId107" name="Control 14"/>
      </mc:Fallback>
    </mc:AlternateContent>
    <mc:AlternateContent xmlns:mc="http://schemas.openxmlformats.org/markup-compatibility/2006">
      <mc:Choice Requires="x14">
        <control shapeId="26637" r:id="rId108" name="Control 13">
          <controlPr defaultSize="0" r:id="rId43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26637" r:id="rId108" name="Control 13"/>
      </mc:Fallback>
    </mc:AlternateContent>
    <mc:AlternateContent xmlns:mc="http://schemas.openxmlformats.org/markup-compatibility/2006">
      <mc:Choice Requires="x14">
        <control shapeId="26636" r:id="rId109" name="Control 12">
          <controlPr defaultSize="0" r:id="rId43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26636" r:id="rId109" name="Control 12"/>
      </mc:Fallback>
    </mc:AlternateContent>
    <mc:AlternateContent xmlns:mc="http://schemas.openxmlformats.org/markup-compatibility/2006">
      <mc:Choice Requires="x14">
        <control shapeId="26635" r:id="rId110" name="Control 11">
          <controlPr defaultSize="0" r:id="rId43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26635" r:id="rId110" name="Control 11"/>
      </mc:Fallback>
    </mc:AlternateContent>
    <mc:AlternateContent xmlns:mc="http://schemas.openxmlformats.org/markup-compatibility/2006">
      <mc:Choice Requires="x14">
        <control shapeId="26634" r:id="rId111" name="Control 10">
          <controlPr defaultSize="0" r:id="rId43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26634" r:id="rId111" name="Control 10"/>
      </mc:Fallback>
    </mc:AlternateContent>
    <mc:AlternateContent xmlns:mc="http://schemas.openxmlformats.org/markup-compatibility/2006">
      <mc:Choice Requires="x14">
        <control shapeId="26633" r:id="rId112" name="Control 9">
          <controlPr defaultSize="0" r:id="rId43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26633" r:id="rId112" name="Control 9"/>
      </mc:Fallback>
    </mc:AlternateContent>
    <mc:AlternateContent xmlns:mc="http://schemas.openxmlformats.org/markup-compatibility/2006">
      <mc:Choice Requires="x14">
        <control shapeId="26632" r:id="rId113" name="Control 8">
          <controlPr defaultSize="0" r:id="rId43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26632" r:id="rId113" name="Control 8"/>
      </mc:Fallback>
    </mc:AlternateContent>
    <mc:AlternateContent xmlns:mc="http://schemas.openxmlformats.org/markup-compatibility/2006">
      <mc:Choice Requires="x14">
        <control shapeId="26631" r:id="rId114" name="Control 7">
          <controlPr defaultSize="0" r:id="rId43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26631" r:id="rId114" name="Control 7"/>
      </mc:Fallback>
    </mc:AlternateContent>
    <mc:AlternateContent xmlns:mc="http://schemas.openxmlformats.org/markup-compatibility/2006">
      <mc:Choice Requires="x14">
        <control shapeId="26630" r:id="rId115" name="Control 6">
          <controlPr defaultSize="0" r:id="rId43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26630" r:id="rId115" name="Control 6"/>
      </mc:Fallback>
    </mc:AlternateContent>
    <mc:AlternateContent xmlns:mc="http://schemas.openxmlformats.org/markup-compatibility/2006">
      <mc:Choice Requires="x14">
        <control shapeId="26629" r:id="rId116" name="Control 5">
          <controlPr defaultSize="0" r:id="rId43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26629" r:id="rId116" name="Control 5"/>
      </mc:Fallback>
    </mc:AlternateContent>
    <mc:AlternateContent xmlns:mc="http://schemas.openxmlformats.org/markup-compatibility/2006">
      <mc:Choice Requires="x14">
        <control shapeId="26628" r:id="rId117" name="Control 4">
          <controlPr defaultSize="0" r:id="rId43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26628" r:id="rId117" name="Control 4"/>
      </mc:Fallback>
    </mc:AlternateContent>
    <mc:AlternateContent xmlns:mc="http://schemas.openxmlformats.org/markup-compatibility/2006">
      <mc:Choice Requires="x14">
        <control shapeId="26627" r:id="rId118" name="Control 3">
          <controlPr defaultSize="0" r:id="rId43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26627" r:id="rId118" name="Control 3"/>
      </mc:Fallback>
    </mc:AlternateContent>
    <mc:AlternateContent xmlns:mc="http://schemas.openxmlformats.org/markup-compatibility/2006">
      <mc:Choice Requires="x14">
        <control shapeId="26626" r:id="rId119" name="Control 2">
          <controlPr defaultSize="0" r:id="rId4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66675</xdr:rowOff>
              </to>
            </anchor>
          </controlPr>
        </control>
      </mc:Choice>
      <mc:Fallback>
        <control shapeId="26626" r:id="rId119" name="Control 2"/>
      </mc:Fallback>
    </mc:AlternateContent>
    <mc:AlternateContent xmlns:mc="http://schemas.openxmlformats.org/markup-compatibility/2006">
      <mc:Choice Requires="x14">
        <control shapeId="26625" r:id="rId120" name="Control 1">
          <controlPr defaultSize="0" r:id="rId4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66675</xdr:rowOff>
              </to>
            </anchor>
          </controlPr>
        </control>
      </mc:Choice>
      <mc:Fallback>
        <control shapeId="26625" r:id="rId120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935"/>
  <sheetViews>
    <sheetView zoomScale="91" workbookViewId="0">
      <pane ySplit="1" topLeftCell="A783" activePane="bottomLeft" state="frozen"/>
      <selection pane="bottomLeft" activeCell="J935" sqref="J935"/>
    </sheetView>
  </sheetViews>
  <sheetFormatPr defaultRowHeight="12.75"/>
  <cols>
    <col min="1" max="1" width="15.42578125" style="68" bestFit="1" customWidth="1"/>
    <col min="2" max="2" width="9.140625" style="12"/>
    <col min="3" max="3" width="9.7109375" style="37" customWidth="1"/>
    <col min="4" max="4" width="12.140625" style="32" bestFit="1" customWidth="1"/>
    <col min="5" max="5" width="9.140625" style="35"/>
    <col min="8" max="8" width="14.42578125" bestFit="1" customWidth="1"/>
    <col min="10" max="10" width="9.140625" style="36"/>
    <col min="14" max="14" width="13.42578125" bestFit="1" customWidth="1"/>
  </cols>
  <sheetData>
    <row r="1" spans="1:10" s="4" customFormat="1">
      <c r="A1" s="7" t="s">
        <v>68</v>
      </c>
      <c r="B1" s="12" t="s">
        <v>72</v>
      </c>
      <c r="C1" s="7" t="s">
        <v>69</v>
      </c>
      <c r="D1" s="7" t="s">
        <v>71</v>
      </c>
      <c r="E1" s="50" t="s">
        <v>77</v>
      </c>
      <c r="F1" s="50" t="s">
        <v>79</v>
      </c>
      <c r="J1" s="36"/>
    </row>
    <row r="2" spans="1:10" s="4" customFormat="1">
      <c r="A2" s="68"/>
      <c r="B2" s="12"/>
      <c r="C2" s="37"/>
      <c r="D2" s="38"/>
      <c r="E2" s="51"/>
      <c r="J2" s="36"/>
    </row>
    <row r="3" spans="1:10">
      <c r="A3" s="68">
        <v>36926.76871527778</v>
      </c>
      <c r="B3" s="12">
        <v>1</v>
      </c>
      <c r="C3" s="37">
        <v>2.9050925925925928E-3</v>
      </c>
      <c r="D3" s="8">
        <v>165</v>
      </c>
      <c r="E3" s="51">
        <f>(B3-0)/((C3-0)*24)</f>
        <v>14.342629482071713</v>
      </c>
      <c r="F3" s="36">
        <f t="shared" ref="F3:F66" si="0">1/(E3*24)</f>
        <v>2.9050925925925928E-3</v>
      </c>
    </row>
    <row r="4" spans="1:10">
      <c r="A4" s="68">
        <v>36926.76871527778</v>
      </c>
      <c r="B4" s="12">
        <v>2</v>
      </c>
      <c r="C4" s="37">
        <v>5.8101851851851856E-3</v>
      </c>
      <c r="D4" s="8">
        <v>180</v>
      </c>
      <c r="E4" s="51">
        <f t="shared" ref="E4:E55" si="1">(B4-B3)/((C4-C3)*24)</f>
        <v>14.342629482071713</v>
      </c>
      <c r="F4" s="36">
        <f t="shared" si="0"/>
        <v>2.9050925925925928E-3</v>
      </c>
    </row>
    <row r="5" spans="1:10">
      <c r="A5" s="68">
        <v>36926.76871527778</v>
      </c>
      <c r="B5" s="12">
        <v>3</v>
      </c>
      <c r="C5" s="37">
        <v>8.8541666666666664E-3</v>
      </c>
      <c r="D5" s="8">
        <v>183</v>
      </c>
      <c r="E5" s="51">
        <f t="shared" si="1"/>
        <v>13.688212927756657</v>
      </c>
      <c r="F5" s="36">
        <f t="shared" si="0"/>
        <v>3.0439814814814808E-3</v>
      </c>
    </row>
    <row r="6" spans="1:10">
      <c r="A6" s="68">
        <v>36926.76871527778</v>
      </c>
      <c r="B6" s="12">
        <v>4</v>
      </c>
      <c r="C6" s="37">
        <v>1.1944444444444445E-2</v>
      </c>
      <c r="D6" s="8">
        <v>184</v>
      </c>
      <c r="E6" s="51">
        <f t="shared" si="1"/>
        <v>13.483146067415726</v>
      </c>
      <c r="F6" s="36">
        <f t="shared" si="0"/>
        <v>3.0902777777777786E-3</v>
      </c>
    </row>
    <row r="7" spans="1:10">
      <c r="A7" s="68">
        <v>36926.76871527778</v>
      </c>
      <c r="B7" s="12">
        <v>5</v>
      </c>
      <c r="C7" s="37">
        <v>1.5081018518518518E-2</v>
      </c>
      <c r="D7" s="8">
        <v>187</v>
      </c>
      <c r="E7" s="51">
        <f t="shared" si="1"/>
        <v>13.284132841328418</v>
      </c>
      <c r="F7" s="36">
        <f t="shared" si="0"/>
        <v>3.1365740740740724E-3</v>
      </c>
    </row>
    <row r="8" spans="1:10">
      <c r="A8" s="68">
        <v>36926.76871527778</v>
      </c>
      <c r="B8" s="12">
        <v>6</v>
      </c>
      <c r="C8" s="37">
        <v>1.8078703703703704E-2</v>
      </c>
      <c r="D8" s="8">
        <v>190</v>
      </c>
      <c r="E8" s="51">
        <f t="shared" si="1"/>
        <v>13.899613899613893</v>
      </c>
      <c r="F8" s="36">
        <f t="shared" si="0"/>
        <v>2.997685185185187E-3</v>
      </c>
    </row>
    <row r="9" spans="1:10">
      <c r="A9" s="68">
        <v>36929.879861111112</v>
      </c>
      <c r="B9" s="12">
        <v>1</v>
      </c>
      <c r="C9" s="37">
        <v>3.0555555555555557E-3</v>
      </c>
      <c r="D9" s="8">
        <v>154</v>
      </c>
      <c r="E9" s="51">
        <f t="shared" si="1"/>
        <v>13.86748844375963</v>
      </c>
      <c r="F9" s="36">
        <f t="shared" si="0"/>
        <v>3.0046296296296297E-3</v>
      </c>
    </row>
    <row r="10" spans="1:10">
      <c r="A10" s="68">
        <v>36929.879861111112</v>
      </c>
      <c r="B10" s="12">
        <v>2</v>
      </c>
      <c r="C10" s="37">
        <v>5.8796296296296296E-3</v>
      </c>
      <c r="D10" s="8">
        <v>176</v>
      </c>
      <c r="E10" s="51">
        <f t="shared" si="1"/>
        <v>14.754098360655739</v>
      </c>
      <c r="F10" s="36">
        <f t="shared" si="0"/>
        <v>2.8240740740740739E-3</v>
      </c>
    </row>
    <row r="11" spans="1:10">
      <c r="A11" s="68">
        <v>36929.879861111112</v>
      </c>
      <c r="B11" s="12">
        <v>3</v>
      </c>
      <c r="C11" s="37">
        <v>8.8541666666666664E-3</v>
      </c>
      <c r="D11" s="8">
        <v>182</v>
      </c>
      <c r="E11" s="51">
        <f t="shared" si="1"/>
        <v>14.007782101167315</v>
      </c>
      <c r="F11" s="36">
        <f t="shared" si="0"/>
        <v>2.9745370370370373E-3</v>
      </c>
    </row>
    <row r="12" spans="1:10">
      <c r="A12" s="68">
        <v>36929.879861111112</v>
      </c>
      <c r="B12" s="12">
        <v>4</v>
      </c>
      <c r="C12" s="37">
        <v>1.1793981481481482E-2</v>
      </c>
      <c r="D12" s="8">
        <v>184</v>
      </c>
      <c r="E12" s="51">
        <f t="shared" si="1"/>
        <v>14.173228346456691</v>
      </c>
      <c r="F12" s="36">
        <f t="shared" si="0"/>
        <v>2.9398148148148152E-3</v>
      </c>
    </row>
    <row r="13" spans="1:10">
      <c r="A13" s="68">
        <v>36929.879861111112</v>
      </c>
      <c r="B13" s="12">
        <v>5</v>
      </c>
      <c r="C13" s="37">
        <v>1.4733796296296297E-2</v>
      </c>
      <c r="D13" s="8">
        <v>188</v>
      </c>
      <c r="E13" s="51">
        <f t="shared" si="1"/>
        <v>14.173228346456691</v>
      </c>
      <c r="F13" s="36">
        <f t="shared" si="0"/>
        <v>2.9398148148148152E-3</v>
      </c>
    </row>
    <row r="14" spans="1:10">
      <c r="A14" s="68">
        <v>36929.879861111112</v>
      </c>
      <c r="B14" s="12">
        <v>6</v>
      </c>
      <c r="C14" s="37">
        <v>1.7534722222222222E-2</v>
      </c>
      <c r="D14" s="8">
        <v>192</v>
      </c>
      <c r="E14" s="51">
        <f t="shared" si="1"/>
        <v>14.876033057851242</v>
      </c>
      <c r="F14" s="36">
        <f t="shared" si="0"/>
        <v>2.8009259259259259E-3</v>
      </c>
    </row>
    <row r="15" spans="1:10">
      <c r="D15" s="8"/>
      <c r="E15" s="51"/>
      <c r="F15" s="36"/>
    </row>
    <row r="16" spans="1:10">
      <c r="A16" s="68">
        <v>36937.474432870367</v>
      </c>
      <c r="B16" s="12">
        <v>1</v>
      </c>
      <c r="C16" s="37">
        <v>3.0671296296296297E-3</v>
      </c>
      <c r="D16" s="8">
        <v>154</v>
      </c>
      <c r="E16" s="51">
        <f t="shared" si="1"/>
        <v>13.584905660377357</v>
      </c>
      <c r="F16" s="36">
        <f t="shared" si="0"/>
        <v>3.0671296296296302E-3</v>
      </c>
    </row>
    <row r="17" spans="1:6">
      <c r="A17" s="68">
        <v>36937.474432870367</v>
      </c>
      <c r="B17" s="12">
        <v>2</v>
      </c>
      <c r="C17" s="37">
        <v>6.0185185185185185E-3</v>
      </c>
      <c r="D17" s="8">
        <v>172</v>
      </c>
      <c r="E17" s="51">
        <f t="shared" si="1"/>
        <v>14.117647058823529</v>
      </c>
      <c r="F17" s="36">
        <f t="shared" si="0"/>
        <v>2.9513888888888888E-3</v>
      </c>
    </row>
    <row r="18" spans="1:6">
      <c r="A18" s="68">
        <v>36937.474432870367</v>
      </c>
      <c r="B18" s="12">
        <v>3</v>
      </c>
      <c r="C18" s="37">
        <v>8.9930555555555562E-3</v>
      </c>
      <c r="D18" s="8">
        <v>179</v>
      </c>
      <c r="E18" s="51">
        <f t="shared" si="1"/>
        <v>14.007782101167312</v>
      </c>
      <c r="F18" s="36">
        <f t="shared" si="0"/>
        <v>2.9745370370370377E-3</v>
      </c>
    </row>
    <row r="19" spans="1:6">
      <c r="A19" s="68">
        <v>36937.474432870367</v>
      </c>
      <c r="B19" s="12">
        <v>4</v>
      </c>
      <c r="C19" s="37">
        <v>1.1967592592592592E-2</v>
      </c>
      <c r="D19" s="8">
        <v>183</v>
      </c>
      <c r="E19" s="51">
        <f t="shared" si="1"/>
        <v>14.00778210116732</v>
      </c>
      <c r="F19" s="36">
        <f t="shared" si="0"/>
        <v>2.974537037037036E-3</v>
      </c>
    </row>
    <row r="20" spans="1:6">
      <c r="A20" s="68">
        <v>36937.474432870367</v>
      </c>
      <c r="B20" s="12">
        <v>5</v>
      </c>
      <c r="C20" s="37">
        <v>1.4907407407407407E-2</v>
      </c>
      <c r="D20" s="8">
        <v>187</v>
      </c>
      <c r="E20" s="51">
        <f t="shared" si="1"/>
        <v>14.173228346456691</v>
      </c>
      <c r="F20" s="36">
        <f t="shared" si="0"/>
        <v>2.9398148148148152E-3</v>
      </c>
    </row>
    <row r="21" spans="1:6">
      <c r="A21" s="68">
        <v>36937.474432870367</v>
      </c>
      <c r="B21" s="12">
        <v>6</v>
      </c>
      <c r="C21" s="37">
        <v>1.7812499999999998E-2</v>
      </c>
      <c r="D21" s="8">
        <v>191</v>
      </c>
      <c r="E21" s="51">
        <f t="shared" si="1"/>
        <v>14.34262948207172</v>
      </c>
      <c r="F21" s="36">
        <f t="shared" si="0"/>
        <v>2.9050925925925915E-3</v>
      </c>
    </row>
    <row r="22" spans="1:6">
      <c r="D22" s="8"/>
      <c r="E22" s="51"/>
      <c r="F22" s="36"/>
    </row>
    <row r="23" spans="1:6">
      <c r="A23" s="68">
        <v>36939.443425925929</v>
      </c>
      <c r="B23" s="12">
        <v>1</v>
      </c>
      <c r="C23" s="37">
        <v>3.414351851851852E-3</v>
      </c>
      <c r="D23" s="8">
        <v>159</v>
      </c>
      <c r="E23" s="51">
        <f t="shared" si="1"/>
        <v>12.203389830508474</v>
      </c>
      <c r="F23" s="36">
        <f t="shared" si="0"/>
        <v>3.4143518518518516E-3</v>
      </c>
    </row>
    <row r="24" spans="1:6">
      <c r="A24" s="68">
        <v>36939.443425925929</v>
      </c>
      <c r="B24" s="12">
        <v>3</v>
      </c>
      <c r="C24" s="37">
        <v>1.0706018518518519E-2</v>
      </c>
      <c r="D24" s="8">
        <v>167</v>
      </c>
      <c r="E24" s="51">
        <f t="shared" si="1"/>
        <v>11.428571428571429</v>
      </c>
      <c r="F24" s="36">
        <f t="shared" si="0"/>
        <v>3.6458333333333334E-3</v>
      </c>
    </row>
    <row r="25" spans="1:6">
      <c r="A25" s="68">
        <v>36939.443425925929</v>
      </c>
      <c r="B25" s="12">
        <v>4</v>
      </c>
      <c r="C25" s="37">
        <v>1.4178240740740741E-2</v>
      </c>
      <c r="D25" s="8">
        <v>171</v>
      </c>
      <c r="E25" s="51">
        <f t="shared" si="1"/>
        <v>12</v>
      </c>
      <c r="F25" s="36">
        <f t="shared" si="0"/>
        <v>3.472222222222222E-3</v>
      </c>
    </row>
    <row r="26" spans="1:6">
      <c r="A26" s="68">
        <v>36939.443425925929</v>
      </c>
      <c r="B26" s="12">
        <v>5</v>
      </c>
      <c r="C26" s="37">
        <v>1.7546296296296296E-2</v>
      </c>
      <c r="D26" s="8">
        <v>176</v>
      </c>
      <c r="E26" s="51">
        <f t="shared" si="1"/>
        <v>12.371134020618561</v>
      </c>
      <c r="F26" s="36">
        <f t="shared" si="0"/>
        <v>3.3680555555555547E-3</v>
      </c>
    </row>
    <row r="27" spans="1:6">
      <c r="A27" s="68">
        <v>36939.443425925929</v>
      </c>
      <c r="B27" s="12">
        <v>6</v>
      </c>
      <c r="C27" s="37">
        <v>2.0925925925925924E-2</v>
      </c>
      <c r="D27" s="8">
        <v>180</v>
      </c>
      <c r="E27" s="51">
        <f t="shared" si="1"/>
        <v>12.328767123287676</v>
      </c>
      <c r="F27" s="36">
        <f t="shared" si="0"/>
        <v>3.3796296296296283E-3</v>
      </c>
    </row>
    <row r="28" spans="1:6">
      <c r="A28" s="68">
        <v>36939.443425925929</v>
      </c>
      <c r="B28" s="12">
        <v>7</v>
      </c>
      <c r="C28" s="37">
        <v>2.435185185185185E-2</v>
      </c>
      <c r="D28" s="8">
        <v>179</v>
      </c>
      <c r="E28" s="51">
        <f t="shared" si="1"/>
        <v>12.162162162162161</v>
      </c>
      <c r="F28" s="36">
        <f t="shared" si="0"/>
        <v>3.425925925925926E-3</v>
      </c>
    </row>
    <row r="29" spans="1:6">
      <c r="A29" s="68">
        <v>36939.443425925929</v>
      </c>
      <c r="B29" s="12">
        <v>8</v>
      </c>
      <c r="C29" s="37">
        <v>2.7673611111111111E-2</v>
      </c>
      <c r="D29" s="8">
        <v>183</v>
      </c>
      <c r="E29" s="51">
        <f t="shared" si="1"/>
        <v>12.543554006968638</v>
      </c>
      <c r="F29" s="36">
        <f t="shared" si="0"/>
        <v>3.32175925925926E-3</v>
      </c>
    </row>
    <row r="30" spans="1:6">
      <c r="A30" s="68">
        <v>36939.443425925929</v>
      </c>
      <c r="B30" s="12">
        <v>10</v>
      </c>
      <c r="C30" s="37">
        <v>3.4409722222222223E-2</v>
      </c>
      <c r="D30" s="8">
        <v>184</v>
      </c>
      <c r="E30" s="51">
        <f t="shared" si="1"/>
        <v>12.371134020618554</v>
      </c>
      <c r="F30" s="36">
        <f t="shared" si="0"/>
        <v>3.3680555555555564E-3</v>
      </c>
    </row>
    <row r="31" spans="1:6">
      <c r="D31" s="8"/>
      <c r="E31" s="51"/>
      <c r="F31" s="36"/>
    </row>
    <row r="32" spans="1:6">
      <c r="A32" s="68">
        <v>36940.710219907407</v>
      </c>
      <c r="B32" s="12">
        <v>1</v>
      </c>
      <c r="C32" s="37">
        <v>2.9398148148148148E-3</v>
      </c>
      <c r="D32" s="8">
        <v>155</v>
      </c>
      <c r="E32" s="51">
        <f t="shared" si="1"/>
        <v>14.173228346456694</v>
      </c>
      <c r="F32" s="36">
        <f t="shared" si="0"/>
        <v>2.9398148148148148E-3</v>
      </c>
    </row>
    <row r="33" spans="1:6">
      <c r="A33" s="68">
        <v>36940.710219907407</v>
      </c>
      <c r="B33" s="12">
        <v>2</v>
      </c>
      <c r="C33" s="37">
        <v>5.9606481481481481E-3</v>
      </c>
      <c r="D33" s="8">
        <v>175</v>
      </c>
      <c r="E33" s="51">
        <f t="shared" si="1"/>
        <v>13.793103448275863</v>
      </c>
      <c r="F33" s="36">
        <f t="shared" si="0"/>
        <v>3.0208333333333333E-3</v>
      </c>
    </row>
    <row r="34" spans="1:6">
      <c r="A34" s="68">
        <v>36940.710219907407</v>
      </c>
      <c r="B34" s="12">
        <v>3</v>
      </c>
      <c r="C34" s="37">
        <v>9.4675925925925934E-3</v>
      </c>
      <c r="D34" s="8">
        <v>173</v>
      </c>
      <c r="E34" s="51">
        <f t="shared" si="1"/>
        <v>11.881188118811878</v>
      </c>
      <c r="F34" s="36">
        <f t="shared" si="0"/>
        <v>3.5069444444444453E-3</v>
      </c>
    </row>
    <row r="35" spans="1:6">
      <c r="A35" s="68">
        <v>36940.710219907407</v>
      </c>
      <c r="B35" s="12">
        <v>4</v>
      </c>
      <c r="C35" s="37">
        <v>1.2222222222222223E-2</v>
      </c>
      <c r="D35" s="8">
        <v>174</v>
      </c>
      <c r="E35" s="51">
        <f t="shared" si="1"/>
        <v>15.126050420168069</v>
      </c>
      <c r="F35" s="36">
        <f t="shared" si="0"/>
        <v>2.7546296296296294E-3</v>
      </c>
    </row>
    <row r="36" spans="1:6">
      <c r="A36" s="68">
        <v>36940.710219907407</v>
      </c>
      <c r="B36" s="12">
        <v>5</v>
      </c>
      <c r="C36" s="37">
        <v>1.5416666666666667E-2</v>
      </c>
      <c r="D36" s="8">
        <v>174</v>
      </c>
      <c r="E36" s="51">
        <f t="shared" si="1"/>
        <v>13.043478260869566</v>
      </c>
      <c r="F36" s="36">
        <f t="shared" si="0"/>
        <v>3.1944444444444438E-3</v>
      </c>
    </row>
    <row r="37" spans="1:6">
      <c r="A37" s="68">
        <v>36940.710219907407</v>
      </c>
      <c r="B37" s="12">
        <v>6</v>
      </c>
      <c r="C37" s="37">
        <v>1.8692129629629628E-2</v>
      </c>
      <c r="D37" s="8">
        <v>173</v>
      </c>
      <c r="E37" s="51">
        <f t="shared" si="1"/>
        <v>12.720848056537111</v>
      </c>
      <c r="F37" s="36">
        <f t="shared" si="0"/>
        <v>3.2754629629629605E-3</v>
      </c>
    </row>
    <row r="38" spans="1:6">
      <c r="A38" s="68">
        <v>36940.710219907407</v>
      </c>
      <c r="B38" s="12">
        <v>7</v>
      </c>
      <c r="C38" s="37">
        <v>2.1956018518518517E-2</v>
      </c>
      <c r="D38" s="8">
        <v>174</v>
      </c>
      <c r="E38" s="51">
        <f t="shared" si="1"/>
        <v>12.76595744680851</v>
      </c>
      <c r="F38" s="36">
        <f t="shared" si="0"/>
        <v>3.2638888888888891E-3</v>
      </c>
    </row>
    <row r="39" spans="1:6">
      <c r="A39" s="68">
        <v>36940.710219907407</v>
      </c>
      <c r="B39" s="12">
        <v>8</v>
      </c>
      <c r="C39" s="37">
        <v>2.5219907407407406E-2</v>
      </c>
      <c r="D39" s="8">
        <v>173</v>
      </c>
      <c r="E39" s="51">
        <f t="shared" si="1"/>
        <v>12.76595744680851</v>
      </c>
      <c r="F39" s="36">
        <f t="shared" si="0"/>
        <v>3.2638888888888891E-3</v>
      </c>
    </row>
    <row r="40" spans="1:6">
      <c r="A40" s="68">
        <v>36940.710219907407</v>
      </c>
      <c r="B40" s="12">
        <v>9</v>
      </c>
      <c r="C40" s="37">
        <v>2.8518518518518519E-2</v>
      </c>
      <c r="D40" s="8">
        <v>174</v>
      </c>
      <c r="E40" s="51">
        <f t="shared" si="1"/>
        <v>12.631578947368412</v>
      </c>
      <c r="F40" s="36">
        <f t="shared" si="0"/>
        <v>3.2986111111111133E-3</v>
      </c>
    </row>
    <row r="41" spans="1:6">
      <c r="A41" s="68">
        <v>36940.710219907407</v>
      </c>
      <c r="B41" s="12">
        <v>10</v>
      </c>
      <c r="C41" s="37">
        <v>3.1770833333333331E-2</v>
      </c>
      <c r="D41" s="8">
        <v>174</v>
      </c>
      <c r="E41" s="51">
        <f t="shared" si="1"/>
        <v>12.811387900355882</v>
      </c>
      <c r="F41" s="36">
        <f t="shared" si="0"/>
        <v>3.252314814814812E-3</v>
      </c>
    </row>
    <row r="42" spans="1:6">
      <c r="D42" s="8"/>
      <c r="E42" s="51"/>
      <c r="F42" s="36"/>
    </row>
    <row r="43" spans="1:6">
      <c r="A43" s="68">
        <v>36944.873703703706</v>
      </c>
      <c r="B43" s="12">
        <v>1</v>
      </c>
      <c r="C43" s="37">
        <v>2.9398148148148148E-3</v>
      </c>
      <c r="D43" s="8">
        <v>157</v>
      </c>
      <c r="E43" s="51">
        <f t="shared" si="1"/>
        <v>14.173228346456694</v>
      </c>
      <c r="F43" s="36">
        <f t="shared" si="0"/>
        <v>2.9398148148148148E-3</v>
      </c>
    </row>
    <row r="44" spans="1:6">
      <c r="A44" s="68">
        <v>36944.873703703706</v>
      </c>
      <c r="B44" s="12">
        <v>2</v>
      </c>
      <c r="C44" s="37">
        <v>5.7407407407407407E-3</v>
      </c>
      <c r="D44" s="8">
        <v>171</v>
      </c>
      <c r="E44" s="51">
        <f t="shared" si="1"/>
        <v>14.87603305785124</v>
      </c>
      <c r="F44" s="36">
        <f t="shared" si="0"/>
        <v>2.8009259259259259E-3</v>
      </c>
    </row>
    <row r="45" spans="1:6">
      <c r="A45" s="68">
        <v>36944.873703703706</v>
      </c>
      <c r="B45" s="12">
        <v>3</v>
      </c>
      <c r="C45" s="37">
        <v>8.5879629629629622E-3</v>
      </c>
      <c r="D45" s="8">
        <v>177</v>
      </c>
      <c r="E45" s="51">
        <f t="shared" si="1"/>
        <v>14.634146341463419</v>
      </c>
      <c r="F45" s="36">
        <f t="shared" si="0"/>
        <v>2.8472222222222215E-3</v>
      </c>
    </row>
    <row r="46" spans="1:6">
      <c r="A46" s="68">
        <v>36944.873703703706</v>
      </c>
      <c r="B46" s="12">
        <v>4</v>
      </c>
      <c r="C46" s="37">
        <v>1.1446759259259259E-2</v>
      </c>
      <c r="D46" s="8">
        <v>180</v>
      </c>
      <c r="E46" s="51">
        <f t="shared" si="1"/>
        <v>14.574898785425098</v>
      </c>
      <c r="F46" s="36">
        <f t="shared" si="0"/>
        <v>2.8587962962962968E-3</v>
      </c>
    </row>
    <row r="47" spans="1:6">
      <c r="A47" s="68">
        <v>36944.873703703706</v>
      </c>
      <c r="B47" s="12">
        <v>5</v>
      </c>
      <c r="C47" s="37">
        <v>1.425925925925926E-2</v>
      </c>
      <c r="D47" s="8">
        <v>183</v>
      </c>
      <c r="E47" s="51">
        <f t="shared" si="1"/>
        <v>14.814814814814811</v>
      </c>
      <c r="F47" s="36">
        <f t="shared" si="0"/>
        <v>2.8125000000000008E-3</v>
      </c>
    </row>
    <row r="48" spans="1:6">
      <c r="A48" s="68">
        <v>36944.873703703706</v>
      </c>
      <c r="B48" s="12">
        <v>6</v>
      </c>
      <c r="C48" s="37">
        <v>1.7013888888888887E-2</v>
      </c>
      <c r="D48" s="8">
        <v>187</v>
      </c>
      <c r="E48" s="51">
        <f t="shared" si="1"/>
        <v>15.126050420168077</v>
      </c>
      <c r="F48" s="36">
        <f t="shared" si="0"/>
        <v>2.7546296296296277E-3</v>
      </c>
    </row>
    <row r="49" spans="1:6">
      <c r="D49" s="8"/>
      <c r="E49" s="51"/>
      <c r="F49" s="36"/>
    </row>
    <row r="50" spans="1:6">
      <c r="A50" s="68">
        <v>36950.876481481479</v>
      </c>
      <c r="B50" s="12">
        <v>1</v>
      </c>
      <c r="C50" s="37">
        <v>3.3541666666666668E-3</v>
      </c>
      <c r="D50" s="17">
        <v>149</v>
      </c>
      <c r="E50" s="51">
        <f t="shared" si="1"/>
        <v>12.422360248447205</v>
      </c>
      <c r="F50" s="36">
        <f t="shared" si="0"/>
        <v>3.3541666666666668E-3</v>
      </c>
    </row>
    <row r="51" spans="1:6">
      <c r="A51" s="68">
        <v>36950.876481481479</v>
      </c>
      <c r="B51" s="12">
        <v>2</v>
      </c>
      <c r="C51" s="37">
        <v>6.4756944444444436E-3</v>
      </c>
      <c r="D51" s="17">
        <v>158</v>
      </c>
      <c r="E51" s="51">
        <f t="shared" si="1"/>
        <v>13.348164627363742</v>
      </c>
      <c r="F51" s="36">
        <f t="shared" si="0"/>
        <v>3.1215277777777769E-3</v>
      </c>
    </row>
    <row r="52" spans="1:6">
      <c r="A52" s="68">
        <v>36950.876481481479</v>
      </c>
      <c r="B52" s="12">
        <v>3</v>
      </c>
      <c r="C52" s="37">
        <v>1.0009259259259259E-2</v>
      </c>
      <c r="D52" s="17">
        <v>166</v>
      </c>
      <c r="E52" s="51">
        <f t="shared" si="1"/>
        <v>11.791680314444806</v>
      </c>
      <c r="F52" s="36">
        <f t="shared" si="0"/>
        <v>3.5335648148148153E-3</v>
      </c>
    </row>
    <row r="53" spans="1:6">
      <c r="A53" s="68">
        <v>36950.876481481479</v>
      </c>
      <c r="B53" s="12">
        <v>4</v>
      </c>
      <c r="C53" s="37">
        <v>1.2704861111111111E-2</v>
      </c>
      <c r="D53" s="17">
        <v>167</v>
      </c>
      <c r="E53" s="51">
        <f t="shared" si="1"/>
        <v>15.457277801631601</v>
      </c>
      <c r="F53" s="36">
        <f t="shared" si="0"/>
        <v>2.6956018518518522E-3</v>
      </c>
    </row>
    <row r="54" spans="1:6">
      <c r="A54" s="68">
        <v>36950.876481481479</v>
      </c>
      <c r="B54" s="12">
        <v>5</v>
      </c>
      <c r="C54" s="37">
        <v>1.5825231481481482E-2</v>
      </c>
      <c r="D54" s="16">
        <v>169</v>
      </c>
      <c r="E54" s="51">
        <f t="shared" si="1"/>
        <v>13.353115727002967</v>
      </c>
      <c r="F54" s="36">
        <f t="shared" si="0"/>
        <v>3.1203703703703701E-3</v>
      </c>
    </row>
    <row r="55" spans="1:6">
      <c r="A55" s="68">
        <v>36950.876481481479</v>
      </c>
      <c r="B55" s="12">
        <v>6</v>
      </c>
      <c r="C55" s="37">
        <v>1.892939814814815E-2</v>
      </c>
      <c r="D55" s="16">
        <v>171</v>
      </c>
      <c r="E55" s="51">
        <f t="shared" si="1"/>
        <v>13.422818791946302</v>
      </c>
      <c r="F55" s="36">
        <f t="shared" si="0"/>
        <v>3.1041666666666678E-3</v>
      </c>
    </row>
    <row r="56" spans="1:6">
      <c r="A56" s="68">
        <v>36950.876481481479</v>
      </c>
      <c r="B56" s="12">
        <v>7</v>
      </c>
      <c r="C56" s="37">
        <v>2.2038194444444447E-2</v>
      </c>
      <c r="D56" s="16">
        <v>173</v>
      </c>
      <c r="E56" s="51">
        <f t="shared" ref="E56:E119" si="2">(B56-B55)/((C56-C55)*24)</f>
        <v>13.402829486224867</v>
      </c>
      <c r="F56" s="36">
        <f t="shared" si="0"/>
        <v>3.108796296296297E-3</v>
      </c>
    </row>
    <row r="57" spans="1:6">
      <c r="A57" s="68">
        <v>36950.876481481479</v>
      </c>
      <c r="B57" s="12">
        <v>8</v>
      </c>
      <c r="C57" s="37">
        <v>2.5057870370370373E-2</v>
      </c>
      <c r="D57" s="16">
        <v>174</v>
      </c>
      <c r="E57" s="51">
        <f t="shared" si="2"/>
        <v>13.798390187811423</v>
      </c>
      <c r="F57" s="36">
        <f t="shared" si="0"/>
        <v>3.0196759259259257E-3</v>
      </c>
    </row>
    <row r="58" spans="1:6">
      <c r="A58" s="68">
        <v>36950.876481481479</v>
      </c>
      <c r="B58" s="12">
        <v>9</v>
      </c>
      <c r="C58" s="37">
        <v>2.8070601851851854E-2</v>
      </c>
      <c r="D58" s="16">
        <v>177</v>
      </c>
      <c r="E58" s="51">
        <f t="shared" si="2"/>
        <v>13.830195927775646</v>
      </c>
      <c r="F58" s="36">
        <f t="shared" si="0"/>
        <v>3.0127314814814808E-3</v>
      </c>
    </row>
    <row r="59" spans="1:6">
      <c r="A59" s="68">
        <v>36950.876481481479</v>
      </c>
      <c r="B59" s="12">
        <v>10</v>
      </c>
      <c r="C59" s="37">
        <v>3.0956018518518522E-2</v>
      </c>
      <c r="D59" s="16">
        <v>179</v>
      </c>
      <c r="E59" s="51">
        <f t="shared" si="2"/>
        <v>14.440433212996384</v>
      </c>
      <c r="F59" s="36">
        <f t="shared" si="0"/>
        <v>2.8854166666666676E-3</v>
      </c>
    </row>
    <row r="60" spans="1:6">
      <c r="D60" s="16"/>
      <c r="E60" s="51"/>
      <c r="F60" s="36"/>
    </row>
    <row r="61" spans="1:6">
      <c r="A61" s="68">
        <v>36953.707407407404</v>
      </c>
      <c r="B61" s="12">
        <v>1</v>
      </c>
      <c r="C61" s="37">
        <v>3.1597222222222222E-3</v>
      </c>
      <c r="D61" s="12">
        <v>153</v>
      </c>
      <c r="E61" s="51">
        <f t="shared" si="2"/>
        <v>13.186813186813186</v>
      </c>
      <c r="F61" s="36">
        <f t="shared" si="0"/>
        <v>3.1597222222222222E-3</v>
      </c>
    </row>
    <row r="62" spans="1:6">
      <c r="A62" s="68">
        <v>36953.707407407404</v>
      </c>
      <c r="B62" s="12">
        <v>2</v>
      </c>
      <c r="C62" s="37">
        <v>6.4467592592592588E-3</v>
      </c>
      <c r="D62" s="12">
        <v>162</v>
      </c>
      <c r="E62" s="51">
        <f t="shared" si="2"/>
        <v>12.67605633802817</v>
      </c>
      <c r="F62" s="36">
        <f t="shared" si="0"/>
        <v>3.2870370370370367E-3</v>
      </c>
    </row>
    <row r="63" spans="1:6">
      <c r="A63" s="68">
        <v>36953.707407407404</v>
      </c>
      <c r="B63" s="12">
        <v>3</v>
      </c>
      <c r="C63" s="37">
        <v>9.7685185185185184E-3</v>
      </c>
      <c r="D63" s="12">
        <v>162</v>
      </c>
      <c r="E63" s="51">
        <f t="shared" si="2"/>
        <v>12.543554006968641</v>
      </c>
      <c r="F63" s="36">
        <f t="shared" si="0"/>
        <v>3.3217592592592591E-3</v>
      </c>
    </row>
    <row r="64" spans="1:6">
      <c r="A64" s="68">
        <v>36953.707407407404</v>
      </c>
      <c r="B64" s="12">
        <v>5</v>
      </c>
      <c r="C64" s="37">
        <v>1.650462962962963E-2</v>
      </c>
      <c r="D64" s="12">
        <v>160</v>
      </c>
      <c r="E64" s="51">
        <f t="shared" si="2"/>
        <v>12.371134020618555</v>
      </c>
      <c r="F64" s="36">
        <f t="shared" si="0"/>
        <v>3.368055555555556E-3</v>
      </c>
    </row>
    <row r="65" spans="1:6">
      <c r="A65" s="68">
        <v>36953.707407407404</v>
      </c>
      <c r="B65" s="12">
        <v>6</v>
      </c>
      <c r="C65" s="37">
        <v>1.9861111111111111E-2</v>
      </c>
      <c r="D65" s="12">
        <v>162</v>
      </c>
      <c r="E65" s="51">
        <f t="shared" si="2"/>
        <v>12.413793103448278</v>
      </c>
      <c r="F65" s="36">
        <f t="shared" si="0"/>
        <v>3.3564814814814811E-3</v>
      </c>
    </row>
    <row r="66" spans="1:6">
      <c r="A66" s="68">
        <v>36953.707407407404</v>
      </c>
      <c r="B66" s="12">
        <v>6.35</v>
      </c>
      <c r="C66" s="37">
        <v>2.1069444444444446E-2</v>
      </c>
      <c r="D66" s="12">
        <v>163</v>
      </c>
      <c r="E66" s="51">
        <f t="shared" si="2"/>
        <v>12.068965517241345</v>
      </c>
      <c r="F66" s="36">
        <f t="shared" si="0"/>
        <v>3.452380952380962E-3</v>
      </c>
    </row>
    <row r="67" spans="1:6">
      <c r="A67" s="68">
        <v>36953.707407407404</v>
      </c>
      <c r="B67" s="12">
        <v>7.35</v>
      </c>
      <c r="C67" s="37">
        <v>2.4658564814814817E-2</v>
      </c>
      <c r="D67" s="12">
        <v>163</v>
      </c>
      <c r="E67" s="51">
        <f t="shared" si="2"/>
        <v>11.609158336020636</v>
      </c>
      <c r="F67" s="36">
        <f t="shared" ref="F67:F130" si="3">1/(E67*24)</f>
        <v>3.589120370370371E-3</v>
      </c>
    </row>
    <row r="68" spans="1:6">
      <c r="A68" s="68">
        <v>36953.707407407404</v>
      </c>
      <c r="B68" s="12">
        <v>8.35</v>
      </c>
      <c r="C68" s="37">
        <v>2.8240740740740736E-2</v>
      </c>
      <c r="D68" s="12">
        <v>160</v>
      </c>
      <c r="E68" s="51">
        <f t="shared" si="2"/>
        <v>11.631663974151879</v>
      </c>
      <c r="F68" s="36">
        <f t="shared" si="3"/>
        <v>3.5821759259259192E-3</v>
      </c>
    </row>
    <row r="69" spans="1:6">
      <c r="A69" s="68">
        <v>36953.707407407404</v>
      </c>
      <c r="B69" s="12">
        <v>9.35</v>
      </c>
      <c r="C69" s="37">
        <v>3.1796296296296302E-2</v>
      </c>
      <c r="D69" s="12">
        <v>161</v>
      </c>
      <c r="E69" s="51">
        <f t="shared" si="2"/>
        <v>11.718749999999968</v>
      </c>
      <c r="F69" s="36">
        <f t="shared" si="3"/>
        <v>3.5555555555555657E-3</v>
      </c>
    </row>
    <row r="70" spans="1:6">
      <c r="A70" s="68">
        <v>36953.707407407404</v>
      </c>
      <c r="B70" s="12">
        <v>10.35</v>
      </c>
      <c r="C70" s="37">
        <v>3.5269675925925927E-2</v>
      </c>
      <c r="D70" s="12">
        <v>162</v>
      </c>
      <c r="E70" s="51">
        <f t="shared" si="2"/>
        <v>11.996001332889053</v>
      </c>
      <c r="F70" s="36">
        <f t="shared" si="3"/>
        <v>3.4733796296296249E-3</v>
      </c>
    </row>
    <row r="71" spans="1:6">
      <c r="A71" s="68">
        <v>36953.707407407404</v>
      </c>
      <c r="B71" s="12">
        <v>11.35</v>
      </c>
      <c r="C71" s="37">
        <v>3.8778935185185187E-2</v>
      </c>
      <c r="D71" s="12">
        <v>162</v>
      </c>
      <c r="E71" s="51">
        <f t="shared" si="2"/>
        <v>11.873350923482844</v>
      </c>
      <c r="F71" s="36">
        <f t="shared" si="3"/>
        <v>3.509259259259261E-3</v>
      </c>
    </row>
    <row r="72" spans="1:6">
      <c r="A72" s="68">
        <v>36953.707407407404</v>
      </c>
      <c r="B72" s="12">
        <v>12.35</v>
      </c>
      <c r="C72" s="37">
        <v>4.1593750000000006E-2</v>
      </c>
      <c r="D72" s="12">
        <v>175</v>
      </c>
      <c r="E72" s="51">
        <f t="shared" si="2"/>
        <v>14.802631578947349</v>
      </c>
      <c r="F72" s="36">
        <f t="shared" si="3"/>
        <v>2.8148148148148186E-3</v>
      </c>
    </row>
    <row r="73" spans="1:6">
      <c r="D73" s="12"/>
      <c r="E73" s="51"/>
      <c r="F73" s="36"/>
    </row>
    <row r="74" spans="1:6">
      <c r="A74" s="68">
        <v>36955.869062500002</v>
      </c>
      <c r="B74" s="12">
        <v>1</v>
      </c>
      <c r="C74" s="37">
        <v>3.0370370370370364E-3</v>
      </c>
      <c r="D74" s="5">
        <v>155</v>
      </c>
      <c r="E74" s="51">
        <f t="shared" si="2"/>
        <v>13.719512195121954</v>
      </c>
      <c r="F74" s="36">
        <f t="shared" si="3"/>
        <v>3.037037037037036E-3</v>
      </c>
    </row>
    <row r="75" spans="1:6">
      <c r="A75" s="68">
        <v>36955.869062500002</v>
      </c>
      <c r="B75" s="12">
        <v>2</v>
      </c>
      <c r="C75" s="37">
        <v>6.0185185185185177E-3</v>
      </c>
      <c r="D75" s="5">
        <v>161</v>
      </c>
      <c r="E75" s="51">
        <f t="shared" si="2"/>
        <v>13.975155279503106</v>
      </c>
      <c r="F75" s="36">
        <f t="shared" si="3"/>
        <v>2.9814814814814812E-3</v>
      </c>
    </row>
    <row r="76" spans="1:6">
      <c r="A76" s="68">
        <v>36955.869062500002</v>
      </c>
      <c r="B76" s="12">
        <v>3</v>
      </c>
      <c r="C76" s="37">
        <v>9.2499999999999995E-3</v>
      </c>
      <c r="D76" s="5">
        <v>167</v>
      </c>
      <c r="E76" s="51">
        <f t="shared" si="2"/>
        <v>12.893982808022919</v>
      </c>
      <c r="F76" s="36">
        <f t="shared" si="3"/>
        <v>3.2314814814814823E-3</v>
      </c>
    </row>
    <row r="77" spans="1:6">
      <c r="A77" s="68">
        <v>36955.869062500002</v>
      </c>
      <c r="B77" s="12">
        <v>4</v>
      </c>
      <c r="C77" s="37">
        <v>1.1722222222222222E-2</v>
      </c>
      <c r="D77" s="5">
        <v>169</v>
      </c>
      <c r="E77" s="51">
        <f t="shared" si="2"/>
        <v>16.853932584269657</v>
      </c>
      <c r="F77" s="36">
        <f t="shared" si="3"/>
        <v>2.4722222222222229E-3</v>
      </c>
    </row>
    <row r="78" spans="1:6">
      <c r="A78" s="68">
        <v>36955.869062500002</v>
      </c>
      <c r="B78" s="12">
        <v>5</v>
      </c>
      <c r="C78" s="37">
        <v>1.4538194444444444E-2</v>
      </c>
      <c r="D78" s="5">
        <v>174</v>
      </c>
      <c r="E78" s="51">
        <f t="shared" si="2"/>
        <v>14.796547472256478</v>
      </c>
      <c r="F78" s="36">
        <f t="shared" si="3"/>
        <v>2.8159722222222214E-3</v>
      </c>
    </row>
    <row r="79" spans="1:6">
      <c r="A79" s="68">
        <v>36955.869062500002</v>
      </c>
      <c r="B79" s="12">
        <v>6</v>
      </c>
      <c r="C79" s="37">
        <v>1.7381944444444446E-2</v>
      </c>
      <c r="D79" s="5">
        <v>176</v>
      </c>
      <c r="E79" s="51">
        <f t="shared" si="2"/>
        <v>14.652014652014639</v>
      </c>
      <c r="F79" s="36">
        <f t="shared" si="3"/>
        <v>2.843750000000003E-3</v>
      </c>
    </row>
    <row r="80" spans="1:6">
      <c r="A80" s="68">
        <v>36955.869062500002</v>
      </c>
      <c r="B80" s="12">
        <v>7</v>
      </c>
      <c r="C80" s="37">
        <v>2.0336805555555556E-2</v>
      </c>
      <c r="D80" s="5">
        <v>174</v>
      </c>
      <c r="E80" s="51">
        <f t="shared" si="2"/>
        <v>14.101057579318457</v>
      </c>
      <c r="F80" s="36">
        <f t="shared" si="3"/>
        <v>2.9548611111111095E-3</v>
      </c>
    </row>
    <row r="81" spans="1:6">
      <c r="A81" s="68">
        <v>36955.869062500002</v>
      </c>
      <c r="B81" s="12">
        <v>8</v>
      </c>
      <c r="C81" s="37">
        <v>2.3009259259259257E-2</v>
      </c>
      <c r="D81" s="5">
        <v>180</v>
      </c>
      <c r="E81" s="51">
        <f t="shared" si="2"/>
        <v>15.591165006496333</v>
      </c>
      <c r="F81" s="36">
        <f t="shared" si="3"/>
        <v>2.6724537037037012E-3</v>
      </c>
    </row>
    <row r="82" spans="1:6">
      <c r="A82" s="68">
        <v>36955.869062500002</v>
      </c>
      <c r="B82" s="12">
        <v>9</v>
      </c>
      <c r="C82" s="37">
        <v>2.5912037037037036E-2</v>
      </c>
      <c r="D82" s="5">
        <v>179</v>
      </c>
      <c r="E82" s="51">
        <f t="shared" si="2"/>
        <v>14.354066985645931</v>
      </c>
      <c r="F82" s="36">
        <f t="shared" si="3"/>
        <v>2.902777777777778E-3</v>
      </c>
    </row>
    <row r="83" spans="1:6">
      <c r="A83" s="68">
        <v>36955.869062500002</v>
      </c>
      <c r="B83" s="12">
        <v>10</v>
      </c>
      <c r="C83" s="37">
        <v>2.8607638888888887E-2</v>
      </c>
      <c r="D83" s="5">
        <v>181</v>
      </c>
      <c r="E83" s="51">
        <f t="shared" si="2"/>
        <v>15.457277801631601</v>
      </c>
      <c r="F83" s="36">
        <f t="shared" si="3"/>
        <v>2.6956018518518522E-3</v>
      </c>
    </row>
    <row r="84" spans="1:6">
      <c r="D84" s="5"/>
      <c r="E84" s="51"/>
      <c r="F84" s="36"/>
    </row>
    <row r="85" spans="1:6">
      <c r="A85" s="68">
        <v>36961.439583333333</v>
      </c>
      <c r="B85" s="12">
        <v>1</v>
      </c>
      <c r="C85" s="37">
        <v>2.9305555555555556E-3</v>
      </c>
      <c r="D85" s="5">
        <v>151</v>
      </c>
      <c r="E85" s="51">
        <f t="shared" si="2"/>
        <v>14.218009478672986</v>
      </c>
      <c r="F85" s="36">
        <f t="shared" si="3"/>
        <v>2.9305555555555552E-3</v>
      </c>
    </row>
    <row r="86" spans="1:6">
      <c r="A86" s="68">
        <v>36961.439583333333</v>
      </c>
      <c r="B86" s="12">
        <v>2</v>
      </c>
      <c r="C86" s="37">
        <v>5.9259259259259256E-3</v>
      </c>
      <c r="D86" s="5">
        <v>164</v>
      </c>
      <c r="E86" s="51">
        <f t="shared" si="2"/>
        <v>13.910355486862445</v>
      </c>
      <c r="F86" s="36">
        <f t="shared" si="3"/>
        <v>2.9953703703703696E-3</v>
      </c>
    </row>
    <row r="87" spans="1:6">
      <c r="A87" s="68">
        <v>36961.439583333333</v>
      </c>
      <c r="B87" s="12">
        <v>3</v>
      </c>
      <c r="C87" s="37">
        <v>9.1481481481481483E-3</v>
      </c>
      <c r="D87" s="5">
        <v>165</v>
      </c>
      <c r="E87" s="51">
        <f t="shared" si="2"/>
        <v>12.931034482758619</v>
      </c>
      <c r="F87" s="36">
        <f t="shared" si="3"/>
        <v>3.2222222222222227E-3</v>
      </c>
    </row>
    <row r="88" spans="1:6">
      <c r="A88" s="68">
        <v>36961.439583333333</v>
      </c>
      <c r="B88" s="12">
        <v>4</v>
      </c>
      <c r="C88" s="37">
        <v>1.2481481481481481E-2</v>
      </c>
      <c r="D88" s="5">
        <v>163</v>
      </c>
      <c r="E88" s="51">
        <f t="shared" si="2"/>
        <v>12.500000000000004</v>
      </c>
      <c r="F88" s="36">
        <f t="shared" si="3"/>
        <v>3.3333333333333322E-3</v>
      </c>
    </row>
    <row r="89" spans="1:6">
      <c r="A89" s="68">
        <v>36961.439583333333</v>
      </c>
      <c r="B89" s="12">
        <v>5</v>
      </c>
      <c r="C89" s="37">
        <v>1.5896990740740739E-2</v>
      </c>
      <c r="D89" s="5">
        <v>164</v>
      </c>
      <c r="E89" s="51">
        <f t="shared" si="2"/>
        <v>12.199254490003391</v>
      </c>
      <c r="F89" s="36">
        <f t="shared" si="3"/>
        <v>3.4155092592592588E-3</v>
      </c>
    </row>
    <row r="90" spans="1:6">
      <c r="A90" s="68">
        <v>36961.439583333333</v>
      </c>
      <c r="B90" s="12">
        <v>6</v>
      </c>
      <c r="C90" s="37">
        <v>1.9365740740740742E-2</v>
      </c>
      <c r="D90" s="5">
        <v>163</v>
      </c>
      <c r="E90" s="51">
        <f t="shared" si="2"/>
        <v>12.012012012012001</v>
      </c>
      <c r="F90" s="36">
        <f t="shared" si="3"/>
        <v>3.4687500000000031E-3</v>
      </c>
    </row>
    <row r="91" spans="1:6">
      <c r="A91" s="68">
        <v>36961.439583333333</v>
      </c>
      <c r="B91" s="12">
        <v>7.35</v>
      </c>
      <c r="C91" s="37">
        <v>2.3755787037037041E-2</v>
      </c>
      <c r="D91" s="5">
        <v>163</v>
      </c>
      <c r="E91" s="51">
        <f t="shared" si="2"/>
        <v>12.81307672027418</v>
      </c>
      <c r="F91" s="36">
        <f t="shared" si="3"/>
        <v>3.2518861454046664E-3</v>
      </c>
    </row>
    <row r="92" spans="1:6">
      <c r="A92" s="68">
        <v>36961.439583333333</v>
      </c>
      <c r="B92" s="12">
        <v>8.35</v>
      </c>
      <c r="C92" s="37">
        <v>2.7206018518518518E-2</v>
      </c>
      <c r="D92" s="5">
        <v>165</v>
      </c>
      <c r="E92" s="51">
        <f t="shared" si="2"/>
        <v>12.076484401207662</v>
      </c>
      <c r="F92" s="36">
        <f t="shared" si="3"/>
        <v>3.4502314814814782E-3</v>
      </c>
    </row>
    <row r="93" spans="1:6">
      <c r="A93" s="68">
        <v>36961.439583333333</v>
      </c>
      <c r="B93" s="12">
        <v>9.35</v>
      </c>
      <c r="C93" s="37">
        <v>3.066203703703704E-2</v>
      </c>
      <c r="D93" s="5">
        <v>164</v>
      </c>
      <c r="E93" s="51">
        <f t="shared" si="2"/>
        <v>12.056262558606822</v>
      </c>
      <c r="F93" s="36">
        <f t="shared" si="3"/>
        <v>3.456018518518521E-3</v>
      </c>
    </row>
    <row r="94" spans="1:6">
      <c r="A94" s="68">
        <v>36961.439583333333</v>
      </c>
      <c r="B94" s="12">
        <v>10.35</v>
      </c>
      <c r="C94" s="37">
        <v>3.4192129629629628E-2</v>
      </c>
      <c r="D94" s="5">
        <v>163</v>
      </c>
      <c r="E94" s="51">
        <f t="shared" si="2"/>
        <v>11.803278688524605</v>
      </c>
      <c r="F94" s="36">
        <f t="shared" si="3"/>
        <v>3.5300925925925881E-3</v>
      </c>
    </row>
    <row r="95" spans="1:6">
      <c r="A95" s="68">
        <v>36961.439583333333</v>
      </c>
      <c r="B95" s="12">
        <v>12.35</v>
      </c>
      <c r="C95" s="37">
        <v>4.2106481481481488E-2</v>
      </c>
      <c r="D95" s="5">
        <v>165</v>
      </c>
      <c r="E95" s="51">
        <f t="shared" si="2"/>
        <v>10.5293945598128</v>
      </c>
      <c r="F95" s="36">
        <f t="shared" si="3"/>
        <v>3.95717592592593E-3</v>
      </c>
    </row>
    <row r="96" spans="1:6">
      <c r="D96" s="5"/>
      <c r="E96" s="51"/>
      <c r="F96" s="36"/>
    </row>
    <row r="97" spans="1:6">
      <c r="A97" s="68">
        <v>36963.87222222222</v>
      </c>
      <c r="B97" s="12">
        <v>1</v>
      </c>
      <c r="C97" s="37">
        <v>3.1215277777777782E-3</v>
      </c>
      <c r="D97" s="5">
        <v>149</v>
      </c>
      <c r="E97" s="51">
        <f t="shared" si="2"/>
        <v>13.348164627363737</v>
      </c>
      <c r="F97" s="36">
        <f t="shared" si="3"/>
        <v>3.1215277777777778E-3</v>
      </c>
    </row>
    <row r="98" spans="1:6">
      <c r="A98" s="68">
        <v>36963.87222222222</v>
      </c>
      <c r="B98" s="12">
        <v>2</v>
      </c>
      <c r="C98" s="37">
        <v>6.1192129629629643E-3</v>
      </c>
      <c r="D98" s="5">
        <v>155</v>
      </c>
      <c r="E98" s="51">
        <f t="shared" si="2"/>
        <v>13.899613899613897</v>
      </c>
      <c r="F98" s="36">
        <f t="shared" si="3"/>
        <v>2.9976851851851857E-3</v>
      </c>
    </row>
    <row r="99" spans="1:6">
      <c r="A99" s="68">
        <v>36963.87222222222</v>
      </c>
      <c r="B99" s="12">
        <v>3</v>
      </c>
      <c r="C99" s="37">
        <v>9.1087962962962971E-3</v>
      </c>
      <c r="D99" s="5">
        <v>166</v>
      </c>
      <c r="E99" s="51">
        <f t="shared" si="2"/>
        <v>13.937282229965161</v>
      </c>
      <c r="F99" s="36">
        <f t="shared" si="3"/>
        <v>2.9895833333333324E-3</v>
      </c>
    </row>
    <row r="100" spans="1:6">
      <c r="A100" s="68">
        <v>36963.87222222222</v>
      </c>
      <c r="B100" s="12">
        <v>4</v>
      </c>
      <c r="C100" s="37">
        <v>1.2064814814814815E-2</v>
      </c>
      <c r="D100" s="5">
        <v>168</v>
      </c>
      <c r="E100" s="51">
        <f t="shared" si="2"/>
        <v>14.095536413469073</v>
      </c>
      <c r="F100" s="36">
        <f t="shared" si="3"/>
        <v>2.9560185185185175E-3</v>
      </c>
    </row>
    <row r="101" spans="1:6">
      <c r="A101" s="68">
        <v>36963.87222222222</v>
      </c>
      <c r="B101" s="12">
        <v>5</v>
      </c>
      <c r="C101" s="37">
        <v>1.4999999999999999E-2</v>
      </c>
      <c r="D101" s="5">
        <v>166</v>
      </c>
      <c r="E101" s="51">
        <f t="shared" si="2"/>
        <v>14.195583596214513</v>
      </c>
      <c r="F101" s="36">
        <f t="shared" si="3"/>
        <v>2.9351851851851848E-3</v>
      </c>
    </row>
    <row r="102" spans="1:6">
      <c r="A102" s="68">
        <v>36963.87222222222</v>
      </c>
      <c r="B102" s="12">
        <v>6</v>
      </c>
      <c r="C102" s="37">
        <v>1.788773148148148E-2</v>
      </c>
      <c r="D102" s="5">
        <v>172</v>
      </c>
      <c r="E102" s="51">
        <f t="shared" si="2"/>
        <v>14.428857715430865</v>
      </c>
      <c r="F102" s="36">
        <f t="shared" si="3"/>
        <v>2.8877314814814807E-3</v>
      </c>
    </row>
    <row r="103" spans="1:6">
      <c r="A103" s="68">
        <v>36963.87222222222</v>
      </c>
      <c r="B103" s="12">
        <v>6.35</v>
      </c>
      <c r="C103" s="37">
        <v>1.8839120370370371E-2</v>
      </c>
      <c r="D103" s="5">
        <v>174</v>
      </c>
      <c r="E103" s="51">
        <f t="shared" si="2"/>
        <v>15.328467153284629</v>
      </c>
      <c r="F103" s="36">
        <f t="shared" si="3"/>
        <v>2.7182539682539756E-3</v>
      </c>
    </row>
    <row r="104" spans="1:6">
      <c r="A104" s="68">
        <v>36963.87222222222</v>
      </c>
      <c r="B104" s="12">
        <v>7.35</v>
      </c>
      <c r="C104" s="37">
        <v>2.1798611111111112E-2</v>
      </c>
      <c r="D104" s="5">
        <v>173</v>
      </c>
      <c r="E104" s="51">
        <f t="shared" si="2"/>
        <v>14.078998826750093</v>
      </c>
      <c r="F104" s="36">
        <f t="shared" si="3"/>
        <v>2.9594907407407421E-3</v>
      </c>
    </row>
    <row r="105" spans="1:6">
      <c r="A105" s="68">
        <v>36963.87222222222</v>
      </c>
      <c r="B105" s="12">
        <v>8.35</v>
      </c>
      <c r="C105" s="37">
        <v>2.4673611111111115E-2</v>
      </c>
      <c r="D105" s="5">
        <v>175</v>
      </c>
      <c r="E105" s="51">
        <f t="shared" si="2"/>
        <v>14.492753623188394</v>
      </c>
      <c r="F105" s="36">
        <f t="shared" si="3"/>
        <v>2.8750000000000021E-3</v>
      </c>
    </row>
    <row r="106" spans="1:6">
      <c r="A106" s="68">
        <v>36963.87222222222</v>
      </c>
      <c r="B106" s="12">
        <v>9.35</v>
      </c>
      <c r="C106" s="37">
        <v>2.754513888888889E-2</v>
      </c>
      <c r="D106" s="5">
        <v>176</v>
      </c>
      <c r="E106" s="51">
        <f t="shared" si="2"/>
        <v>14.51027811366386</v>
      </c>
      <c r="F106" s="36">
        <f t="shared" si="3"/>
        <v>2.8715277777777749E-3</v>
      </c>
    </row>
    <row r="107" spans="1:6">
      <c r="A107" s="68">
        <v>36963.87222222222</v>
      </c>
      <c r="B107" s="12">
        <v>10.35</v>
      </c>
      <c r="C107" s="37">
        <v>3.0402777777777779E-2</v>
      </c>
      <c r="D107" s="5">
        <v>177</v>
      </c>
      <c r="E107" s="51">
        <f t="shared" si="2"/>
        <v>14.580801944106927</v>
      </c>
      <c r="F107" s="36">
        <f t="shared" si="3"/>
        <v>2.8576388888888883E-3</v>
      </c>
    </row>
    <row r="108" spans="1:6">
      <c r="A108" s="68">
        <v>36963.87222222222</v>
      </c>
      <c r="B108" s="12">
        <v>11.35</v>
      </c>
      <c r="C108" s="37">
        <v>3.3305555555555554E-2</v>
      </c>
      <c r="D108" s="5">
        <v>179</v>
      </c>
      <c r="E108" s="51">
        <f t="shared" si="2"/>
        <v>14.354066985645947</v>
      </c>
      <c r="F108" s="36">
        <f t="shared" si="3"/>
        <v>2.902777777777775E-3</v>
      </c>
    </row>
    <row r="109" spans="1:6">
      <c r="A109" s="68">
        <v>36963.87222222222</v>
      </c>
      <c r="B109" s="12">
        <v>12.35</v>
      </c>
      <c r="C109" s="37">
        <v>3.6091435185185185E-2</v>
      </c>
      <c r="D109" s="5">
        <v>181</v>
      </c>
      <c r="E109" s="51">
        <f t="shared" si="2"/>
        <v>14.956377233070203</v>
      </c>
      <c r="F109" s="36">
        <f t="shared" si="3"/>
        <v>2.7858796296296312E-3</v>
      </c>
    </row>
    <row r="110" spans="1:6">
      <c r="D110" s="5"/>
      <c r="E110" s="51"/>
      <c r="F110" s="36"/>
    </row>
    <row r="111" spans="1:6">
      <c r="A111" s="68">
        <v>36965.723611111112</v>
      </c>
      <c r="B111" s="12">
        <v>1</v>
      </c>
      <c r="C111" s="37">
        <v>2.724537037037037E-3</v>
      </c>
      <c r="D111" s="5">
        <v>159</v>
      </c>
      <c r="E111" s="51">
        <f t="shared" si="2"/>
        <v>15.293118096856416</v>
      </c>
      <c r="F111" s="36">
        <f t="shared" si="3"/>
        <v>2.724537037037037E-3</v>
      </c>
    </row>
    <row r="112" spans="1:6">
      <c r="A112" s="68">
        <v>36965.723611111112</v>
      </c>
      <c r="B112" s="12">
        <v>2</v>
      </c>
      <c r="C112" s="37">
        <v>5.3854166666666668E-3</v>
      </c>
      <c r="D112" s="5">
        <v>170</v>
      </c>
      <c r="E112" s="51">
        <f t="shared" si="2"/>
        <v>15.658982166159198</v>
      </c>
      <c r="F112" s="36">
        <f t="shared" si="3"/>
        <v>2.6608796296296298E-3</v>
      </c>
    </row>
    <row r="113" spans="1:6">
      <c r="A113" s="68">
        <v>36965.723611111112</v>
      </c>
      <c r="B113" s="12">
        <v>3</v>
      </c>
      <c r="C113" s="37">
        <v>8.1157407407407411E-3</v>
      </c>
      <c r="D113" s="5">
        <v>173</v>
      </c>
      <c r="E113" s="51">
        <f t="shared" si="2"/>
        <v>15.260703688003391</v>
      </c>
      <c r="F113" s="36">
        <f t="shared" si="3"/>
        <v>2.7303240740740743E-3</v>
      </c>
    </row>
    <row r="114" spans="1:6">
      <c r="A114" s="68">
        <v>36965.723611111112</v>
      </c>
      <c r="B114" s="12">
        <v>4</v>
      </c>
      <c r="C114" s="37">
        <v>1.0856481481481481E-2</v>
      </c>
      <c r="D114" s="5">
        <v>174</v>
      </c>
      <c r="E114" s="51">
        <f t="shared" si="2"/>
        <v>15.202702702702709</v>
      </c>
      <c r="F114" s="36">
        <f t="shared" si="3"/>
        <v>2.7407407407407398E-3</v>
      </c>
    </row>
    <row r="115" spans="1:6">
      <c r="A115" s="68">
        <v>36965.723611111112</v>
      </c>
      <c r="B115" s="12">
        <v>5</v>
      </c>
      <c r="C115" s="37">
        <v>1.3614583333333333E-2</v>
      </c>
      <c r="D115" s="5">
        <v>174</v>
      </c>
      <c r="E115" s="51">
        <f t="shared" si="2"/>
        <v>15.107007973143096</v>
      </c>
      <c r="F115" s="36">
        <f t="shared" si="3"/>
        <v>2.7581018518518523E-3</v>
      </c>
    </row>
    <row r="116" spans="1:6">
      <c r="A116" s="68">
        <v>36965.723611111112</v>
      </c>
      <c r="B116" s="12">
        <v>6</v>
      </c>
      <c r="C116" s="37">
        <v>1.6449074074074074E-2</v>
      </c>
      <c r="D116" s="5">
        <v>176</v>
      </c>
      <c r="E116" s="51">
        <f t="shared" si="2"/>
        <v>14.69987750102082</v>
      </c>
      <c r="F116" s="36">
        <f t="shared" si="3"/>
        <v>2.8344907407407416E-3</v>
      </c>
    </row>
    <row r="117" spans="1:6">
      <c r="A117" s="68">
        <v>36965.723611111112</v>
      </c>
      <c r="B117" s="12">
        <v>7</v>
      </c>
      <c r="C117" s="37">
        <v>1.9278935185185187E-2</v>
      </c>
      <c r="D117" s="5">
        <v>176</v>
      </c>
      <c r="E117" s="51">
        <f t="shared" si="2"/>
        <v>14.72392638036809</v>
      </c>
      <c r="F117" s="36">
        <f t="shared" si="3"/>
        <v>2.8298611111111129E-3</v>
      </c>
    </row>
    <row r="118" spans="1:6">
      <c r="A118" s="68">
        <v>36965.723611111112</v>
      </c>
      <c r="B118" s="12">
        <v>8</v>
      </c>
      <c r="C118" s="37">
        <v>2.2021990740740741E-2</v>
      </c>
      <c r="D118" s="5">
        <v>179</v>
      </c>
      <c r="E118" s="51">
        <f t="shared" si="2"/>
        <v>15.189873417721527</v>
      </c>
      <c r="F118" s="36">
        <f t="shared" si="3"/>
        <v>2.7430555555555541E-3</v>
      </c>
    </row>
    <row r="119" spans="1:6">
      <c r="A119" s="68">
        <v>36965.723611111112</v>
      </c>
      <c r="B119" s="12">
        <v>9</v>
      </c>
      <c r="C119" s="37">
        <v>2.4866898148148145E-2</v>
      </c>
      <c r="D119" s="5">
        <v>179</v>
      </c>
      <c r="E119" s="51">
        <f t="shared" si="2"/>
        <v>14.646053702196927</v>
      </c>
      <c r="F119" s="36">
        <f t="shared" si="3"/>
        <v>2.8449074074074036E-3</v>
      </c>
    </row>
    <row r="120" spans="1:6">
      <c r="A120" s="68">
        <v>36965.723611111112</v>
      </c>
      <c r="B120" s="12">
        <v>10</v>
      </c>
      <c r="C120" s="37">
        <v>2.7532407407407408E-2</v>
      </c>
      <c r="D120" s="5">
        <v>180</v>
      </c>
      <c r="E120" s="51">
        <f t="shared" ref="E120:E150" si="4">(B120-B119)/((C120-C119)*24)</f>
        <v>15.631784628745091</v>
      </c>
      <c r="F120" s="36">
        <f t="shared" si="3"/>
        <v>2.6655092592592637E-3</v>
      </c>
    </row>
    <row r="121" spans="1:6">
      <c r="D121" s="5"/>
      <c r="E121" s="51"/>
      <c r="F121" s="36"/>
    </row>
    <row r="122" spans="1:6">
      <c r="A122" s="68">
        <v>36977.732638888891</v>
      </c>
      <c r="B122" s="12">
        <v>1</v>
      </c>
      <c r="C122" s="37">
        <v>2.6631944444444442E-3</v>
      </c>
      <c r="D122" s="5">
        <v>161</v>
      </c>
      <c r="E122" s="51">
        <f t="shared" si="4"/>
        <v>15.645371577574968</v>
      </c>
      <c r="F122" s="36">
        <f t="shared" si="3"/>
        <v>2.6631944444444446E-3</v>
      </c>
    </row>
    <row r="123" spans="1:6">
      <c r="A123" s="68">
        <v>36977.732638888891</v>
      </c>
      <c r="B123" s="12">
        <v>2</v>
      </c>
      <c r="C123" s="37">
        <v>5.2835648148148147E-3</v>
      </c>
      <c r="D123" s="5">
        <v>174</v>
      </c>
      <c r="E123" s="51">
        <f t="shared" si="4"/>
        <v>15.901060070671376</v>
      </c>
      <c r="F123" s="36">
        <f t="shared" si="3"/>
        <v>2.620370370370371E-3</v>
      </c>
    </row>
    <row r="124" spans="1:6">
      <c r="A124" s="68">
        <v>36977.732638888891</v>
      </c>
      <c r="B124" s="12">
        <v>3</v>
      </c>
      <c r="C124" s="37">
        <v>7.9479166666666674E-3</v>
      </c>
      <c r="D124" s="5">
        <v>177</v>
      </c>
      <c r="E124" s="51">
        <f t="shared" si="4"/>
        <v>15.638575152041696</v>
      </c>
      <c r="F124" s="36">
        <f t="shared" si="3"/>
        <v>2.6643518518518531E-3</v>
      </c>
    </row>
    <row r="125" spans="1:6">
      <c r="A125" s="68">
        <v>36977.732638888891</v>
      </c>
      <c r="B125" s="12">
        <v>4</v>
      </c>
      <c r="C125" s="37">
        <v>1.0574074074074074E-2</v>
      </c>
      <c r="D125" s="5">
        <v>180</v>
      </c>
      <c r="E125" s="51">
        <f t="shared" si="4"/>
        <v>15.866020273248131</v>
      </c>
      <c r="F125" s="36">
        <f t="shared" si="3"/>
        <v>2.6261574074074069E-3</v>
      </c>
    </row>
    <row r="126" spans="1:6">
      <c r="A126" s="68">
        <v>36977.732638888891</v>
      </c>
      <c r="B126" s="12">
        <v>5</v>
      </c>
      <c r="C126" s="37">
        <v>1.3231481481481483E-2</v>
      </c>
      <c r="D126" s="5">
        <v>181</v>
      </c>
      <c r="E126" s="51">
        <f t="shared" si="4"/>
        <v>15.679442508710794</v>
      </c>
      <c r="F126" s="36">
        <f t="shared" si="3"/>
        <v>2.6574074074074087E-3</v>
      </c>
    </row>
    <row r="127" spans="1:6">
      <c r="A127" s="68">
        <v>36977.732638888891</v>
      </c>
      <c r="B127" s="12">
        <v>6</v>
      </c>
      <c r="C127" s="37">
        <v>1.5855324074074074E-2</v>
      </c>
      <c r="D127" s="5">
        <v>184</v>
      </c>
      <c r="E127" s="51">
        <f t="shared" si="4"/>
        <v>15.88001764446406</v>
      </c>
      <c r="F127" s="36">
        <f t="shared" si="3"/>
        <v>2.6238425925925908E-3</v>
      </c>
    </row>
    <row r="128" spans="1:6">
      <c r="D128" s="5"/>
      <c r="E128" s="51"/>
      <c r="F128" s="36"/>
    </row>
    <row r="129" spans="1:6">
      <c r="A129" s="68">
        <v>36979.879861111112</v>
      </c>
      <c r="B129" s="12">
        <v>1</v>
      </c>
      <c r="C129" s="37">
        <v>3.1226851851851854E-3</v>
      </c>
      <c r="D129" s="5">
        <v>142</v>
      </c>
      <c r="E129" s="51">
        <f t="shared" si="4"/>
        <v>13.343217197924387</v>
      </c>
      <c r="F129" s="36">
        <f t="shared" si="3"/>
        <v>3.1226851851851858E-3</v>
      </c>
    </row>
    <row r="130" spans="1:6">
      <c r="A130" s="68">
        <v>36979.879861111112</v>
      </c>
      <c r="B130" s="12">
        <v>2</v>
      </c>
      <c r="C130" s="37">
        <v>6.1354166666666675E-3</v>
      </c>
      <c r="D130" s="5">
        <v>156</v>
      </c>
      <c r="E130" s="51">
        <f t="shared" si="4"/>
        <v>13.830195927775641</v>
      </c>
      <c r="F130" s="36">
        <f t="shared" si="3"/>
        <v>3.0127314814814821E-3</v>
      </c>
    </row>
    <row r="131" spans="1:6">
      <c r="A131" s="68">
        <v>36979.879861111112</v>
      </c>
      <c r="B131" s="12">
        <v>3</v>
      </c>
      <c r="C131" s="37">
        <v>9.19212962962963E-3</v>
      </c>
      <c r="D131" s="5">
        <v>161</v>
      </c>
      <c r="E131" s="51">
        <f t="shared" si="4"/>
        <v>13.631200302915564</v>
      </c>
      <c r="F131" s="36">
        <f t="shared" ref="F131:F194" si="5">1/(E131*24)</f>
        <v>3.0567129629629625E-3</v>
      </c>
    </row>
    <row r="132" spans="1:6">
      <c r="A132" s="68">
        <v>36979.879861111112</v>
      </c>
      <c r="B132" s="12">
        <v>5</v>
      </c>
      <c r="C132" s="37">
        <v>1.5503472222222222E-2</v>
      </c>
      <c r="D132" s="5">
        <v>160</v>
      </c>
      <c r="E132" s="51">
        <f t="shared" si="4"/>
        <v>13.20374105996699</v>
      </c>
      <c r="F132" s="36">
        <f t="shared" si="5"/>
        <v>3.1556712962962962E-3</v>
      </c>
    </row>
    <row r="133" spans="1:6">
      <c r="A133" s="68">
        <v>36979.879861111112</v>
      </c>
      <c r="B133" s="12">
        <v>6</v>
      </c>
      <c r="C133" s="37">
        <v>1.8628472222222223E-2</v>
      </c>
      <c r="D133" s="5">
        <v>162</v>
      </c>
      <c r="E133" s="51">
        <f t="shared" si="4"/>
        <v>13.333333333333329</v>
      </c>
      <c r="F133" s="36">
        <f t="shared" si="5"/>
        <v>3.125000000000001E-3</v>
      </c>
    </row>
    <row r="134" spans="1:6">
      <c r="A134" s="68">
        <v>36979.879861111112</v>
      </c>
      <c r="B134" s="12">
        <v>6.35</v>
      </c>
      <c r="C134" s="37">
        <v>1.9762731481481482E-2</v>
      </c>
      <c r="D134" s="5">
        <v>162</v>
      </c>
      <c r="E134" s="51">
        <f t="shared" si="4"/>
        <v>12.857142857142852</v>
      </c>
      <c r="F134" s="36">
        <f t="shared" si="5"/>
        <v>3.2407407407407419E-3</v>
      </c>
    </row>
    <row r="135" spans="1:6">
      <c r="A135" s="68">
        <v>36979.879861111112</v>
      </c>
      <c r="B135" s="12">
        <v>7.35</v>
      </c>
      <c r="C135" s="37">
        <v>2.3015046296296294E-2</v>
      </c>
      <c r="D135" s="5">
        <v>161</v>
      </c>
      <c r="E135" s="51">
        <f t="shared" si="4"/>
        <v>12.811387900355882</v>
      </c>
      <c r="F135" s="36">
        <f t="shared" si="5"/>
        <v>3.252314814814812E-3</v>
      </c>
    </row>
    <row r="136" spans="1:6">
      <c r="A136" s="68">
        <v>36979.879861111112</v>
      </c>
      <c r="B136" s="12">
        <v>8.35</v>
      </c>
      <c r="C136" s="37">
        <v>2.6216435185185183E-2</v>
      </c>
      <c r="D136" s="5">
        <v>161</v>
      </c>
      <c r="E136" s="51">
        <f t="shared" si="4"/>
        <v>13.015184381778742</v>
      </c>
      <c r="F136" s="36">
        <f t="shared" si="5"/>
        <v>3.2013888888888886E-3</v>
      </c>
    </row>
    <row r="137" spans="1:6">
      <c r="A137" s="68">
        <v>36979.879861111112</v>
      </c>
      <c r="B137" s="12">
        <v>9.35</v>
      </c>
      <c r="C137" s="37">
        <v>2.9524305555555557E-2</v>
      </c>
      <c r="D137" s="5">
        <v>161</v>
      </c>
      <c r="E137" s="51">
        <f t="shared" si="4"/>
        <v>12.596221133659887</v>
      </c>
      <c r="F137" s="36">
        <f t="shared" si="5"/>
        <v>3.3078703703703746E-3</v>
      </c>
    </row>
    <row r="138" spans="1:6">
      <c r="A138" s="68">
        <v>36979.879861111112</v>
      </c>
      <c r="B138" s="12">
        <v>10.35</v>
      </c>
      <c r="C138" s="37">
        <v>3.2789351851851854E-2</v>
      </c>
      <c r="D138" s="5">
        <v>160</v>
      </c>
      <c r="E138" s="51">
        <f t="shared" si="4"/>
        <v>12.761432116270823</v>
      </c>
      <c r="F138" s="36">
        <f t="shared" si="5"/>
        <v>3.2650462962962971E-3</v>
      </c>
    </row>
    <row r="139" spans="1:6">
      <c r="A139" s="68">
        <v>36979.879861111112</v>
      </c>
      <c r="B139" s="12">
        <v>11.35</v>
      </c>
      <c r="C139" s="37">
        <v>3.6018518518518519E-2</v>
      </c>
      <c r="D139" s="5">
        <v>160</v>
      </c>
      <c r="E139" s="51">
        <f t="shared" si="4"/>
        <v>12.903225806451619</v>
      </c>
      <c r="F139" s="36">
        <f t="shared" si="5"/>
        <v>3.2291666666666649E-3</v>
      </c>
    </row>
    <row r="140" spans="1:6">
      <c r="A140" s="68">
        <v>36979.879861111112</v>
      </c>
      <c r="B140" s="12">
        <v>12.35</v>
      </c>
      <c r="C140" s="37">
        <v>3.9217592592592596E-2</v>
      </c>
      <c r="D140" s="5">
        <v>161</v>
      </c>
      <c r="E140" s="51">
        <f t="shared" si="4"/>
        <v>13.024602026049195</v>
      </c>
      <c r="F140" s="36">
        <f t="shared" si="5"/>
        <v>3.1990740740740764E-3</v>
      </c>
    </row>
    <row r="141" spans="1:6">
      <c r="D141" s="5"/>
      <c r="E141" s="51"/>
      <c r="F141" s="36"/>
    </row>
    <row r="142" spans="1:6">
      <c r="A142" s="68">
        <v>36988.626388888886</v>
      </c>
      <c r="B142" s="12">
        <v>1</v>
      </c>
      <c r="C142" s="37">
        <v>2.8287037037037035E-3</v>
      </c>
      <c r="D142" s="5">
        <v>152</v>
      </c>
      <c r="E142" s="51">
        <f t="shared" si="4"/>
        <v>14.729950900163667</v>
      </c>
      <c r="F142" s="36">
        <f t="shared" si="5"/>
        <v>2.8287037037037035E-3</v>
      </c>
    </row>
    <row r="143" spans="1:6">
      <c r="A143" s="68">
        <v>36988.626388888886</v>
      </c>
      <c r="B143" s="12">
        <v>2</v>
      </c>
      <c r="C143" s="37">
        <v>5.5520833333333333E-3</v>
      </c>
      <c r="D143" s="5">
        <v>164</v>
      </c>
      <c r="E143" s="51">
        <f t="shared" si="4"/>
        <v>15.299617509562259</v>
      </c>
      <c r="F143" s="36">
        <f t="shared" si="5"/>
        <v>2.7233796296296303E-3</v>
      </c>
    </row>
    <row r="144" spans="1:6">
      <c r="A144" s="68">
        <v>36988.626388888886</v>
      </c>
      <c r="B144" s="12">
        <v>3</v>
      </c>
      <c r="C144" s="37">
        <v>8.261574074074074E-3</v>
      </c>
      <c r="D144" s="5">
        <v>168</v>
      </c>
      <c r="E144" s="51">
        <f t="shared" si="4"/>
        <v>15.378043571123454</v>
      </c>
      <c r="F144" s="36">
        <f t="shared" si="5"/>
        <v>2.7094907407407402E-3</v>
      </c>
    </row>
    <row r="145" spans="1:6">
      <c r="A145" s="68">
        <v>36988.626388888886</v>
      </c>
      <c r="B145" s="12">
        <v>4</v>
      </c>
      <c r="C145" s="37">
        <v>1.0980324074074075E-2</v>
      </c>
      <c r="D145" s="5">
        <v>171</v>
      </c>
      <c r="E145" s="51">
        <f t="shared" si="4"/>
        <v>15.325670498084287</v>
      </c>
      <c r="F145" s="36">
        <f t="shared" si="5"/>
        <v>2.7187500000000007E-3</v>
      </c>
    </row>
    <row r="146" spans="1:6">
      <c r="A146" s="68">
        <v>36988.626388888886</v>
      </c>
      <c r="B146" s="12">
        <v>5</v>
      </c>
      <c r="C146" s="37">
        <v>1.3717592592592594E-2</v>
      </c>
      <c r="D146" s="5">
        <v>172</v>
      </c>
      <c r="E146" s="51">
        <f t="shared" si="4"/>
        <v>15.221987315010567</v>
      </c>
      <c r="F146" s="36">
        <f t="shared" si="5"/>
        <v>2.7372685185185191E-3</v>
      </c>
    </row>
    <row r="147" spans="1:6">
      <c r="A147" s="68">
        <v>36988.626388888886</v>
      </c>
      <c r="B147" s="12">
        <v>6</v>
      </c>
      <c r="C147" s="37">
        <v>1.6486111111111111E-2</v>
      </c>
      <c r="D147" s="5">
        <v>176</v>
      </c>
      <c r="E147" s="51">
        <f t="shared" si="4"/>
        <v>15.050167224080274</v>
      </c>
      <c r="F147" s="36">
        <f t="shared" si="5"/>
        <v>2.7685185185185174E-3</v>
      </c>
    </row>
    <row r="148" spans="1:6">
      <c r="A148" s="68">
        <v>36988.626388888886</v>
      </c>
      <c r="B148" s="12">
        <v>7</v>
      </c>
      <c r="C148" s="37">
        <v>1.9258101851851849E-2</v>
      </c>
      <c r="D148" s="5">
        <v>178</v>
      </c>
      <c r="E148" s="51">
        <f t="shared" si="4"/>
        <v>15.031315240083522</v>
      </c>
      <c r="F148" s="36">
        <f t="shared" si="5"/>
        <v>2.7719907407407381E-3</v>
      </c>
    </row>
    <row r="149" spans="1:6">
      <c r="A149" s="68">
        <v>36988.626388888886</v>
      </c>
      <c r="B149" s="12">
        <v>8</v>
      </c>
      <c r="C149" s="37">
        <v>2.1975694444444444E-2</v>
      </c>
      <c r="D149" s="5">
        <v>177</v>
      </c>
      <c r="E149" s="51">
        <f t="shared" si="4"/>
        <v>15.332197614991472</v>
      </c>
      <c r="F149" s="36">
        <f t="shared" si="5"/>
        <v>2.7175925925925944E-3</v>
      </c>
    </row>
    <row r="150" spans="1:6">
      <c r="A150" s="68">
        <v>36988.626388888886</v>
      </c>
      <c r="B150" s="12">
        <v>9</v>
      </c>
      <c r="C150" s="37">
        <v>2.4704861111111115E-2</v>
      </c>
      <c r="D150" s="5">
        <v>180</v>
      </c>
      <c r="E150" s="51">
        <f t="shared" si="4"/>
        <v>15.267175572519058</v>
      </c>
      <c r="F150" s="36">
        <f t="shared" si="5"/>
        <v>2.7291666666666714E-3</v>
      </c>
    </row>
    <row r="151" spans="1:6">
      <c r="A151" s="68">
        <v>36988.626388888886</v>
      </c>
      <c r="B151" s="12">
        <v>10</v>
      </c>
      <c r="C151" s="37">
        <v>2.755671296296296E-2</v>
      </c>
      <c r="D151" s="5">
        <v>181</v>
      </c>
      <c r="E151" s="51">
        <f>(B151-B150)/((C151-C150)*24)</f>
        <v>14.610389610389646</v>
      </c>
      <c r="F151" s="36">
        <f t="shared" si="5"/>
        <v>2.851851851851845E-3</v>
      </c>
    </row>
    <row r="152" spans="1:6">
      <c r="E152" s="51"/>
      <c r="F152" s="36"/>
    </row>
    <row r="153" spans="1:6">
      <c r="A153" s="68">
        <v>37030.434027777781</v>
      </c>
      <c r="B153" s="12">
        <v>1</v>
      </c>
      <c r="C153" s="37">
        <v>3.3217592592592591E-3</v>
      </c>
      <c r="D153" s="8">
        <v>146</v>
      </c>
      <c r="E153" s="51">
        <f>(B153-B152)/((C153-C152)*24)</f>
        <v>12.543554006968641</v>
      </c>
      <c r="F153" s="36">
        <f t="shared" si="5"/>
        <v>3.3217592592592591E-3</v>
      </c>
    </row>
    <row r="154" spans="1:6">
      <c r="A154" s="68">
        <v>37030.434027777781</v>
      </c>
      <c r="B154" s="12">
        <v>2</v>
      </c>
      <c r="C154" s="37">
        <v>6.6226851851851854E-3</v>
      </c>
      <c r="D154" s="8">
        <v>152</v>
      </c>
      <c r="E154" s="51">
        <f>(B154-B153)/((C154-C153)*24)</f>
        <v>12.622720897615705</v>
      </c>
      <c r="F154" s="36">
        <f t="shared" si="5"/>
        <v>3.3009259259259268E-3</v>
      </c>
    </row>
    <row r="155" spans="1:6">
      <c r="A155" s="68">
        <v>37030.434027777781</v>
      </c>
      <c r="B155" s="12">
        <v>3</v>
      </c>
      <c r="C155" s="37">
        <v>1.0025462962962963E-2</v>
      </c>
      <c r="D155" s="32">
        <v>154</v>
      </c>
      <c r="E155" s="51">
        <f t="shared" ref="E155:E177" si="6">(B155-B154)/((C155-C154)*24)</f>
        <v>12.244897959183673</v>
      </c>
      <c r="F155" s="36">
        <f t="shared" si="5"/>
        <v>3.402777777777778E-3</v>
      </c>
    </row>
    <row r="156" spans="1:6">
      <c r="A156" s="68">
        <v>37030.434027777781</v>
      </c>
      <c r="B156" s="12">
        <v>4</v>
      </c>
      <c r="C156" s="37">
        <v>1.3336805555555555E-2</v>
      </c>
      <c r="D156" s="32">
        <v>157</v>
      </c>
      <c r="E156" s="51">
        <f t="shared" si="6"/>
        <v>12.583012932541074</v>
      </c>
      <c r="F156" s="36">
        <f t="shared" si="5"/>
        <v>3.3113425925925914E-3</v>
      </c>
    </row>
    <row r="157" spans="1:6">
      <c r="A157" s="68">
        <v>37030.434027777781</v>
      </c>
      <c r="B157" s="12">
        <v>5</v>
      </c>
      <c r="C157" s="37">
        <v>1.6685185185185185E-2</v>
      </c>
      <c r="D157" s="32">
        <v>159</v>
      </c>
      <c r="E157" s="51">
        <f t="shared" si="6"/>
        <v>12.44382993432423</v>
      </c>
      <c r="F157" s="36">
        <f t="shared" si="5"/>
        <v>3.34837962962963E-3</v>
      </c>
    </row>
    <row r="158" spans="1:6">
      <c r="A158" s="68">
        <v>37030.434027777781</v>
      </c>
      <c r="B158" s="12">
        <v>6</v>
      </c>
      <c r="C158" s="37">
        <v>2.0106481481481482E-2</v>
      </c>
      <c r="D158" s="32">
        <v>161</v>
      </c>
      <c r="E158" s="51">
        <f t="shared" si="6"/>
        <v>12.178619756427601</v>
      </c>
      <c r="F158" s="36">
        <f t="shared" si="5"/>
        <v>3.4212962962962973E-3</v>
      </c>
    </row>
    <row r="159" spans="1:6">
      <c r="A159" s="68">
        <v>37030.434027777781</v>
      </c>
      <c r="B159" s="12">
        <v>6.35</v>
      </c>
      <c r="C159" s="37">
        <v>2.1277777777777781E-2</v>
      </c>
      <c r="D159" s="32">
        <v>161</v>
      </c>
      <c r="E159" s="51">
        <f t="shared" si="6"/>
        <v>12.450592885375455</v>
      </c>
      <c r="F159" s="36">
        <f t="shared" si="5"/>
        <v>3.3465608465608572E-3</v>
      </c>
    </row>
    <row r="160" spans="1:6">
      <c r="A160" s="68">
        <v>37030.434027777781</v>
      </c>
      <c r="B160" s="12">
        <v>7.35</v>
      </c>
      <c r="C160" s="37">
        <v>2.4638888888888887E-2</v>
      </c>
      <c r="D160" s="32">
        <v>163</v>
      </c>
      <c r="E160" s="51">
        <f t="shared" si="6"/>
        <v>12.396694214876051</v>
      </c>
      <c r="F160" s="36">
        <f t="shared" si="5"/>
        <v>3.361111111111106E-3</v>
      </c>
    </row>
    <row r="161" spans="1:6">
      <c r="A161" s="68">
        <v>37030.434027777781</v>
      </c>
      <c r="B161" s="12">
        <v>8.35</v>
      </c>
      <c r="C161" s="37">
        <v>2.7943287037037037E-2</v>
      </c>
      <c r="D161" s="32">
        <v>166</v>
      </c>
      <c r="E161" s="51">
        <f t="shared" si="6"/>
        <v>12.609457092819607</v>
      </c>
      <c r="F161" s="36">
        <f t="shared" si="5"/>
        <v>3.3043981481481505E-3</v>
      </c>
    </row>
    <row r="162" spans="1:6">
      <c r="A162" s="68">
        <v>37030.434027777781</v>
      </c>
      <c r="B162" s="12">
        <v>9.35</v>
      </c>
      <c r="C162" s="37">
        <v>3.1267361111111107E-2</v>
      </c>
      <c r="D162" s="32">
        <v>167</v>
      </c>
      <c r="E162" s="51">
        <f t="shared" si="6"/>
        <v>12.534818941504195</v>
      </c>
      <c r="F162" s="36">
        <f t="shared" si="5"/>
        <v>3.32407407407407E-3</v>
      </c>
    </row>
    <row r="163" spans="1:6">
      <c r="A163" s="68">
        <v>37030.434027777781</v>
      </c>
      <c r="B163" s="12">
        <v>10.35</v>
      </c>
      <c r="C163" s="37">
        <v>3.4469907407407414E-2</v>
      </c>
      <c r="D163" s="32">
        <v>169</v>
      </c>
      <c r="E163" s="51">
        <f t="shared" si="6"/>
        <v>13.010480664980077</v>
      </c>
      <c r="F163" s="36">
        <f t="shared" si="5"/>
        <v>3.2025462962963075E-3</v>
      </c>
    </row>
    <row r="164" spans="1:6">
      <c r="A164" s="68">
        <v>37030.434027777781</v>
      </c>
      <c r="B164" s="12">
        <v>11.35</v>
      </c>
      <c r="C164" s="37">
        <v>3.7630787037037032E-2</v>
      </c>
      <c r="D164" s="32">
        <v>171</v>
      </c>
      <c r="E164" s="51">
        <f t="shared" si="6"/>
        <v>13.181984621017993</v>
      </c>
      <c r="F164" s="36">
        <f t="shared" si="5"/>
        <v>3.1608796296296172E-3</v>
      </c>
    </row>
    <row r="165" spans="1:6">
      <c r="A165" s="68">
        <v>37030.434027777781</v>
      </c>
      <c r="B165" s="12">
        <v>12.35</v>
      </c>
      <c r="C165" s="37">
        <v>4.0773148148148149E-2</v>
      </c>
      <c r="D165" s="32">
        <v>174</v>
      </c>
      <c r="E165" s="51">
        <f t="shared" si="6"/>
        <v>13.25966850828727</v>
      </c>
      <c r="F165" s="36">
        <f t="shared" si="5"/>
        <v>3.1423611111111166E-3</v>
      </c>
    </row>
    <row r="166" spans="1:6">
      <c r="A166" s="68">
        <v>37030.434027777781</v>
      </c>
      <c r="B166" s="12">
        <v>12.7</v>
      </c>
      <c r="C166" s="37">
        <v>4.1863425925925929E-2</v>
      </c>
      <c r="D166" s="32">
        <v>173</v>
      </c>
      <c r="E166" s="51">
        <f t="shared" si="6"/>
        <v>13.375796178343904</v>
      </c>
      <c r="F166" s="36">
        <f t="shared" si="5"/>
        <v>3.1150793650793753E-3</v>
      </c>
    </row>
    <row r="167" spans="1:6">
      <c r="E167" s="51"/>
      <c r="F167" s="36"/>
    </row>
    <row r="168" spans="1:6">
      <c r="A168" s="68">
        <v>37031.474999999999</v>
      </c>
      <c r="B168" s="12">
        <v>1</v>
      </c>
      <c r="C168" s="37">
        <v>2.9212962962962964E-3</v>
      </c>
      <c r="D168" s="32">
        <v>152</v>
      </c>
      <c r="E168" s="51">
        <f t="shared" si="6"/>
        <v>14.263074484944532</v>
      </c>
      <c r="F168" s="36">
        <f t="shared" si="5"/>
        <v>2.9212962962962964E-3</v>
      </c>
    </row>
    <row r="169" spans="1:6">
      <c r="A169" s="68">
        <v>37031.474999999999</v>
      </c>
      <c r="B169" s="12">
        <v>2</v>
      </c>
      <c r="C169" s="37">
        <v>5.726851851851851E-3</v>
      </c>
      <c r="D169" s="32">
        <v>165</v>
      </c>
      <c r="E169" s="51">
        <f t="shared" si="6"/>
        <v>14.851485148514856</v>
      </c>
      <c r="F169" s="36">
        <f t="shared" si="5"/>
        <v>2.8055555555555546E-3</v>
      </c>
    </row>
    <row r="170" spans="1:6">
      <c r="A170" s="68">
        <v>37031.474999999999</v>
      </c>
      <c r="B170" s="12">
        <v>3</v>
      </c>
      <c r="C170" s="37">
        <v>8.5763888888888886E-3</v>
      </c>
      <c r="D170" s="32">
        <v>167</v>
      </c>
      <c r="E170" s="51">
        <f t="shared" si="6"/>
        <v>14.622258326563767</v>
      </c>
      <c r="F170" s="36">
        <f t="shared" si="5"/>
        <v>2.8495370370370376E-3</v>
      </c>
    </row>
    <row r="171" spans="1:6">
      <c r="A171" s="68">
        <v>37031.474999999999</v>
      </c>
      <c r="B171" s="12">
        <v>4</v>
      </c>
      <c r="C171" s="37">
        <v>1.1414351851851851E-2</v>
      </c>
      <c r="D171" s="32">
        <v>168</v>
      </c>
      <c r="E171" s="51">
        <f t="shared" si="6"/>
        <v>14.681892332789563</v>
      </c>
      <c r="F171" s="36">
        <f t="shared" si="5"/>
        <v>2.8379629629629623E-3</v>
      </c>
    </row>
    <row r="172" spans="1:6">
      <c r="A172" s="68">
        <v>37031.474999999999</v>
      </c>
      <c r="B172" s="12">
        <v>5</v>
      </c>
      <c r="C172" s="37">
        <v>1.4284722222222221E-2</v>
      </c>
      <c r="D172" s="32">
        <v>170</v>
      </c>
      <c r="E172" s="51">
        <f t="shared" si="6"/>
        <v>14.516129032258064</v>
      </c>
      <c r="F172" s="36">
        <f t="shared" si="5"/>
        <v>2.8703703703703703E-3</v>
      </c>
    </row>
    <row r="173" spans="1:6">
      <c r="A173" s="68">
        <v>37031.474999999999</v>
      </c>
      <c r="B173" s="12">
        <v>6</v>
      </c>
      <c r="C173" s="37">
        <v>1.7131944444444446E-2</v>
      </c>
      <c r="D173" s="32">
        <v>173</v>
      </c>
      <c r="E173" s="51">
        <f t="shared" si="6"/>
        <v>14.634146341463401</v>
      </c>
      <c r="F173" s="36">
        <f t="shared" si="5"/>
        <v>2.8472222222222249E-3</v>
      </c>
    </row>
    <row r="174" spans="1:6">
      <c r="A174" s="68">
        <v>37031.474999999999</v>
      </c>
      <c r="B174" s="12">
        <v>7</v>
      </c>
      <c r="C174" s="37">
        <v>2.0020833333333331E-2</v>
      </c>
      <c r="D174" s="32">
        <v>172</v>
      </c>
      <c r="E174" s="51">
        <f t="shared" si="6"/>
        <v>14.423076923076941</v>
      </c>
      <c r="F174" s="36">
        <f t="shared" si="5"/>
        <v>2.8888888888888853E-3</v>
      </c>
    </row>
    <row r="175" spans="1:6">
      <c r="A175" s="68">
        <v>37031.474999999999</v>
      </c>
      <c r="B175" s="12">
        <v>8</v>
      </c>
      <c r="C175" s="37">
        <v>2.3121527777777779E-2</v>
      </c>
      <c r="D175" s="32">
        <v>171</v>
      </c>
      <c r="E175" s="51">
        <f t="shared" si="6"/>
        <v>13.437849944008946</v>
      </c>
      <c r="F175" s="36">
        <f t="shared" si="5"/>
        <v>3.1006944444444476E-3</v>
      </c>
    </row>
    <row r="176" spans="1:6">
      <c r="A176" s="68">
        <v>37031.474999999999</v>
      </c>
      <c r="B176" s="12">
        <v>10</v>
      </c>
      <c r="C176" s="37">
        <v>2.9587962962962965E-2</v>
      </c>
      <c r="D176" s="32">
        <v>166</v>
      </c>
      <c r="E176" s="51">
        <f t="shared" si="6"/>
        <v>12.887059244675136</v>
      </c>
      <c r="F176" s="36">
        <f t="shared" si="5"/>
        <v>3.2332175925925931E-3</v>
      </c>
    </row>
    <row r="177" spans="1:6">
      <c r="A177" s="68">
        <v>37031.474999999999</v>
      </c>
      <c r="B177" s="12">
        <v>10.26</v>
      </c>
      <c r="C177" s="37">
        <v>3.0410879629629628E-2</v>
      </c>
      <c r="D177" s="32">
        <v>167</v>
      </c>
      <c r="E177" s="51">
        <f t="shared" si="6"/>
        <v>13.164556962025369</v>
      </c>
      <c r="F177" s="36">
        <f t="shared" si="5"/>
        <v>3.1650641025640905E-3</v>
      </c>
    </row>
    <row r="178" spans="1:6">
      <c r="A178" s="68" t="s">
        <v>33</v>
      </c>
      <c r="F178" s="36"/>
    </row>
    <row r="179" spans="1:6">
      <c r="A179" s="68">
        <v>37032.872916666667</v>
      </c>
      <c r="B179" s="12">
        <v>1</v>
      </c>
      <c r="C179" s="37">
        <v>2.6886574074074074E-3</v>
      </c>
      <c r="D179" s="32">
        <v>152</v>
      </c>
      <c r="E179" s="51">
        <f>(B179-B178)/((C179-C178)*24)</f>
        <v>15.497201894102453</v>
      </c>
      <c r="F179" s="36">
        <f t="shared" si="5"/>
        <v>2.6886574074074074E-3</v>
      </c>
    </row>
    <row r="180" spans="1:6">
      <c r="A180" s="68">
        <v>37032.872916666667</v>
      </c>
      <c r="B180" s="12">
        <v>2</v>
      </c>
      <c r="C180" s="37">
        <v>5.431712962962962E-3</v>
      </c>
      <c r="D180" s="32">
        <v>165</v>
      </c>
      <c r="E180" s="51">
        <f>(B180-B179)/((C180-C179)*24)</f>
        <v>15.189873417721524</v>
      </c>
      <c r="F180" s="36">
        <f t="shared" si="5"/>
        <v>2.7430555555555546E-3</v>
      </c>
    </row>
    <row r="181" spans="1:6">
      <c r="A181" s="68">
        <v>37032.872916666667</v>
      </c>
      <c r="B181" s="12">
        <v>3</v>
      </c>
      <c r="C181" s="37">
        <v>8.2800925925925924E-3</v>
      </c>
      <c r="D181" s="32">
        <v>166</v>
      </c>
      <c r="E181" s="51">
        <f t="shared" ref="E181:E192" si="7">(B181-B180)/((C181-C180)*24)</f>
        <v>14.62819991873222</v>
      </c>
      <c r="F181" s="36">
        <f t="shared" si="5"/>
        <v>2.8483796296296304E-3</v>
      </c>
    </row>
    <row r="182" spans="1:6">
      <c r="A182" s="68">
        <v>37032.872916666667</v>
      </c>
      <c r="B182" s="12">
        <v>4</v>
      </c>
      <c r="C182" s="37">
        <v>1.1164351851851854E-2</v>
      </c>
      <c r="D182" s="32">
        <v>167</v>
      </c>
      <c r="E182" s="51">
        <f t="shared" si="7"/>
        <v>14.446227929373984</v>
      </c>
      <c r="F182" s="36">
        <f t="shared" si="5"/>
        <v>2.8842592592592618E-3</v>
      </c>
    </row>
    <row r="183" spans="1:6">
      <c r="A183" s="68">
        <v>37032.872916666667</v>
      </c>
      <c r="B183" s="12">
        <v>5</v>
      </c>
      <c r="C183" s="37">
        <v>1.4094907407407408E-2</v>
      </c>
      <c r="D183" s="32">
        <v>168</v>
      </c>
      <c r="E183" s="51">
        <f t="shared" si="7"/>
        <v>14.218009478672991</v>
      </c>
      <c r="F183" s="36">
        <f t="shared" si="5"/>
        <v>2.9305555555555543E-3</v>
      </c>
    </row>
    <row r="184" spans="1:6">
      <c r="A184" s="68">
        <v>37032.872916666667</v>
      </c>
      <c r="B184" s="12">
        <v>6</v>
      </c>
      <c r="C184" s="37">
        <v>1.7037037037037038E-2</v>
      </c>
      <c r="D184" s="32">
        <v>164</v>
      </c>
      <c r="E184" s="51">
        <f t="shared" si="7"/>
        <v>14.162077104642014</v>
      </c>
      <c r="F184" s="36">
        <f t="shared" si="5"/>
        <v>2.9421296296296296E-3</v>
      </c>
    </row>
    <row r="185" spans="1:6">
      <c r="A185" s="68">
        <v>37032.872916666667</v>
      </c>
      <c r="B185" s="12">
        <v>6.35</v>
      </c>
      <c r="C185" s="37">
        <v>1.8023148148148146E-2</v>
      </c>
      <c r="D185" s="32">
        <v>168</v>
      </c>
      <c r="E185" s="51">
        <f t="shared" si="7"/>
        <v>14.788732394366233</v>
      </c>
      <c r="F185" s="36">
        <f t="shared" si="5"/>
        <v>2.8174603174603106E-3</v>
      </c>
    </row>
    <row r="186" spans="1:6">
      <c r="A186" s="68">
        <v>37032.872916666667</v>
      </c>
      <c r="B186" s="12">
        <v>7.35</v>
      </c>
      <c r="C186" s="37">
        <v>2.1053240740740744E-2</v>
      </c>
      <c r="D186" s="32">
        <v>167</v>
      </c>
      <c r="E186" s="51">
        <f t="shared" si="7"/>
        <v>13.750954927425491</v>
      </c>
      <c r="F186" s="36">
        <f t="shared" si="5"/>
        <v>3.0300925925925977E-3</v>
      </c>
    </row>
    <row r="187" spans="1:6">
      <c r="A187" s="68">
        <v>37032.872916666667</v>
      </c>
      <c r="B187" s="12">
        <v>8.35</v>
      </c>
      <c r="C187" s="37">
        <v>2.3956018518518519E-2</v>
      </c>
      <c r="D187" s="32">
        <v>167</v>
      </c>
      <c r="E187" s="51">
        <f t="shared" si="7"/>
        <v>14.354066985645947</v>
      </c>
      <c r="F187" s="36">
        <f t="shared" si="5"/>
        <v>2.902777777777775E-3</v>
      </c>
    </row>
    <row r="188" spans="1:6">
      <c r="A188" s="68">
        <v>37032.872916666667</v>
      </c>
      <c r="B188" s="12">
        <v>9.35</v>
      </c>
      <c r="C188" s="37">
        <v>2.6906249999999996E-2</v>
      </c>
      <c r="D188" s="32">
        <v>167</v>
      </c>
      <c r="E188" s="51">
        <f t="shared" si="7"/>
        <v>14.123185562965888</v>
      </c>
      <c r="F188" s="36">
        <f t="shared" si="5"/>
        <v>2.9502314814814773E-3</v>
      </c>
    </row>
    <row r="189" spans="1:6">
      <c r="A189" s="68">
        <v>37032.872916666667</v>
      </c>
      <c r="B189" s="12">
        <v>10.35</v>
      </c>
      <c r="C189" s="37">
        <v>2.9834490740740741E-2</v>
      </c>
      <c r="D189" s="32">
        <v>166</v>
      </c>
      <c r="E189" s="51">
        <f t="shared" si="7"/>
        <v>14.229249011857686</v>
      </c>
      <c r="F189" s="36">
        <f t="shared" si="5"/>
        <v>2.9282407407407456E-3</v>
      </c>
    </row>
    <row r="190" spans="1:6">
      <c r="A190" s="68">
        <v>37032.872916666667</v>
      </c>
      <c r="B190" s="12">
        <v>11.35</v>
      </c>
      <c r="C190" s="37">
        <v>3.2768518518518523E-2</v>
      </c>
      <c r="D190" s="32">
        <v>164</v>
      </c>
      <c r="E190" s="51">
        <f t="shared" si="7"/>
        <v>14.201183431952643</v>
      </c>
      <c r="F190" s="36">
        <f t="shared" si="5"/>
        <v>2.9340277777777819E-3</v>
      </c>
    </row>
    <row r="191" spans="1:6">
      <c r="A191" s="68">
        <v>37032.872916666667</v>
      </c>
      <c r="B191" s="12">
        <v>12.35</v>
      </c>
      <c r="C191" s="37">
        <v>3.5716435185185184E-2</v>
      </c>
      <c r="D191" s="32">
        <v>166</v>
      </c>
      <c r="E191" s="51">
        <f t="shared" si="7"/>
        <v>14.134275618374584</v>
      </c>
      <c r="F191" s="36">
        <f t="shared" si="5"/>
        <v>2.9479166666666616E-3</v>
      </c>
    </row>
    <row r="192" spans="1:6">
      <c r="A192" s="68">
        <v>37032.872916666667</v>
      </c>
      <c r="B192" s="12">
        <v>12.7</v>
      </c>
      <c r="C192" s="37">
        <v>3.6679398148148148E-2</v>
      </c>
      <c r="D192" s="32">
        <v>164</v>
      </c>
      <c r="E192" s="51">
        <f t="shared" si="7"/>
        <v>15.144230769230736</v>
      </c>
      <c r="F192" s="36">
        <f t="shared" si="5"/>
        <v>2.7513227513227575E-3</v>
      </c>
    </row>
    <row r="193" spans="1:6">
      <c r="F193" s="36"/>
    </row>
    <row r="194" spans="1:6">
      <c r="A194" s="68">
        <v>37037.73541666667</v>
      </c>
      <c r="B194" s="12">
        <v>1</v>
      </c>
      <c r="C194" s="37">
        <v>2.8819444444444444E-3</v>
      </c>
      <c r="D194" s="32">
        <v>147</v>
      </c>
      <c r="E194" s="51">
        <f t="shared" ref="E194:E235" si="8">(B194-B193)/((C194-C193)*24)</f>
        <v>14.457831325301205</v>
      </c>
      <c r="F194" s="36">
        <f t="shared" si="5"/>
        <v>2.8819444444444444E-3</v>
      </c>
    </row>
    <row r="195" spans="1:6">
      <c r="A195" s="68">
        <v>37037.73541666667</v>
      </c>
      <c r="B195" s="12">
        <v>2</v>
      </c>
      <c r="C195" s="37">
        <v>5.5891203703703702E-3</v>
      </c>
      <c r="D195" s="32">
        <v>160</v>
      </c>
      <c r="E195" s="51">
        <f t="shared" si="8"/>
        <v>15.391192817443352</v>
      </c>
      <c r="F195" s="36">
        <f t="shared" ref="F195:F226" si="9">1/(E195*24)</f>
        <v>2.7071759259259258E-3</v>
      </c>
    </row>
    <row r="196" spans="1:6">
      <c r="A196" s="68">
        <v>37037.73541666667</v>
      </c>
      <c r="B196" s="12">
        <v>3</v>
      </c>
      <c r="C196" s="37">
        <v>8.3032407407407412E-3</v>
      </c>
      <c r="D196" s="32">
        <v>164</v>
      </c>
      <c r="E196" s="51">
        <f t="shared" si="8"/>
        <v>15.351812366737734</v>
      </c>
      <c r="F196" s="36">
        <f t="shared" si="9"/>
        <v>2.7141203703703711E-3</v>
      </c>
    </row>
    <row r="197" spans="1:6">
      <c r="A197" s="68">
        <v>37037.73541666667</v>
      </c>
      <c r="B197" s="12">
        <v>4</v>
      </c>
      <c r="C197" s="37">
        <v>1.0983796296296297E-2</v>
      </c>
      <c r="D197" s="32">
        <v>168</v>
      </c>
      <c r="E197" s="51">
        <f t="shared" si="8"/>
        <v>15.5440414507772</v>
      </c>
      <c r="F197" s="36">
        <f t="shared" si="9"/>
        <v>2.6805555555555558E-3</v>
      </c>
    </row>
    <row r="198" spans="1:6">
      <c r="A198" s="68">
        <v>37037.73541666667</v>
      </c>
      <c r="B198" s="12">
        <v>5</v>
      </c>
      <c r="C198" s="37">
        <v>1.3737268518518518E-2</v>
      </c>
      <c r="D198" s="32">
        <v>169</v>
      </c>
      <c r="E198" s="51">
        <f t="shared" si="8"/>
        <v>15.13240857503153</v>
      </c>
      <c r="F198" s="36">
        <f t="shared" si="9"/>
        <v>2.7534722222222218E-3</v>
      </c>
    </row>
    <row r="199" spans="1:6">
      <c r="A199" s="68">
        <v>37037.73541666667</v>
      </c>
      <c r="B199" s="12">
        <v>6</v>
      </c>
      <c r="C199" s="37">
        <v>1.6467592592592593E-2</v>
      </c>
      <c r="D199" s="32">
        <v>173</v>
      </c>
      <c r="E199" s="51">
        <f t="shared" si="8"/>
        <v>15.260703688003391</v>
      </c>
      <c r="F199" s="36">
        <f t="shared" si="9"/>
        <v>2.7303240740740743E-3</v>
      </c>
    </row>
    <row r="200" spans="1:6">
      <c r="A200" s="68">
        <v>37037.73541666667</v>
      </c>
      <c r="B200" s="12">
        <v>7</v>
      </c>
      <c r="C200" s="37">
        <v>1.9285879629629629E-2</v>
      </c>
      <c r="D200" s="32">
        <v>173</v>
      </c>
      <c r="E200" s="51">
        <f t="shared" si="8"/>
        <v>14.784394250513353</v>
      </c>
      <c r="F200" s="36">
        <f t="shared" si="9"/>
        <v>2.8182870370370358E-3</v>
      </c>
    </row>
    <row r="201" spans="1:6">
      <c r="A201" s="68">
        <v>37037.73541666667</v>
      </c>
      <c r="B201" s="12">
        <v>8</v>
      </c>
      <c r="C201" s="37">
        <v>2.2108796296296297E-2</v>
      </c>
      <c r="D201" s="32">
        <v>174</v>
      </c>
      <c r="E201" s="51">
        <f t="shared" si="8"/>
        <v>14.760147601476008</v>
      </c>
      <c r="F201" s="36">
        <f t="shared" si="9"/>
        <v>2.8229166666666676E-3</v>
      </c>
    </row>
    <row r="202" spans="1:6">
      <c r="A202" s="68">
        <v>37037.73541666667</v>
      </c>
      <c r="B202" s="12">
        <v>9</v>
      </c>
      <c r="C202" s="37">
        <v>2.497337962962963E-2</v>
      </c>
      <c r="D202" s="32">
        <v>175</v>
      </c>
      <c r="E202" s="51">
        <f t="shared" si="8"/>
        <v>14.545454545454545</v>
      </c>
      <c r="F202" s="36">
        <f t="shared" si="9"/>
        <v>2.8645833333333336E-3</v>
      </c>
    </row>
    <row r="203" spans="1:6">
      <c r="A203" s="68">
        <v>37037.73541666667</v>
      </c>
      <c r="B203" s="12">
        <v>10</v>
      </c>
      <c r="C203" s="37">
        <v>2.7716435185185188E-2</v>
      </c>
      <c r="D203" s="32">
        <v>177</v>
      </c>
      <c r="E203" s="51">
        <f t="shared" si="8"/>
        <v>15.189873417721508</v>
      </c>
      <c r="F203" s="36">
        <f t="shared" si="9"/>
        <v>2.7430555555555576E-3</v>
      </c>
    </row>
    <row r="204" spans="1:6">
      <c r="E204" s="51"/>
      <c r="F204" s="36"/>
    </row>
    <row r="205" spans="1:6">
      <c r="A205" s="68">
        <v>37038.865277777775</v>
      </c>
      <c r="B205" s="12">
        <v>1</v>
      </c>
      <c r="C205" s="37">
        <v>2.7835648148148151E-3</v>
      </c>
      <c r="D205" s="32">
        <v>148</v>
      </c>
      <c r="E205" s="51">
        <f t="shared" si="8"/>
        <v>14.968814968814968</v>
      </c>
      <c r="F205" s="36">
        <f t="shared" si="9"/>
        <v>2.7835648148148151E-3</v>
      </c>
    </row>
    <row r="206" spans="1:6">
      <c r="A206" s="68">
        <v>37038.865277777775</v>
      </c>
      <c r="B206" s="12">
        <v>2</v>
      </c>
      <c r="C206" s="37">
        <v>5.4733796296296301E-3</v>
      </c>
      <c r="D206" s="32">
        <v>162</v>
      </c>
      <c r="E206" s="51">
        <f t="shared" si="8"/>
        <v>15.490533562822717</v>
      </c>
      <c r="F206" s="36">
        <f t="shared" si="9"/>
        <v>2.6898148148148155E-3</v>
      </c>
    </row>
    <row r="207" spans="1:6">
      <c r="A207" s="68">
        <v>37038.865277777775</v>
      </c>
      <c r="B207" s="12">
        <v>3</v>
      </c>
      <c r="C207" s="37">
        <v>8.2118055555555555E-3</v>
      </c>
      <c r="D207" s="32">
        <v>165</v>
      </c>
      <c r="E207" s="51">
        <f t="shared" si="8"/>
        <v>15.215553677092142</v>
      </c>
      <c r="F207" s="36">
        <f t="shared" si="9"/>
        <v>2.7384259259259254E-3</v>
      </c>
    </row>
    <row r="208" spans="1:6">
      <c r="A208" s="68">
        <v>37038.865277777775</v>
      </c>
      <c r="B208" s="12">
        <v>4</v>
      </c>
      <c r="C208" s="37">
        <v>1.0980324074074075E-2</v>
      </c>
      <c r="D208" s="32">
        <v>167</v>
      </c>
      <c r="E208" s="51">
        <f t="shared" si="8"/>
        <v>15.050167224080264</v>
      </c>
      <c r="F208" s="36">
        <f t="shared" si="9"/>
        <v>2.7685185185185191E-3</v>
      </c>
    </row>
    <row r="209" spans="1:6">
      <c r="A209" s="68">
        <v>37038.865277777775</v>
      </c>
      <c r="B209" s="12">
        <v>5</v>
      </c>
      <c r="C209" s="37">
        <v>1.3712962962962962E-2</v>
      </c>
      <c r="D209" s="32">
        <v>167</v>
      </c>
      <c r="E209" s="51">
        <f t="shared" si="8"/>
        <v>15.247776365946644</v>
      </c>
      <c r="F209" s="36">
        <f t="shared" si="9"/>
        <v>2.7326388888888869E-3</v>
      </c>
    </row>
    <row r="210" spans="1:6">
      <c r="A210" s="68">
        <v>37038.865277777775</v>
      </c>
      <c r="B210" s="12">
        <v>6</v>
      </c>
      <c r="C210" s="37">
        <v>1.6546296296296299E-2</v>
      </c>
      <c r="D210" s="32">
        <v>166</v>
      </c>
      <c r="E210" s="51">
        <f t="shared" si="8"/>
        <v>14.705882352941158</v>
      </c>
      <c r="F210" s="36">
        <f t="shared" si="9"/>
        <v>2.833333333333337E-3</v>
      </c>
    </row>
    <row r="211" spans="1:6">
      <c r="A211" s="68">
        <v>37038.865277777775</v>
      </c>
      <c r="B211" s="12">
        <v>6.35</v>
      </c>
      <c r="C211" s="37">
        <v>1.7574074074074072E-2</v>
      </c>
      <c r="D211" s="32">
        <v>156</v>
      </c>
      <c r="E211" s="51">
        <f t="shared" si="8"/>
        <v>14.189189189189237</v>
      </c>
      <c r="F211" s="36">
        <f t="shared" si="9"/>
        <v>2.9365079365079264E-3</v>
      </c>
    </row>
    <row r="212" spans="1:6">
      <c r="E212" s="51"/>
      <c r="F212" s="36"/>
    </row>
    <row r="213" spans="1:6">
      <c r="A213" s="68">
        <v>37040.879861111112</v>
      </c>
      <c r="B213" s="12">
        <v>1</v>
      </c>
      <c r="C213" s="37">
        <v>2.8449074074074075E-3</v>
      </c>
      <c r="D213" s="32">
        <v>150</v>
      </c>
      <c r="E213" s="51">
        <f t="shared" si="8"/>
        <v>14.646053702196907</v>
      </c>
      <c r="F213" s="36">
        <f t="shared" si="9"/>
        <v>2.8449074074074075E-3</v>
      </c>
    </row>
    <row r="214" spans="1:6">
      <c r="A214" s="68">
        <v>37040.879861111112</v>
      </c>
      <c r="B214" s="12">
        <v>2</v>
      </c>
      <c r="C214" s="37">
        <v>5.564814814814815E-3</v>
      </c>
      <c r="D214" s="32">
        <v>162</v>
      </c>
      <c r="E214" s="51">
        <f t="shared" si="8"/>
        <v>15.319148936170212</v>
      </c>
      <c r="F214" s="36">
        <f t="shared" si="9"/>
        <v>2.7199074074074074E-3</v>
      </c>
    </row>
    <row r="215" spans="1:6">
      <c r="A215" s="68">
        <v>37040.879861111112</v>
      </c>
      <c r="B215" s="12">
        <v>3</v>
      </c>
      <c r="C215" s="37">
        <v>8.3020833333333332E-3</v>
      </c>
      <c r="D215" s="32">
        <v>166</v>
      </c>
      <c r="E215" s="51">
        <f t="shared" si="8"/>
        <v>15.221987315010571</v>
      </c>
      <c r="F215" s="36">
        <f t="shared" si="9"/>
        <v>2.7372685185185187E-3</v>
      </c>
    </row>
    <row r="216" spans="1:6">
      <c r="A216" s="68">
        <v>37040.879861111112</v>
      </c>
      <c r="B216" s="12">
        <v>4</v>
      </c>
      <c r="C216" s="37">
        <v>1.108449074074074E-2</v>
      </c>
      <c r="D216" s="32">
        <v>166</v>
      </c>
      <c r="E216" s="51">
        <f t="shared" si="8"/>
        <v>14.975041597337773</v>
      </c>
      <c r="F216" s="36">
        <f t="shared" si="9"/>
        <v>2.7824074074074066E-3</v>
      </c>
    </row>
    <row r="217" spans="1:6">
      <c r="A217" s="68">
        <v>37040.879861111112</v>
      </c>
      <c r="B217" s="12">
        <v>5</v>
      </c>
      <c r="C217" s="37">
        <v>1.3899305555555555E-2</v>
      </c>
      <c r="D217" s="32">
        <v>167</v>
      </c>
      <c r="E217" s="51">
        <f t="shared" si="8"/>
        <v>14.802631578947366</v>
      </c>
      <c r="F217" s="36">
        <f t="shared" si="9"/>
        <v>2.8148148148148156E-3</v>
      </c>
    </row>
    <row r="218" spans="1:6">
      <c r="A218" s="68">
        <v>37040.879861111112</v>
      </c>
      <c r="B218" s="12">
        <v>6</v>
      </c>
      <c r="C218" s="37">
        <v>1.6737268518518519E-2</v>
      </c>
      <c r="D218" s="32">
        <v>166</v>
      </c>
      <c r="E218" s="51">
        <f t="shared" si="8"/>
        <v>14.681892332789554</v>
      </c>
      <c r="F218" s="36">
        <f t="shared" si="9"/>
        <v>2.837962962962964E-3</v>
      </c>
    </row>
    <row r="219" spans="1:6">
      <c r="A219" s="68">
        <v>37040.879861111112</v>
      </c>
      <c r="B219" s="12">
        <v>6.35</v>
      </c>
      <c r="C219" s="37">
        <v>1.7704861111111112E-2</v>
      </c>
      <c r="D219" s="32">
        <v>167</v>
      </c>
      <c r="E219" s="51">
        <f t="shared" si="8"/>
        <v>15.07177033492821</v>
      </c>
      <c r="F219" s="36">
        <f t="shared" si="9"/>
        <v>2.7645502645502681E-3</v>
      </c>
    </row>
    <row r="220" spans="1:6">
      <c r="A220" s="68">
        <v>37040.879861111112</v>
      </c>
      <c r="B220" s="12">
        <v>7.35</v>
      </c>
      <c r="C220" s="37">
        <v>2.0587962962962964E-2</v>
      </c>
      <c r="D220" s="32">
        <v>167</v>
      </c>
      <c r="E220" s="51">
        <f t="shared" si="8"/>
        <v>14.452027298273785</v>
      </c>
      <c r="F220" s="36">
        <f t="shared" si="9"/>
        <v>2.883101851851852E-3</v>
      </c>
    </row>
    <row r="221" spans="1:6">
      <c r="A221" s="68">
        <v>37040.879861111112</v>
      </c>
      <c r="B221" s="12">
        <v>8.35</v>
      </c>
      <c r="C221" s="37">
        <v>2.3186342592592595E-2</v>
      </c>
      <c r="D221" s="32">
        <v>172</v>
      </c>
      <c r="E221" s="51">
        <f t="shared" si="8"/>
        <v>16.035634743875271</v>
      </c>
      <c r="F221" s="36">
        <f t="shared" si="9"/>
        <v>2.598379629629631E-3</v>
      </c>
    </row>
    <row r="222" spans="1:6">
      <c r="A222" s="68">
        <v>37040.879861111112</v>
      </c>
      <c r="B222" s="12">
        <v>9.35</v>
      </c>
      <c r="C222" s="37">
        <v>2.5870370370370366E-2</v>
      </c>
      <c r="D222" s="32">
        <v>173</v>
      </c>
      <c r="E222" s="51">
        <f t="shared" si="8"/>
        <v>15.523932729624876</v>
      </c>
      <c r="F222" s="36">
        <f t="shared" si="9"/>
        <v>2.6840277777777713E-3</v>
      </c>
    </row>
    <row r="223" spans="1:6">
      <c r="A223" s="68">
        <v>37040.879861111112</v>
      </c>
      <c r="B223" s="12">
        <v>10.35</v>
      </c>
      <c r="C223" s="37">
        <v>2.8658564814814814E-2</v>
      </c>
      <c r="D223" s="32">
        <v>169</v>
      </c>
      <c r="E223" s="51">
        <f t="shared" si="8"/>
        <v>14.943960149439587</v>
      </c>
      <c r="F223" s="36">
        <f t="shared" si="9"/>
        <v>2.7881944444444473E-3</v>
      </c>
    </row>
    <row r="224" spans="1:6">
      <c r="A224" s="68">
        <v>37040.879861111112</v>
      </c>
      <c r="B224" s="12">
        <v>11.35</v>
      </c>
      <c r="C224" s="37">
        <v>3.1391203703703706E-2</v>
      </c>
      <c r="D224" s="32">
        <v>172</v>
      </c>
      <c r="E224" s="51">
        <f t="shared" si="8"/>
        <v>15.247776365946615</v>
      </c>
      <c r="F224" s="36">
        <f t="shared" si="9"/>
        <v>2.7326388888888921E-3</v>
      </c>
    </row>
    <row r="225" spans="1:6">
      <c r="A225" s="68">
        <v>37040.879861111112</v>
      </c>
      <c r="B225" s="12">
        <v>12.35</v>
      </c>
      <c r="C225" s="37">
        <v>3.3993055555555561E-2</v>
      </c>
      <c r="D225" s="32">
        <v>176</v>
      </c>
      <c r="E225" s="51">
        <f t="shared" si="8"/>
        <v>16.014234875444821</v>
      </c>
      <c r="F225" s="36">
        <f t="shared" si="9"/>
        <v>2.6018518518518548E-3</v>
      </c>
    </row>
    <row r="226" spans="1:6">
      <c r="A226" s="68">
        <v>37040.879861111112</v>
      </c>
      <c r="B226" s="12">
        <v>12.7</v>
      </c>
      <c r="C226" s="37">
        <v>3.4924768518518515E-2</v>
      </c>
      <c r="D226" s="32">
        <v>175</v>
      </c>
      <c r="E226" s="51">
        <f t="shared" si="8"/>
        <v>15.652173913043619</v>
      </c>
      <c r="F226" s="36">
        <f t="shared" si="9"/>
        <v>2.6620370370370131E-3</v>
      </c>
    </row>
    <row r="227" spans="1:6">
      <c r="E227" s="51"/>
      <c r="F227" s="36"/>
    </row>
    <row r="228" spans="1:6">
      <c r="A228" s="68">
        <v>37043.81527777778</v>
      </c>
      <c r="B228" s="12">
        <v>2</v>
      </c>
      <c r="C228" s="37">
        <v>5.4363425925925924E-3</v>
      </c>
      <c r="D228" s="32">
        <v>166</v>
      </c>
      <c r="E228" s="51">
        <f t="shared" si="8"/>
        <v>15.328933361720248</v>
      </c>
      <c r="F228" s="36">
        <f>1/(E228*24)</f>
        <v>2.7181712962962962E-3</v>
      </c>
    </row>
    <row r="229" spans="1:6">
      <c r="A229" s="68">
        <v>37043.81527777778</v>
      </c>
      <c r="B229" s="12">
        <v>4</v>
      </c>
      <c r="C229" s="37">
        <v>1.0464120370370372E-2</v>
      </c>
      <c r="D229" s="32">
        <v>175</v>
      </c>
      <c r="E229" s="51">
        <f t="shared" si="8"/>
        <v>16.57458563535911</v>
      </c>
      <c r="F229" s="36">
        <f t="shared" ref="F229:F292" si="10">1/(E229*24)</f>
        <v>2.5138888888888902E-3</v>
      </c>
    </row>
    <row r="230" spans="1:6">
      <c r="A230" s="68">
        <v>37043.81527777778</v>
      </c>
      <c r="B230" s="12">
        <v>6</v>
      </c>
      <c r="C230" s="37">
        <v>1.5835648148148151E-2</v>
      </c>
      <c r="D230" s="32">
        <v>176</v>
      </c>
      <c r="E230" s="51">
        <f t="shared" si="8"/>
        <v>15.513897866839041</v>
      </c>
      <c r="F230" s="36">
        <f t="shared" si="10"/>
        <v>2.6857638888888894E-3</v>
      </c>
    </row>
    <row r="231" spans="1:6">
      <c r="A231" s="68">
        <v>37043.81527777778</v>
      </c>
      <c r="B231" s="12">
        <v>6.47</v>
      </c>
      <c r="C231" s="37">
        <v>1.7217592592592593E-2</v>
      </c>
      <c r="D231" s="32">
        <v>174</v>
      </c>
      <c r="E231" s="51">
        <f t="shared" si="8"/>
        <v>14.170854271356795</v>
      </c>
      <c r="F231" s="36">
        <f t="shared" si="10"/>
        <v>2.9403073286051987E-3</v>
      </c>
    </row>
    <row r="232" spans="1:6">
      <c r="A232" s="68">
        <v>37043.81527777778</v>
      </c>
      <c r="B232" s="12">
        <v>8.4700000000000006</v>
      </c>
      <c r="C232" s="37">
        <v>2.2578703703703708E-2</v>
      </c>
      <c r="D232" s="32">
        <v>177</v>
      </c>
      <c r="E232" s="51">
        <f t="shared" si="8"/>
        <v>15.544041450777197</v>
      </c>
      <c r="F232" s="36">
        <f t="shared" si="10"/>
        <v>2.6805555555555567E-3</v>
      </c>
    </row>
    <row r="233" spans="1:6">
      <c r="A233" s="68">
        <v>37043.81527777778</v>
      </c>
      <c r="B233" s="12">
        <v>10.47</v>
      </c>
      <c r="C233" s="37">
        <v>2.7549768518518519E-2</v>
      </c>
      <c r="D233" s="32">
        <v>181</v>
      </c>
      <c r="E233" s="51">
        <f t="shared" si="8"/>
        <v>16.76367869615834</v>
      </c>
      <c r="F233" s="36">
        <f t="shared" si="10"/>
        <v>2.4855324074074046E-3</v>
      </c>
    </row>
    <row r="234" spans="1:6">
      <c r="A234" s="68">
        <v>37043.81527777778</v>
      </c>
      <c r="B234" s="12">
        <v>12</v>
      </c>
      <c r="C234" s="37">
        <v>3.1650462962962964E-2</v>
      </c>
      <c r="D234" s="32">
        <v>183</v>
      </c>
      <c r="E234" s="51">
        <f t="shared" si="8"/>
        <v>15.546147332768831</v>
      </c>
      <c r="F234" s="36">
        <f t="shared" si="10"/>
        <v>2.6801924473493118E-3</v>
      </c>
    </row>
    <row r="235" spans="1:6">
      <c r="A235" s="68">
        <v>37043.81527777778</v>
      </c>
      <c r="B235" s="12">
        <v>12.47</v>
      </c>
      <c r="C235" s="37">
        <v>3.277199074074074E-2</v>
      </c>
      <c r="D235" s="32">
        <v>184</v>
      </c>
      <c r="E235" s="51">
        <f t="shared" si="8"/>
        <v>17.461300309597561</v>
      </c>
      <c r="F235" s="36">
        <f t="shared" si="10"/>
        <v>2.3862293144207986E-3</v>
      </c>
    </row>
    <row r="236" spans="1:6">
      <c r="E236" s="51"/>
      <c r="F236" s="36"/>
    </row>
    <row r="237" spans="1:6">
      <c r="A237" s="68">
        <v>37049.772222222222</v>
      </c>
      <c r="B237" s="12">
        <v>1</v>
      </c>
      <c r="C237" s="37">
        <v>2.8321759259259259E-3</v>
      </c>
      <c r="D237" s="32">
        <v>147</v>
      </c>
      <c r="E237" s="51">
        <f t="shared" ref="E237:E261" si="11">(B237-B236)/((C237-C236)*24)</f>
        <v>14.711892112791173</v>
      </c>
      <c r="F237" s="36">
        <f t="shared" si="10"/>
        <v>2.8321759259259264E-3</v>
      </c>
    </row>
    <row r="238" spans="1:6">
      <c r="A238" s="68">
        <v>37049.772222222222</v>
      </c>
      <c r="B238" s="12">
        <v>2</v>
      </c>
      <c r="C238" s="37">
        <v>5.8993055555555543E-3</v>
      </c>
      <c r="D238" s="32">
        <v>151</v>
      </c>
      <c r="E238" s="51">
        <f t="shared" si="11"/>
        <v>13.584905660377363</v>
      </c>
      <c r="F238" s="36">
        <f t="shared" si="10"/>
        <v>3.0671296296296284E-3</v>
      </c>
    </row>
    <row r="239" spans="1:6">
      <c r="A239" s="68">
        <v>37049.772222222222</v>
      </c>
      <c r="B239" s="12">
        <v>3</v>
      </c>
      <c r="C239" s="37">
        <v>9.045138888888889E-3</v>
      </c>
      <c r="D239" s="32">
        <v>150</v>
      </c>
      <c r="E239" s="51">
        <f t="shared" si="11"/>
        <v>13.245033112582774</v>
      </c>
      <c r="F239" s="36">
        <f t="shared" si="10"/>
        <v>3.1458333333333351E-3</v>
      </c>
    </row>
    <row r="240" spans="1:6">
      <c r="A240" s="68">
        <v>37049.772222222222</v>
      </c>
      <c r="B240" s="12">
        <v>4</v>
      </c>
      <c r="C240" s="37">
        <v>1.2181712962962964E-2</v>
      </c>
      <c r="D240" s="32">
        <v>150</v>
      </c>
      <c r="E240" s="51">
        <f t="shared" si="11"/>
        <v>13.284132841328411</v>
      </c>
      <c r="F240" s="36">
        <f t="shared" si="10"/>
        <v>3.136574074074075E-3</v>
      </c>
    </row>
    <row r="241" spans="1:6">
      <c r="A241" s="68">
        <v>37049.772222222222</v>
      </c>
      <c r="B241" s="12">
        <v>5</v>
      </c>
      <c r="C241" s="37">
        <v>1.5300925925925926E-2</v>
      </c>
      <c r="D241" s="32">
        <v>152</v>
      </c>
      <c r="E241" s="51">
        <f t="shared" si="11"/>
        <v>13.358070500927646</v>
      </c>
      <c r="F241" s="36">
        <f t="shared" si="10"/>
        <v>3.1192129629629625E-3</v>
      </c>
    </row>
    <row r="242" spans="1:6">
      <c r="A242" s="68">
        <v>37049.772222222222</v>
      </c>
      <c r="B242" s="12">
        <v>6</v>
      </c>
      <c r="C242" s="37">
        <v>1.8547453703703701E-2</v>
      </c>
      <c r="D242" s="32">
        <v>152</v>
      </c>
      <c r="E242" s="51">
        <f t="shared" si="11"/>
        <v>12.834224598930492</v>
      </c>
      <c r="F242" s="36">
        <f t="shared" si="10"/>
        <v>3.2465277777777748E-3</v>
      </c>
    </row>
    <row r="243" spans="1:6">
      <c r="A243" s="68">
        <v>37049.772222222222</v>
      </c>
      <c r="B243" s="12">
        <v>6.35</v>
      </c>
      <c r="C243" s="37">
        <v>1.9623842592592592E-2</v>
      </c>
      <c r="D243" s="32">
        <v>153</v>
      </c>
      <c r="E243" s="51">
        <f t="shared" si="11"/>
        <v>13.548387096774158</v>
      </c>
      <c r="F243" s="36">
        <f t="shared" si="10"/>
        <v>3.0753968253968331E-3</v>
      </c>
    </row>
    <row r="244" spans="1:6">
      <c r="E244" s="51"/>
      <c r="F244" s="36"/>
    </row>
    <row r="245" spans="1:6">
      <c r="A245" s="68">
        <v>37050.713194444441</v>
      </c>
      <c r="B245" s="12">
        <v>1</v>
      </c>
      <c r="C245" s="37">
        <v>2.8900462962962968E-3</v>
      </c>
      <c r="D245" s="32">
        <v>151</v>
      </c>
      <c r="E245" s="51">
        <f t="shared" si="11"/>
        <v>14.417300760913093</v>
      </c>
      <c r="F245" s="36">
        <f t="shared" si="10"/>
        <v>2.8900462962962968E-3</v>
      </c>
    </row>
    <row r="246" spans="1:6">
      <c r="A246" s="68">
        <v>37050.713194444441</v>
      </c>
      <c r="B246" s="12">
        <v>2</v>
      </c>
      <c r="C246" s="37">
        <v>6.0150462962962961E-3</v>
      </c>
      <c r="D246" s="32">
        <v>149</v>
      </c>
      <c r="E246" s="51">
        <f t="shared" si="11"/>
        <v>13.333333333333336</v>
      </c>
      <c r="F246" s="36">
        <f t="shared" si="10"/>
        <v>3.1249999999999993E-3</v>
      </c>
    </row>
    <row r="247" spans="1:6">
      <c r="A247" s="68">
        <v>37050.713194444441</v>
      </c>
      <c r="B247" s="12">
        <v>3</v>
      </c>
      <c r="C247" s="37">
        <v>9.1932870370370363E-3</v>
      </c>
      <c r="D247" s="32">
        <v>152</v>
      </c>
      <c r="E247" s="51">
        <f t="shared" si="11"/>
        <v>13.109978150036419</v>
      </c>
      <c r="F247" s="36">
        <f t="shared" si="10"/>
        <v>3.1782407407407402E-3</v>
      </c>
    </row>
    <row r="248" spans="1:6">
      <c r="A248" s="68">
        <v>37050.713194444441</v>
      </c>
      <c r="B248" s="12">
        <v>4</v>
      </c>
      <c r="C248" s="37">
        <v>1.2358796296296297E-2</v>
      </c>
      <c r="D248" s="32">
        <v>151</v>
      </c>
      <c r="E248" s="51">
        <f t="shared" si="11"/>
        <v>13.162705667276047</v>
      </c>
      <c r="F248" s="36">
        <f t="shared" si="10"/>
        <v>3.1655092592592598E-3</v>
      </c>
    </row>
    <row r="249" spans="1:6">
      <c r="A249" s="68">
        <v>37050.713194444441</v>
      </c>
      <c r="B249" s="12">
        <v>5</v>
      </c>
      <c r="C249" s="37">
        <v>1.5590277777777778E-2</v>
      </c>
      <c r="D249" s="32">
        <v>151</v>
      </c>
      <c r="E249" s="51">
        <f t="shared" si="11"/>
        <v>12.893982808022924</v>
      </c>
      <c r="F249" s="36">
        <f t="shared" si="10"/>
        <v>3.231481481481481E-3</v>
      </c>
    </row>
    <row r="250" spans="1:6">
      <c r="A250" s="68">
        <v>37050.713194444441</v>
      </c>
      <c r="B250" s="12">
        <v>6</v>
      </c>
      <c r="C250" s="37">
        <v>1.8784722222222223E-2</v>
      </c>
      <c r="D250" s="32">
        <v>151</v>
      </c>
      <c r="E250" s="51">
        <f t="shared" si="11"/>
        <v>13.043478260869559</v>
      </c>
      <c r="F250" s="36">
        <f t="shared" si="10"/>
        <v>3.1944444444444464E-3</v>
      </c>
    </row>
    <row r="251" spans="1:6">
      <c r="A251" s="68">
        <v>37050.713194444441</v>
      </c>
      <c r="B251" s="12">
        <v>7</v>
      </c>
      <c r="C251" s="37">
        <v>2.2020833333333333E-2</v>
      </c>
      <c r="D251" s="32">
        <v>152</v>
      </c>
      <c r="E251" s="51">
        <f t="shared" si="11"/>
        <v>12.875536480686701</v>
      </c>
      <c r="F251" s="36">
        <f t="shared" si="10"/>
        <v>3.2361111111111097E-3</v>
      </c>
    </row>
    <row r="252" spans="1:6">
      <c r="A252" s="68">
        <v>37050.713194444441</v>
      </c>
      <c r="B252" s="12">
        <v>8</v>
      </c>
      <c r="C252" s="37">
        <v>2.5295138888888888E-2</v>
      </c>
      <c r="D252" s="32">
        <v>152</v>
      </c>
      <c r="E252" s="51">
        <f t="shared" si="11"/>
        <v>12.725344644750798</v>
      </c>
      <c r="F252" s="36">
        <f t="shared" si="10"/>
        <v>3.2743055555555546E-3</v>
      </c>
    </row>
    <row r="253" spans="1:6">
      <c r="A253" s="68">
        <v>37050.713194444441</v>
      </c>
      <c r="B253" s="12">
        <v>9</v>
      </c>
      <c r="C253" s="37">
        <v>2.8578703703703703E-2</v>
      </c>
      <c r="D253" s="32">
        <v>150</v>
      </c>
      <c r="E253" s="51">
        <f t="shared" si="11"/>
        <v>12.689460697920335</v>
      </c>
      <c r="F253" s="36">
        <f t="shared" si="10"/>
        <v>3.283564814814816E-3</v>
      </c>
    </row>
    <row r="254" spans="1:6">
      <c r="A254" s="68">
        <v>37050.713194444441</v>
      </c>
      <c r="B254" s="12">
        <v>10</v>
      </c>
      <c r="C254" s="37">
        <v>3.1797453703703703E-2</v>
      </c>
      <c r="D254" s="32">
        <v>152</v>
      </c>
      <c r="E254" s="51">
        <f t="shared" si="11"/>
        <v>12.944983818770229</v>
      </c>
      <c r="F254" s="36">
        <f t="shared" si="10"/>
        <v>3.218749999999999E-3</v>
      </c>
    </row>
    <row r="255" spans="1:6">
      <c r="A255" s="68">
        <v>37050.713194444441</v>
      </c>
      <c r="B255" s="12">
        <v>10.26</v>
      </c>
      <c r="C255" s="37">
        <v>3.2667824074074071E-2</v>
      </c>
      <c r="D255" s="32">
        <v>152</v>
      </c>
      <c r="E255" s="51">
        <f t="shared" si="11"/>
        <v>12.446808510638313</v>
      </c>
      <c r="F255" s="36">
        <f t="shared" si="10"/>
        <v>3.3475783475783436E-3</v>
      </c>
    </row>
    <row r="256" spans="1:6">
      <c r="E256" s="51"/>
      <c r="F256" s="36"/>
    </row>
    <row r="257" spans="1:6">
      <c r="A257" s="68" t="s">
        <v>83</v>
      </c>
      <c r="B257" s="12">
        <v>1</v>
      </c>
      <c r="C257" s="37">
        <v>2.9467592592592588E-3</v>
      </c>
      <c r="D257" s="32">
        <v>151</v>
      </c>
      <c r="E257" s="51">
        <f t="shared" si="11"/>
        <v>14.139827179890025</v>
      </c>
      <c r="F257" s="36">
        <f t="shared" si="10"/>
        <v>2.9467592592592592E-3</v>
      </c>
    </row>
    <row r="258" spans="1:6">
      <c r="A258" s="68" t="s">
        <v>83</v>
      </c>
      <c r="B258" s="12">
        <v>2</v>
      </c>
      <c r="C258" s="37">
        <v>6.2291666666666676E-3</v>
      </c>
      <c r="D258" s="32">
        <v>150</v>
      </c>
      <c r="E258" s="51">
        <f t="shared" si="11"/>
        <v>12.69393511988716</v>
      </c>
      <c r="F258" s="36">
        <f t="shared" si="10"/>
        <v>3.2824074074074088E-3</v>
      </c>
    </row>
    <row r="259" spans="1:6">
      <c r="A259" s="68" t="s">
        <v>83</v>
      </c>
      <c r="B259" s="12">
        <v>3</v>
      </c>
      <c r="C259" s="37">
        <v>9.5775462962962958E-3</v>
      </c>
      <c r="D259" s="32">
        <v>150</v>
      </c>
      <c r="E259" s="51">
        <f t="shared" si="11"/>
        <v>12.443829934324237</v>
      </c>
      <c r="F259" s="36">
        <f t="shared" si="10"/>
        <v>3.3483796296296278E-3</v>
      </c>
    </row>
    <row r="260" spans="1:6">
      <c r="A260" s="68" t="s">
        <v>83</v>
      </c>
      <c r="B260" s="12">
        <v>4</v>
      </c>
      <c r="C260" s="37">
        <v>1.2930555555555556E-2</v>
      </c>
      <c r="D260" s="32">
        <v>151</v>
      </c>
      <c r="E260" s="51">
        <f t="shared" si="11"/>
        <v>12.426648256817392</v>
      </c>
      <c r="F260" s="36">
        <f t="shared" si="10"/>
        <v>3.3530092592592609E-3</v>
      </c>
    </row>
    <row r="261" spans="1:6">
      <c r="A261" s="68" t="s">
        <v>83</v>
      </c>
      <c r="B261" s="12">
        <v>6.35</v>
      </c>
      <c r="C261" s="37">
        <v>2.0969907407407406E-2</v>
      </c>
      <c r="D261" s="32">
        <v>149</v>
      </c>
      <c r="E261" s="51">
        <f t="shared" si="11"/>
        <v>12.179671753527211</v>
      </c>
      <c r="F261" s="36">
        <f t="shared" si="10"/>
        <v>3.4210007880220643E-3</v>
      </c>
    </row>
    <row r="262" spans="1:6">
      <c r="E262" s="51"/>
      <c r="F262" s="36"/>
    </row>
    <row r="263" spans="1:6">
      <c r="A263" s="68">
        <v>37058.769444444442</v>
      </c>
      <c r="B263" s="12">
        <v>1</v>
      </c>
      <c r="C263" s="37">
        <v>2.5509259259259257E-3</v>
      </c>
      <c r="D263" s="32">
        <v>163</v>
      </c>
      <c r="E263" s="51">
        <f>(B263-B256)/((C263-C256)*24)</f>
        <v>16.333938294010888</v>
      </c>
      <c r="F263" s="36">
        <f t="shared" si="10"/>
        <v>2.5509259259259261E-3</v>
      </c>
    </row>
    <row r="264" spans="1:6">
      <c r="A264" s="68">
        <v>37058.769444444442</v>
      </c>
      <c r="B264" s="12">
        <v>2</v>
      </c>
      <c r="C264" s="37">
        <v>5.2337962962962963E-3</v>
      </c>
      <c r="D264" s="32">
        <v>175</v>
      </c>
      <c r="E264" s="51">
        <f t="shared" ref="E264:E271" si="12">(B264-B263)/((C264-C263)*24)</f>
        <v>15.530629853321827</v>
      </c>
      <c r="F264" s="36">
        <f t="shared" si="10"/>
        <v>2.6828703703703706E-3</v>
      </c>
    </row>
    <row r="265" spans="1:6">
      <c r="A265" s="68">
        <v>37058.769444444442</v>
      </c>
      <c r="B265" s="12">
        <v>3</v>
      </c>
      <c r="C265" s="37">
        <v>7.9131944444444432E-3</v>
      </c>
      <c r="D265" s="32">
        <v>176</v>
      </c>
      <c r="E265" s="51">
        <f t="shared" si="12"/>
        <v>15.550755939524844</v>
      </c>
      <c r="F265" s="36">
        <f t="shared" si="10"/>
        <v>2.6793981481481473E-3</v>
      </c>
    </row>
    <row r="266" spans="1:6">
      <c r="A266" s="68">
        <v>37058.769444444442</v>
      </c>
      <c r="B266" s="12">
        <v>4</v>
      </c>
      <c r="C266" s="37">
        <v>1.0611111111111111E-2</v>
      </c>
      <c r="D266" s="32">
        <v>179</v>
      </c>
      <c r="E266" s="51">
        <f t="shared" si="12"/>
        <v>15.444015444015436</v>
      </c>
      <c r="F266" s="36">
        <f t="shared" si="10"/>
        <v>2.6979166666666679E-3</v>
      </c>
    </row>
    <row r="267" spans="1:6">
      <c r="A267" s="68">
        <v>37058.769444444442</v>
      </c>
      <c r="B267" s="12">
        <v>5</v>
      </c>
      <c r="C267" s="37">
        <v>1.3332175925925926E-2</v>
      </c>
      <c r="D267" s="32">
        <v>180</v>
      </c>
      <c r="E267" s="51">
        <f t="shared" si="12"/>
        <v>15.312632922160782</v>
      </c>
      <c r="F267" s="36">
        <f t="shared" si="10"/>
        <v>2.7210648148148146E-3</v>
      </c>
    </row>
    <row r="268" spans="1:6">
      <c r="A268" s="68">
        <v>37058.769444444442</v>
      </c>
      <c r="B268" s="12">
        <v>6</v>
      </c>
      <c r="C268" s="37">
        <v>1.6006944444444445E-2</v>
      </c>
      <c r="D268" s="32">
        <v>183</v>
      </c>
      <c r="E268" s="51">
        <f t="shared" si="12"/>
        <v>15.577672003461702</v>
      </c>
      <c r="F268" s="36">
        <f t="shared" si="10"/>
        <v>2.674768518518519E-3</v>
      </c>
    </row>
    <row r="269" spans="1:6">
      <c r="A269" s="68">
        <v>37058.769444444442</v>
      </c>
      <c r="B269" s="12">
        <v>7</v>
      </c>
      <c r="C269" s="37">
        <v>1.8686342592592595E-2</v>
      </c>
      <c r="D269" s="32">
        <v>186</v>
      </c>
      <c r="E269" s="51">
        <f t="shared" si="12"/>
        <v>15.55075593952483</v>
      </c>
      <c r="F269" s="36">
        <f t="shared" si="10"/>
        <v>2.6793981481481499E-3</v>
      </c>
    </row>
    <row r="270" spans="1:6">
      <c r="A270" s="68">
        <v>37058.769444444442</v>
      </c>
      <c r="B270" s="12">
        <v>8</v>
      </c>
      <c r="C270" s="37">
        <v>2.1331018518518517E-2</v>
      </c>
      <c r="D270" s="32">
        <v>188</v>
      </c>
      <c r="E270" s="51">
        <f t="shared" si="12"/>
        <v>15.754923413566765</v>
      </c>
      <c r="F270" s="36">
        <f t="shared" si="10"/>
        <v>2.6446759259259218E-3</v>
      </c>
    </row>
    <row r="271" spans="1:6">
      <c r="A271" s="68">
        <v>37058.769444444442</v>
      </c>
      <c r="B271" s="12">
        <v>9</v>
      </c>
      <c r="C271" s="37">
        <v>2.3905092592592592E-2</v>
      </c>
      <c r="D271" s="32">
        <v>194</v>
      </c>
      <c r="E271" s="51">
        <f t="shared" si="12"/>
        <v>16.18705035971222</v>
      </c>
      <c r="F271" s="36">
        <f t="shared" si="10"/>
        <v>2.5740740740740754E-3</v>
      </c>
    </row>
    <row r="272" spans="1:6">
      <c r="E272" s="51"/>
      <c r="F272" s="36"/>
    </row>
    <row r="273" spans="1:6">
      <c r="A273" s="68">
        <v>37145.472222222219</v>
      </c>
      <c r="B273" s="12">
        <v>1</v>
      </c>
      <c r="C273" s="37">
        <v>3.1111111111111114E-3</v>
      </c>
      <c r="D273" s="32">
        <v>159</v>
      </c>
      <c r="E273" s="51">
        <f t="shared" ref="E273:E279" si="13">(B273-B272)/((C273-C272)*24)</f>
        <v>13.392857142857142</v>
      </c>
      <c r="F273" s="36">
        <f t="shared" si="10"/>
        <v>3.1111111111111109E-3</v>
      </c>
    </row>
    <row r="274" spans="1:6">
      <c r="A274" s="68">
        <v>37145.472222222219</v>
      </c>
      <c r="B274" s="12">
        <v>2</v>
      </c>
      <c r="C274" s="37">
        <v>6.7210648148148143E-3</v>
      </c>
      <c r="D274" s="32">
        <v>163</v>
      </c>
      <c r="E274" s="51">
        <f t="shared" si="13"/>
        <v>11.542160949022124</v>
      </c>
      <c r="F274" s="36">
        <f t="shared" si="10"/>
        <v>3.6099537037037033E-3</v>
      </c>
    </row>
    <row r="275" spans="1:6">
      <c r="A275" s="68">
        <v>37145.472222222219</v>
      </c>
      <c r="B275" s="12">
        <v>3</v>
      </c>
      <c r="C275" s="37">
        <v>1.0489583333333335E-2</v>
      </c>
      <c r="D275" s="32">
        <v>164</v>
      </c>
      <c r="E275" s="51">
        <f t="shared" si="13"/>
        <v>11.05651105651105</v>
      </c>
      <c r="F275" s="36">
        <f t="shared" si="10"/>
        <v>3.7685185185185204E-3</v>
      </c>
    </row>
    <row r="276" spans="1:6">
      <c r="A276" s="68">
        <v>37145.472222222219</v>
      </c>
      <c r="B276" s="12">
        <v>4</v>
      </c>
      <c r="C276" s="37">
        <v>1.4506944444444446E-2</v>
      </c>
      <c r="D276" s="32">
        <v>164</v>
      </c>
      <c r="E276" s="51">
        <f t="shared" si="13"/>
        <v>10.371650821089025</v>
      </c>
      <c r="F276" s="36">
        <f t="shared" si="10"/>
        <v>4.0173611111111104E-3</v>
      </c>
    </row>
    <row r="277" spans="1:6">
      <c r="A277" s="68">
        <v>37145.472222222219</v>
      </c>
      <c r="B277" s="12">
        <v>5</v>
      </c>
      <c r="C277" s="37">
        <v>1.8292824074074072E-2</v>
      </c>
      <c r="D277" s="32">
        <v>167</v>
      </c>
      <c r="E277" s="51">
        <f t="shared" si="13"/>
        <v>11.005808621216762</v>
      </c>
      <c r="F277" s="36">
        <f t="shared" si="10"/>
        <v>3.7858796296296265E-3</v>
      </c>
    </row>
    <row r="278" spans="1:6">
      <c r="A278" s="68">
        <v>37145.472222222219</v>
      </c>
      <c r="B278" s="12">
        <v>6</v>
      </c>
      <c r="C278" s="37">
        <v>2.2143518518518521E-2</v>
      </c>
      <c r="D278" s="32">
        <v>170</v>
      </c>
      <c r="E278" s="51">
        <f t="shared" si="13"/>
        <v>10.820559062218203</v>
      </c>
      <c r="F278" s="36">
        <f t="shared" si="10"/>
        <v>3.8506944444444483E-3</v>
      </c>
    </row>
    <row r="279" spans="1:6">
      <c r="A279" s="68">
        <v>37145.472222222219</v>
      </c>
      <c r="B279" s="12">
        <v>6.35</v>
      </c>
      <c r="C279" s="37">
        <v>2.3119212962962959E-2</v>
      </c>
      <c r="D279" s="32">
        <v>189</v>
      </c>
      <c r="E279" s="51">
        <f t="shared" si="13"/>
        <v>14.946619217081922</v>
      </c>
      <c r="F279" s="36">
        <f t="shared" si="10"/>
        <v>2.7876984126983992E-3</v>
      </c>
    </row>
    <row r="280" spans="1:6">
      <c r="E280" s="51"/>
      <c r="F280" s="36"/>
    </row>
    <row r="281" spans="1:6">
      <c r="A281" s="68">
        <v>37158.785416666666</v>
      </c>
      <c r="B281" s="12">
        <v>1</v>
      </c>
      <c r="C281" s="37">
        <v>3.0520833333333333E-3</v>
      </c>
      <c r="D281" s="32">
        <v>154</v>
      </c>
      <c r="E281" s="51">
        <f>(B281-B280)/((C281-C280)*24)</f>
        <v>13.651877133105803</v>
      </c>
      <c r="F281" s="36">
        <f t="shared" si="10"/>
        <v>3.0520833333333329E-3</v>
      </c>
    </row>
    <row r="282" spans="1:6">
      <c r="A282" s="68">
        <v>37158.785416666666</v>
      </c>
      <c r="B282" s="12">
        <v>3</v>
      </c>
      <c r="C282" s="37">
        <v>1.0256944444444445E-2</v>
      </c>
      <c r="D282" s="32">
        <v>157</v>
      </c>
      <c r="E282" s="51">
        <f>(B282-B281)/((C282-C281)*24)</f>
        <v>11.566265060240964</v>
      </c>
      <c r="F282" s="36">
        <f t="shared" si="10"/>
        <v>3.6024305555555558E-3</v>
      </c>
    </row>
    <row r="283" spans="1:6">
      <c r="A283" s="68">
        <v>37158.785416666666</v>
      </c>
      <c r="B283" s="12">
        <v>5</v>
      </c>
      <c r="C283" s="37">
        <v>1.7851851851851851E-2</v>
      </c>
      <c r="D283" s="32">
        <v>155</v>
      </c>
      <c r="E283" s="51">
        <f>(B283-B282)/((C283-C282)*24)</f>
        <v>10.97226455348979</v>
      </c>
      <c r="F283" s="36">
        <f t="shared" si="10"/>
        <v>3.7974537037037039E-3</v>
      </c>
    </row>
    <row r="284" spans="1:6">
      <c r="A284" s="68">
        <v>37158.785416666666</v>
      </c>
      <c r="B284" s="12">
        <v>6</v>
      </c>
      <c r="C284" s="37">
        <v>2.1168981481481483E-2</v>
      </c>
      <c r="D284" s="32">
        <v>163</v>
      </c>
      <c r="E284" s="51">
        <f>(B284-B283)/((C284-C283)*24)</f>
        <v>12.561060711793433</v>
      </c>
      <c r="F284" s="36">
        <f t="shared" si="10"/>
        <v>3.3171296296296317E-3</v>
      </c>
    </row>
    <row r="285" spans="1:6">
      <c r="A285" s="68">
        <v>37158.785416666666</v>
      </c>
      <c r="B285" s="12">
        <v>6.35</v>
      </c>
      <c r="C285" s="37">
        <v>2.207175925925926E-2</v>
      </c>
      <c r="D285" s="32">
        <v>181</v>
      </c>
      <c r="E285" s="51">
        <f>(B285-B284)/((C285-C284)*24)</f>
        <v>16.153846153846157</v>
      </c>
      <c r="F285" s="36">
        <f t="shared" si="10"/>
        <v>2.5793650793650789E-3</v>
      </c>
    </row>
    <row r="286" spans="1:6">
      <c r="E286" s="51"/>
      <c r="F286" s="36"/>
    </row>
    <row r="287" spans="1:6">
      <c r="A287" s="68">
        <v>37166.879166666666</v>
      </c>
      <c r="B287" s="12">
        <v>1</v>
      </c>
      <c r="C287" s="37">
        <v>3.1631944444444442E-3</v>
      </c>
      <c r="D287" s="32">
        <v>154</v>
      </c>
      <c r="E287" s="51">
        <f t="shared" ref="E287:E293" si="14">(B287-B286)/((C287-C286)*24)</f>
        <v>13.172338090010978</v>
      </c>
      <c r="F287" s="36">
        <f t="shared" si="10"/>
        <v>3.1631944444444446E-3</v>
      </c>
    </row>
    <row r="288" spans="1:6">
      <c r="A288" s="68">
        <v>37166.879166666666</v>
      </c>
      <c r="B288" s="12">
        <v>2</v>
      </c>
      <c r="C288" s="37">
        <v>6.8993055555555552E-3</v>
      </c>
      <c r="D288" s="32">
        <v>157</v>
      </c>
      <c r="E288" s="51">
        <f t="shared" si="14"/>
        <v>11.152416356877323</v>
      </c>
      <c r="F288" s="36">
        <f t="shared" si="10"/>
        <v>3.7361111111111115E-3</v>
      </c>
    </row>
    <row r="289" spans="1:6">
      <c r="A289" s="68">
        <v>37166.879166666666</v>
      </c>
      <c r="B289" s="12">
        <v>3</v>
      </c>
      <c r="C289" s="37">
        <v>1.0751157407407409E-2</v>
      </c>
      <c r="D289" s="32">
        <v>157</v>
      </c>
      <c r="E289" s="51">
        <f t="shared" si="14"/>
        <v>10.817307692307686</v>
      </c>
      <c r="F289" s="36">
        <f t="shared" si="10"/>
        <v>3.8518518518518541E-3</v>
      </c>
    </row>
    <row r="290" spans="1:6">
      <c r="A290" s="68">
        <v>37166.879166666666</v>
      </c>
      <c r="B290" s="12">
        <v>4</v>
      </c>
      <c r="C290" s="37">
        <v>1.4587962962962964E-2</v>
      </c>
      <c r="D290" s="32">
        <v>157</v>
      </c>
      <c r="E290" s="51">
        <f t="shared" si="14"/>
        <v>10.859728506787331</v>
      </c>
      <c r="F290" s="36">
        <f t="shared" si="10"/>
        <v>3.836805555555556E-3</v>
      </c>
    </row>
    <row r="291" spans="1:6">
      <c r="A291" s="68">
        <v>37166.879166666666</v>
      </c>
      <c r="B291" s="12">
        <v>5</v>
      </c>
      <c r="C291" s="37">
        <v>1.8423611111111113E-2</v>
      </c>
      <c r="D291" s="32">
        <v>158</v>
      </c>
      <c r="E291" s="51">
        <f t="shared" si="14"/>
        <v>10.863005431502714</v>
      </c>
      <c r="F291" s="36">
        <f t="shared" si="10"/>
        <v>3.8356481481481488E-3</v>
      </c>
    </row>
    <row r="292" spans="1:6">
      <c r="A292" s="68">
        <v>37166.879166666666</v>
      </c>
      <c r="B292" s="12">
        <v>6</v>
      </c>
      <c r="C292" s="37">
        <v>2.1406250000000002E-2</v>
      </c>
      <c r="D292" s="32">
        <v>175</v>
      </c>
      <c r="E292" s="51">
        <f t="shared" si="14"/>
        <v>13.969732246798603</v>
      </c>
      <c r="F292" s="36">
        <f t="shared" si="10"/>
        <v>2.9826388888888884E-3</v>
      </c>
    </row>
    <row r="293" spans="1:6">
      <c r="A293" s="68">
        <v>37166.879166666666</v>
      </c>
      <c r="B293" s="12">
        <v>6.35</v>
      </c>
      <c r="C293" s="37">
        <v>2.2250000000000002E-2</v>
      </c>
      <c r="D293" s="32">
        <v>197</v>
      </c>
      <c r="E293" s="51">
        <f t="shared" si="14"/>
        <v>17.283950617283917</v>
      </c>
      <c r="F293" s="36">
        <f>1/(E293*24)</f>
        <v>2.4107142857142903E-3</v>
      </c>
    </row>
    <row r="294" spans="1:6">
      <c r="E294" s="51"/>
      <c r="F294" s="36"/>
    </row>
    <row r="295" spans="1:6">
      <c r="A295" s="68">
        <v>37171.449999999997</v>
      </c>
      <c r="B295" s="12">
        <v>1</v>
      </c>
      <c r="C295" s="37">
        <v>3.46875E-3</v>
      </c>
      <c r="D295" s="32">
        <v>150</v>
      </c>
      <c r="E295" s="51">
        <f t="shared" ref="E295:E305" si="15">(B295-B294)/((C295-C294)*24)</f>
        <v>12.012012012012011</v>
      </c>
      <c r="F295" s="36">
        <f t="shared" ref="F295:F305" si="16">1/(E295*24)</f>
        <v>3.46875E-3</v>
      </c>
    </row>
    <row r="296" spans="1:6">
      <c r="A296" s="68">
        <v>37171.449999999997</v>
      </c>
      <c r="B296" s="12">
        <v>2</v>
      </c>
      <c r="C296" s="37">
        <v>7.4814814814814813E-3</v>
      </c>
      <c r="D296" s="32">
        <v>155</v>
      </c>
      <c r="E296" s="51">
        <f t="shared" si="15"/>
        <v>10.3836169599077</v>
      </c>
      <c r="F296" s="36">
        <f t="shared" si="16"/>
        <v>4.0127314814814817E-3</v>
      </c>
    </row>
    <row r="297" spans="1:6">
      <c r="A297" s="68">
        <v>37171.449999999997</v>
      </c>
      <c r="B297" s="12">
        <v>3</v>
      </c>
      <c r="C297" s="37">
        <v>1.1725694444444447E-2</v>
      </c>
      <c r="D297" s="32">
        <v>155</v>
      </c>
      <c r="E297" s="51">
        <f t="shared" si="15"/>
        <v>9.8172893373329639</v>
      </c>
      <c r="F297" s="36">
        <f t="shared" si="16"/>
        <v>4.2442129629629661E-3</v>
      </c>
    </row>
    <row r="298" spans="1:6">
      <c r="A298" s="68">
        <v>37171.449999999997</v>
      </c>
      <c r="B298" s="12">
        <v>4</v>
      </c>
      <c r="C298" s="37">
        <v>1.6012731481481482E-2</v>
      </c>
      <c r="D298" s="32">
        <v>155</v>
      </c>
      <c r="E298" s="51">
        <f t="shared" si="15"/>
        <v>9.7192224622030281</v>
      </c>
      <c r="F298" s="36">
        <f t="shared" si="16"/>
        <v>4.2870370370370354E-3</v>
      </c>
    </row>
    <row r="299" spans="1:6">
      <c r="A299" s="68">
        <v>37171.449999999997</v>
      </c>
      <c r="B299" s="12">
        <v>5</v>
      </c>
      <c r="C299" s="37">
        <v>2.0533564814814817E-2</v>
      </c>
      <c r="D299" s="32">
        <v>155</v>
      </c>
      <c r="E299" s="51">
        <f t="shared" si="15"/>
        <v>9.2165898617511495</v>
      </c>
      <c r="F299" s="36">
        <f t="shared" si="16"/>
        <v>4.520833333333335E-3</v>
      </c>
    </row>
    <row r="300" spans="1:6">
      <c r="A300" s="68">
        <v>37171.449999999997</v>
      </c>
      <c r="B300" s="12">
        <v>6</v>
      </c>
      <c r="C300" s="37">
        <v>2.5093749999999998E-2</v>
      </c>
      <c r="D300" s="32">
        <v>156</v>
      </c>
      <c r="E300" s="51">
        <f t="shared" si="15"/>
        <v>9.1370558375634605</v>
      </c>
      <c r="F300" s="36">
        <f t="shared" si="16"/>
        <v>4.5601851851851801E-3</v>
      </c>
    </row>
    <row r="301" spans="1:6">
      <c r="A301" s="68">
        <v>37171.449999999997</v>
      </c>
      <c r="B301" s="12">
        <v>7</v>
      </c>
      <c r="C301" s="37">
        <v>2.9586805555555554E-2</v>
      </c>
      <c r="D301" s="32">
        <v>156</v>
      </c>
      <c r="E301" s="51">
        <f t="shared" si="15"/>
        <v>9.2735703245749619</v>
      </c>
      <c r="F301" s="36">
        <f t="shared" si="16"/>
        <v>4.4930555555555557E-3</v>
      </c>
    </row>
    <row r="302" spans="1:6">
      <c r="A302" s="68">
        <v>37171.449999999997</v>
      </c>
      <c r="B302" s="12">
        <v>8</v>
      </c>
      <c r="C302" s="37">
        <v>3.412268518518518E-2</v>
      </c>
      <c r="D302" s="32">
        <v>155</v>
      </c>
      <c r="E302" s="51">
        <f t="shared" si="15"/>
        <v>9.1860168410308827</v>
      </c>
      <c r="F302" s="36">
        <f t="shared" si="16"/>
        <v>4.5358796296296258E-3</v>
      </c>
    </row>
    <row r="303" spans="1:6">
      <c r="A303" s="68">
        <v>37171.449999999997</v>
      </c>
      <c r="B303" s="12">
        <v>9</v>
      </c>
      <c r="C303" s="37">
        <v>3.8704861111111107E-2</v>
      </c>
      <c r="D303" s="32">
        <v>156</v>
      </c>
      <c r="E303" s="51">
        <f t="shared" si="15"/>
        <v>9.093205354887596</v>
      </c>
      <c r="F303" s="36">
        <f t="shared" si="16"/>
        <v>4.5821759259259262E-3</v>
      </c>
    </row>
    <row r="304" spans="1:6">
      <c r="A304" s="68">
        <v>37171.449999999997</v>
      </c>
      <c r="B304" s="12">
        <v>10</v>
      </c>
      <c r="C304" s="37">
        <v>4.1423611111111112E-2</v>
      </c>
      <c r="D304" s="32">
        <v>180</v>
      </c>
      <c r="E304" s="51">
        <f t="shared" si="15"/>
        <v>15.325670498084259</v>
      </c>
      <c r="F304" s="36">
        <f t="shared" si="16"/>
        <v>2.7187500000000055E-3</v>
      </c>
    </row>
    <row r="305" spans="1:6">
      <c r="A305" s="68">
        <v>37171.449999999997</v>
      </c>
      <c r="B305" s="12">
        <v>10.25</v>
      </c>
      <c r="C305" s="37">
        <v>4.1979166666666672E-2</v>
      </c>
      <c r="D305" s="32">
        <v>205</v>
      </c>
      <c r="E305" s="51">
        <f t="shared" si="15"/>
        <v>18.749999999999879</v>
      </c>
      <c r="F305" s="36">
        <f t="shared" si="16"/>
        <v>2.2222222222222365E-3</v>
      </c>
    </row>
    <row r="306" spans="1:6">
      <c r="E306" s="51"/>
      <c r="F306" s="36"/>
    </row>
    <row r="307" spans="1:6">
      <c r="A307" s="68">
        <v>37174.878472222219</v>
      </c>
      <c r="B307" s="12">
        <v>1</v>
      </c>
      <c r="C307" s="37">
        <v>3.4861111111111104E-3</v>
      </c>
      <c r="D307" s="32">
        <v>152</v>
      </c>
      <c r="E307" s="51">
        <f>(B307-B294)/((C307-C294)*24)</f>
        <v>11.952191235059763</v>
      </c>
      <c r="F307" s="36">
        <f t="shared" ref="F307:F374" si="17">1/(E307*24)</f>
        <v>3.4861111111111108E-3</v>
      </c>
    </row>
    <row r="308" spans="1:6">
      <c r="A308" s="68">
        <v>37174.878472222219</v>
      </c>
      <c r="B308" s="12">
        <v>2</v>
      </c>
      <c r="C308" s="37">
        <v>7.4143518518518517E-3</v>
      </c>
      <c r="D308" s="32">
        <v>158</v>
      </c>
      <c r="E308" s="51">
        <f t="shared" ref="E308:E313" si="18">(B308-B307)/((C308-C307)*24)</f>
        <v>10.606953447259871</v>
      </c>
      <c r="F308" s="36">
        <f t="shared" si="17"/>
        <v>3.92824074074074E-3</v>
      </c>
    </row>
    <row r="309" spans="1:6">
      <c r="A309" s="68">
        <v>37174.878472222219</v>
      </c>
      <c r="B309" s="12">
        <v>3</v>
      </c>
      <c r="C309" s="37">
        <v>1.1341435185185185E-2</v>
      </c>
      <c r="D309" s="32">
        <v>158</v>
      </c>
      <c r="E309" s="51">
        <f t="shared" si="18"/>
        <v>10.610079575596817</v>
      </c>
      <c r="F309" s="36">
        <f t="shared" si="17"/>
        <v>3.9270833333333336E-3</v>
      </c>
    </row>
    <row r="310" spans="1:6">
      <c r="A310" s="68">
        <v>37174.878472222219</v>
      </c>
      <c r="B310" s="12">
        <v>4</v>
      </c>
      <c r="C310" s="37">
        <v>1.5277777777777777E-2</v>
      </c>
      <c r="D310" s="32">
        <v>158</v>
      </c>
      <c r="E310" s="51">
        <f t="shared" si="18"/>
        <v>10.585122022934433</v>
      </c>
      <c r="F310" s="36">
        <f t="shared" si="17"/>
        <v>3.936342592592592E-3</v>
      </c>
    </row>
    <row r="311" spans="1:6">
      <c r="A311" s="68">
        <v>37174.878472222219</v>
      </c>
      <c r="B311" s="12">
        <v>5</v>
      </c>
      <c r="C311" s="37">
        <v>1.9295138888888889E-2</v>
      </c>
      <c r="D311" s="32">
        <v>158</v>
      </c>
      <c r="E311" s="51">
        <f t="shared" si="18"/>
        <v>10.371650821089021</v>
      </c>
      <c r="F311" s="36">
        <f t="shared" si="17"/>
        <v>4.0173611111111113E-3</v>
      </c>
    </row>
    <row r="312" spans="1:6">
      <c r="A312" s="68">
        <v>37174.878472222219</v>
      </c>
      <c r="B312" s="12">
        <v>6</v>
      </c>
      <c r="C312" s="37">
        <v>2.1876157407407407E-2</v>
      </c>
      <c r="D312" s="32">
        <v>183</v>
      </c>
      <c r="E312" s="51">
        <f t="shared" si="18"/>
        <v>16.143497757847541</v>
      </c>
      <c r="F312" s="36">
        <f t="shared" si="17"/>
        <v>2.5810185185185172E-3</v>
      </c>
    </row>
    <row r="313" spans="1:6">
      <c r="A313" s="68">
        <v>37174.878472222219</v>
      </c>
      <c r="B313" s="12">
        <v>6.35</v>
      </c>
      <c r="C313" s="37">
        <v>2.2693287037037036E-2</v>
      </c>
      <c r="D313" s="32">
        <v>196</v>
      </c>
      <c r="E313" s="51">
        <f t="shared" si="18"/>
        <v>17.847025495750692</v>
      </c>
      <c r="F313" s="36">
        <f t="shared" si="17"/>
        <v>2.3346560846560869E-3</v>
      </c>
    </row>
    <row r="314" spans="1:6">
      <c r="E314" s="51">
        <f t="shared" ref="E314:E323" si="19">(B314-B313)/((C314-C313)*24)</f>
        <v>11.659101341357678</v>
      </c>
      <c r="F314" s="36">
        <f t="shared" si="17"/>
        <v>3.5737459900845726E-3</v>
      </c>
    </row>
    <row r="315" spans="1:6">
      <c r="A315" s="68">
        <v>37176.884027777778</v>
      </c>
      <c r="B315" s="12">
        <v>1</v>
      </c>
      <c r="C315" s="37">
        <v>3.37962962962963E-3</v>
      </c>
      <c r="D315" s="32">
        <v>150</v>
      </c>
      <c r="E315" s="51">
        <f t="shared" si="19"/>
        <v>12.328767123287671</v>
      </c>
      <c r="F315" s="36">
        <f t="shared" si="17"/>
        <v>3.3796296296296296E-3</v>
      </c>
    </row>
    <row r="316" spans="1:6">
      <c r="A316" s="68">
        <v>37176.884027777778</v>
      </c>
      <c r="B316" s="12">
        <v>2</v>
      </c>
      <c r="C316" s="37">
        <v>7.0428240740740755E-3</v>
      </c>
      <c r="D316" s="32">
        <v>158</v>
      </c>
      <c r="E316" s="51">
        <f t="shared" si="19"/>
        <v>11.374407582938385</v>
      </c>
      <c r="F316" s="36">
        <f t="shared" si="17"/>
        <v>3.6631944444444459E-3</v>
      </c>
    </row>
    <row r="317" spans="1:6">
      <c r="A317" s="68">
        <v>37176.884027777778</v>
      </c>
      <c r="B317" s="12">
        <v>3</v>
      </c>
      <c r="C317" s="37">
        <v>1.0934027777777777E-2</v>
      </c>
      <c r="D317" s="32">
        <v>159</v>
      </c>
      <c r="E317" s="51">
        <f t="shared" si="19"/>
        <v>10.70791195716836</v>
      </c>
      <c r="F317" s="36">
        <f t="shared" si="17"/>
        <v>3.8912037037037014E-3</v>
      </c>
    </row>
    <row r="318" spans="1:6">
      <c r="A318" s="68">
        <v>37176.884027777778</v>
      </c>
      <c r="B318" s="12">
        <v>4</v>
      </c>
      <c r="C318" s="37">
        <v>1.4961805555555556E-2</v>
      </c>
      <c r="D318" s="32">
        <v>160</v>
      </c>
      <c r="E318" s="51">
        <f t="shared" si="19"/>
        <v>10.344827586206891</v>
      </c>
      <c r="F318" s="36">
        <f t="shared" si="17"/>
        <v>4.0277777777777794E-3</v>
      </c>
    </row>
    <row r="319" spans="1:6">
      <c r="A319" s="68">
        <v>37176.884027777778</v>
      </c>
      <c r="B319" s="12">
        <v>5</v>
      </c>
      <c r="C319" s="37">
        <v>1.9141203703703705E-2</v>
      </c>
      <c r="D319" s="32">
        <v>159</v>
      </c>
      <c r="E319" s="51">
        <f t="shared" si="19"/>
        <v>9.9695375242315123</v>
      </c>
      <c r="F319" s="36">
        <f t="shared" si="17"/>
        <v>4.1793981481481491E-3</v>
      </c>
    </row>
    <row r="320" spans="1:6">
      <c r="A320" s="68">
        <v>37176.884027777778</v>
      </c>
      <c r="B320" s="12">
        <v>6</v>
      </c>
      <c r="C320" s="37">
        <v>2.1675925925925928E-2</v>
      </c>
      <c r="D320" s="32">
        <v>185</v>
      </c>
      <c r="E320" s="51">
        <f t="shared" si="19"/>
        <v>16.438356164383556</v>
      </c>
      <c r="F320" s="36">
        <f t="shared" si="17"/>
        <v>2.5347222222222229E-3</v>
      </c>
    </row>
    <row r="321" spans="1:6">
      <c r="A321" s="68">
        <v>37176.884027777778</v>
      </c>
      <c r="B321" s="12">
        <v>6.35</v>
      </c>
      <c r="C321" s="37">
        <v>2.2416666666666668E-2</v>
      </c>
      <c r="D321" s="32">
        <v>205</v>
      </c>
      <c r="E321" s="51">
        <f t="shared" si="19"/>
        <v>19.687500000000007</v>
      </c>
      <c r="F321" s="36">
        <f t="shared" si="17"/>
        <v>2.1164021164021157E-3</v>
      </c>
    </row>
    <row r="322" spans="1:6">
      <c r="E322" s="51"/>
      <c r="F322" s="36"/>
    </row>
    <row r="323" spans="1:6">
      <c r="A323" s="68">
        <v>37177.748611111114</v>
      </c>
      <c r="B323" s="12">
        <v>1</v>
      </c>
      <c r="C323" s="37">
        <v>2.9236111111111112E-3</v>
      </c>
      <c r="D323" s="32">
        <v>162</v>
      </c>
      <c r="E323" s="51">
        <f t="shared" si="19"/>
        <v>14.251781472684085</v>
      </c>
      <c r="F323" s="36">
        <f t="shared" si="17"/>
        <v>2.9236111111111112E-3</v>
      </c>
    </row>
    <row r="324" spans="1:6">
      <c r="A324" s="68">
        <v>37177.748611111114</v>
      </c>
      <c r="B324" s="12">
        <v>3</v>
      </c>
      <c r="C324" s="37">
        <v>9.5289351851851837E-3</v>
      </c>
      <c r="D324" s="32">
        <v>169</v>
      </c>
      <c r="E324" s="51">
        <f>(B324-B323)/((C324-C323)*24)</f>
        <v>12.616085509024009</v>
      </c>
      <c r="F324" s="36">
        <f t="shared" si="17"/>
        <v>3.3026620370370362E-3</v>
      </c>
    </row>
    <row r="325" spans="1:6">
      <c r="A325" s="68">
        <v>37177.748611111114</v>
      </c>
      <c r="B325" s="12">
        <v>4</v>
      </c>
      <c r="C325" s="37">
        <v>1.2457175925925925E-2</v>
      </c>
      <c r="D325" s="32">
        <v>175</v>
      </c>
      <c r="E325" s="51">
        <f>(B325-B324)/((C325-C324)*24)</f>
        <v>14.229249011857704</v>
      </c>
      <c r="F325" s="36">
        <f t="shared" si="17"/>
        <v>2.9282407407407417E-3</v>
      </c>
    </row>
    <row r="326" spans="1:6">
      <c r="A326" s="68">
        <v>37177.748611111114</v>
      </c>
      <c r="B326" s="12">
        <v>5</v>
      </c>
      <c r="C326" s="37">
        <v>1.5358796296296296E-2</v>
      </c>
      <c r="D326" s="32">
        <v>182</v>
      </c>
      <c r="E326" s="51">
        <f>(B326-B325)/((C326-C325)*24)</f>
        <v>14.359792580773833</v>
      </c>
      <c r="F326" s="36">
        <f t="shared" si="17"/>
        <v>2.9016203703703704E-3</v>
      </c>
    </row>
    <row r="327" spans="1:6">
      <c r="A327" s="68">
        <v>37177.748611111114</v>
      </c>
      <c r="B327" s="12">
        <v>6</v>
      </c>
      <c r="C327" s="37">
        <v>1.8224537037037036E-2</v>
      </c>
      <c r="D327" s="32">
        <v>176</v>
      </c>
      <c r="E327" s="51">
        <f>(B327-B326)/((C327-C326)*24)</f>
        <v>14.539579967689827</v>
      </c>
      <c r="F327" s="36">
        <f t="shared" si="17"/>
        <v>2.8657407407407399E-3</v>
      </c>
    </row>
    <row r="328" spans="1:6">
      <c r="A328" s="68">
        <v>37177.748611111114</v>
      </c>
      <c r="B328" s="12">
        <v>6.35</v>
      </c>
      <c r="C328" s="37">
        <v>1.9192129629629632E-2</v>
      </c>
      <c r="D328" s="32">
        <v>191</v>
      </c>
      <c r="E328" s="51">
        <f>(B328-B327)/((C328-C327)*24)</f>
        <v>15.071770334928157</v>
      </c>
      <c r="F328" s="36">
        <f t="shared" si="17"/>
        <v>2.7645502645502781E-3</v>
      </c>
    </row>
    <row r="329" spans="1:6">
      <c r="E329" s="51"/>
      <c r="F329" s="36"/>
    </row>
    <row r="330" spans="1:6">
      <c r="A330" s="68">
        <v>37186.729166666664</v>
      </c>
      <c r="B330" s="12">
        <v>1</v>
      </c>
      <c r="C330" s="37">
        <v>3.2916666666666667E-3</v>
      </c>
      <c r="D330" s="32">
        <v>160</v>
      </c>
      <c r="E330" s="51">
        <f>(B330-B375)/((C330-C375)*24)</f>
        <v>12.658227848101266</v>
      </c>
      <c r="F330" s="36">
        <f t="shared" ref="F330:F336" si="20">1/(E330*24)</f>
        <v>3.2916666666666663E-3</v>
      </c>
    </row>
    <row r="331" spans="1:6">
      <c r="A331" s="68">
        <v>37186.729166666664</v>
      </c>
      <c r="B331" s="12">
        <v>2</v>
      </c>
      <c r="C331" s="37">
        <v>6.7037037037037048E-3</v>
      </c>
      <c r="D331" s="32">
        <v>168</v>
      </c>
      <c r="E331" s="51">
        <f t="shared" ref="E331:E336" si="21">(B331-B330)/((C331-C330)*24)</f>
        <v>12.211668928086835</v>
      </c>
      <c r="F331" s="36">
        <f t="shared" si="20"/>
        <v>3.4120370370370381E-3</v>
      </c>
    </row>
    <row r="332" spans="1:6">
      <c r="A332" s="68">
        <v>37186.729166666664</v>
      </c>
      <c r="B332" s="12">
        <v>3</v>
      </c>
      <c r="C332" s="37">
        <v>1.0252314814814815E-2</v>
      </c>
      <c r="D332" s="32">
        <v>169</v>
      </c>
      <c r="E332" s="51">
        <f t="shared" si="21"/>
        <v>11.741682974559691</v>
      </c>
      <c r="F332" s="36">
        <f t="shared" si="20"/>
        <v>3.5486111111111105E-3</v>
      </c>
    </row>
    <row r="333" spans="1:6">
      <c r="A333" s="68">
        <v>37186.729166666664</v>
      </c>
      <c r="B333" s="12">
        <v>4</v>
      </c>
      <c r="C333" s="37">
        <v>1.3692129629629629E-2</v>
      </c>
      <c r="D333" s="32">
        <v>175</v>
      </c>
      <c r="E333" s="51">
        <f t="shared" si="21"/>
        <v>12.113055181695831</v>
      </c>
      <c r="F333" s="36">
        <f t="shared" si="20"/>
        <v>3.4398148148148135E-3</v>
      </c>
    </row>
    <row r="334" spans="1:6">
      <c r="A334" s="68">
        <v>37186.729166666664</v>
      </c>
      <c r="B334" s="12">
        <v>5</v>
      </c>
      <c r="C334" s="37">
        <v>1.7214120370370369E-2</v>
      </c>
      <c r="D334" s="32">
        <v>178</v>
      </c>
      <c r="E334" s="51">
        <f t="shared" si="21"/>
        <v>11.830430496220835</v>
      </c>
      <c r="F334" s="36">
        <f t="shared" si="20"/>
        <v>3.5219907407407409E-3</v>
      </c>
    </row>
    <row r="335" spans="1:6">
      <c r="A335" s="68">
        <v>37186.729166666664</v>
      </c>
      <c r="B335" s="12">
        <v>6</v>
      </c>
      <c r="C335" s="37">
        <v>2.0055555555555556E-2</v>
      </c>
      <c r="D335" s="32">
        <v>187</v>
      </c>
      <c r="E335" s="51">
        <f t="shared" si="21"/>
        <v>14.663951120162926</v>
      </c>
      <c r="F335" s="36">
        <f t="shared" si="20"/>
        <v>2.8414351851851869E-3</v>
      </c>
    </row>
    <row r="336" spans="1:6">
      <c r="A336" s="68">
        <v>37186.729166666664</v>
      </c>
      <c r="B336" s="12">
        <v>6.35</v>
      </c>
      <c r="C336" s="37">
        <v>2.0978009259259259E-2</v>
      </c>
      <c r="D336" s="32">
        <v>195</v>
      </c>
      <c r="E336" s="51">
        <f t="shared" si="21"/>
        <v>15.809284818067749</v>
      </c>
      <c r="F336" s="36">
        <f t="shared" si="20"/>
        <v>2.6355820105820119E-3</v>
      </c>
    </row>
    <row r="337" spans="1:6">
      <c r="E337" s="51"/>
      <c r="F337" s="36"/>
    </row>
    <row r="338" spans="1:6">
      <c r="A338" s="68">
        <v>37193.880555555559</v>
      </c>
      <c r="B338" s="12">
        <v>1</v>
      </c>
      <c r="C338" s="37">
        <v>3.3483796296296295E-3</v>
      </c>
      <c r="D338" s="32">
        <v>151</v>
      </c>
      <c r="E338" s="51">
        <f>(B338-B329)/((C338-C329)*24)</f>
        <v>12.443829934324231</v>
      </c>
      <c r="F338" s="36">
        <f t="shared" si="17"/>
        <v>3.3483796296296291E-3</v>
      </c>
    </row>
    <row r="339" spans="1:6">
      <c r="A339" s="68">
        <v>37193.880555555559</v>
      </c>
      <c r="B339" s="12">
        <v>2</v>
      </c>
      <c r="C339" s="37">
        <v>6.5590277777777782E-3</v>
      </c>
      <c r="D339" s="32">
        <v>158</v>
      </c>
      <c r="E339" s="51">
        <f t="shared" ref="E339:E348" si="22">(B339-B338)/((C339-C338)*24)</f>
        <v>12.977649603460703</v>
      </c>
      <c r="F339" s="36">
        <f t="shared" si="17"/>
        <v>3.2106481481481491E-3</v>
      </c>
    </row>
    <row r="340" spans="1:6">
      <c r="A340" s="68">
        <v>37193.880555555559</v>
      </c>
      <c r="B340" s="12">
        <v>3</v>
      </c>
      <c r="C340" s="37">
        <v>1.0266203703703703E-2</v>
      </c>
      <c r="D340" s="32">
        <v>157</v>
      </c>
      <c r="E340" s="51">
        <f t="shared" si="22"/>
        <v>11.239463003434285</v>
      </c>
      <c r="F340" s="36">
        <f t="shared" si="17"/>
        <v>3.7071759259259241E-3</v>
      </c>
    </row>
    <row r="341" spans="1:6">
      <c r="A341" s="68">
        <v>37193.880555555559</v>
      </c>
      <c r="B341" s="12">
        <v>4</v>
      </c>
      <c r="C341" s="37">
        <v>1.3782407407407408E-2</v>
      </c>
      <c r="D341" s="32">
        <v>158</v>
      </c>
      <c r="E341" s="51">
        <f t="shared" si="22"/>
        <v>11.849901250822905</v>
      </c>
      <c r="F341" s="36">
        <f t="shared" si="17"/>
        <v>3.516203703703705E-3</v>
      </c>
    </row>
    <row r="342" spans="1:6">
      <c r="A342" s="68">
        <v>37193.880555555559</v>
      </c>
      <c r="B342" s="12">
        <v>5</v>
      </c>
      <c r="C342" s="37">
        <v>1.7474537037037038E-2</v>
      </c>
      <c r="D342" s="32">
        <v>158</v>
      </c>
      <c r="E342" s="51">
        <f t="shared" si="22"/>
        <v>11.285266457680249</v>
      </c>
      <c r="F342" s="36">
        <f t="shared" si="17"/>
        <v>3.6921296296296303E-3</v>
      </c>
    </row>
    <row r="343" spans="1:6">
      <c r="A343" s="68">
        <v>37193.880555555559</v>
      </c>
      <c r="B343" s="12">
        <v>6</v>
      </c>
      <c r="C343" s="37">
        <v>2.1351851851851854E-2</v>
      </c>
      <c r="D343" s="32">
        <v>156</v>
      </c>
      <c r="E343" s="51">
        <f t="shared" si="22"/>
        <v>10.746268656716415</v>
      </c>
      <c r="F343" s="36">
        <f t="shared" si="17"/>
        <v>3.8773148148148161E-3</v>
      </c>
    </row>
    <row r="344" spans="1:6">
      <c r="A344" s="68">
        <v>37193.880555555559</v>
      </c>
      <c r="B344" s="12">
        <v>7</v>
      </c>
      <c r="C344" s="37">
        <v>2.512962962962963E-2</v>
      </c>
      <c r="D344" s="32">
        <v>157</v>
      </c>
      <c r="E344" s="51">
        <f t="shared" si="22"/>
        <v>11.029411764705888</v>
      </c>
      <c r="F344" s="36">
        <f t="shared" si="17"/>
        <v>3.7777777777777757E-3</v>
      </c>
    </row>
    <row r="345" spans="1:6">
      <c r="A345" s="68">
        <v>37193.880555555559</v>
      </c>
      <c r="B345" s="12">
        <v>8</v>
      </c>
      <c r="C345" s="37">
        <v>2.8944444444444443E-2</v>
      </c>
      <c r="D345" s="32">
        <v>157</v>
      </c>
      <c r="E345" s="51">
        <f t="shared" si="22"/>
        <v>10.922330097087386</v>
      </c>
      <c r="F345" s="36">
        <f t="shared" si="17"/>
        <v>3.8148148148148121E-3</v>
      </c>
    </row>
    <row r="346" spans="1:6">
      <c r="A346" s="68">
        <v>37193.880555555559</v>
      </c>
      <c r="B346" s="12">
        <v>9</v>
      </c>
      <c r="C346" s="37">
        <v>3.2768518518518523E-2</v>
      </c>
      <c r="D346" s="32">
        <v>158</v>
      </c>
      <c r="E346" s="51">
        <f t="shared" si="22"/>
        <v>10.895883777239691</v>
      </c>
      <c r="F346" s="36">
        <f t="shared" si="17"/>
        <v>3.8240740740740804E-3</v>
      </c>
    </row>
    <row r="347" spans="1:6">
      <c r="A347" s="68">
        <v>37193.880555555559</v>
      </c>
      <c r="B347" s="12">
        <v>10</v>
      </c>
      <c r="C347" s="37">
        <v>3.5159722222222224E-2</v>
      </c>
      <c r="D347" s="32">
        <v>182</v>
      </c>
      <c r="E347" s="51">
        <f t="shared" si="22"/>
        <v>17.424975798644745</v>
      </c>
      <c r="F347" s="36">
        <f t="shared" si="17"/>
        <v>2.3912037037037009E-3</v>
      </c>
    </row>
    <row r="348" spans="1:6">
      <c r="A348" s="68">
        <v>37193.880555555559</v>
      </c>
      <c r="B348" s="12">
        <v>10.25</v>
      </c>
      <c r="C348" s="37">
        <v>3.5783564814814817E-2</v>
      </c>
      <c r="D348" s="32">
        <v>198</v>
      </c>
      <c r="E348" s="51">
        <f t="shared" si="22"/>
        <v>16.697588126159555</v>
      </c>
      <c r="F348" s="36">
        <f t="shared" si="17"/>
        <v>2.4953703703703705E-3</v>
      </c>
    </row>
    <row r="349" spans="1:6">
      <c r="E349" s="51"/>
      <c r="F349" s="36"/>
    </row>
    <row r="350" spans="1:6">
      <c r="A350" s="68">
        <v>37195.745138888888</v>
      </c>
      <c r="B350" s="12">
        <v>1</v>
      </c>
      <c r="C350" s="37">
        <v>3.375E-3</v>
      </c>
      <c r="D350" s="32">
        <v>150</v>
      </c>
      <c r="E350" s="51">
        <f>(B350-B329)/((C350-C329)*24)</f>
        <v>12.345679012345679</v>
      </c>
      <c r="F350" s="36">
        <f t="shared" si="17"/>
        <v>3.375E-3</v>
      </c>
    </row>
    <row r="351" spans="1:6">
      <c r="A351" s="68">
        <v>37195.745138888888</v>
      </c>
      <c r="B351" s="12">
        <v>2</v>
      </c>
      <c r="C351" s="37">
        <v>6.84375E-3</v>
      </c>
      <c r="D351" s="32">
        <v>157</v>
      </c>
      <c r="E351" s="51">
        <f t="shared" ref="E351:E363" si="23">(B351-B350)/((C351-C350)*24)</f>
        <v>12.012012012012011</v>
      </c>
      <c r="F351" s="36">
        <f t="shared" si="17"/>
        <v>3.46875E-3</v>
      </c>
    </row>
    <row r="352" spans="1:6">
      <c r="A352" s="68">
        <v>37195.745138888888</v>
      </c>
      <c r="B352" s="12">
        <v>3</v>
      </c>
      <c r="C352" s="37">
        <v>1.0597222222222223E-2</v>
      </c>
      <c r="D352" s="32">
        <v>158</v>
      </c>
      <c r="E352" s="51">
        <f t="shared" si="23"/>
        <v>11.10083256244218</v>
      </c>
      <c r="F352" s="36">
        <f t="shared" si="17"/>
        <v>3.7534722222222231E-3</v>
      </c>
    </row>
    <row r="353" spans="1:6">
      <c r="A353" s="68">
        <v>37195.745138888888</v>
      </c>
      <c r="B353" s="12">
        <v>4</v>
      </c>
      <c r="C353" s="37">
        <v>1.4434027777777777E-2</v>
      </c>
      <c r="D353" s="32">
        <v>156</v>
      </c>
      <c r="E353" s="51">
        <f t="shared" si="23"/>
        <v>10.859728506787336</v>
      </c>
      <c r="F353" s="36">
        <f t="shared" si="17"/>
        <v>3.8368055555555534E-3</v>
      </c>
    </row>
    <row r="354" spans="1:6">
      <c r="A354" s="68">
        <v>37195.745138888888</v>
      </c>
      <c r="B354" s="12">
        <v>5</v>
      </c>
      <c r="C354" s="37">
        <v>1.836689814814815E-2</v>
      </c>
      <c r="D354" s="32">
        <v>157</v>
      </c>
      <c r="E354" s="51">
        <f t="shared" si="23"/>
        <v>10.594467333725714</v>
      </c>
      <c r="F354" s="36">
        <f t="shared" si="17"/>
        <v>3.932870370370373E-3</v>
      </c>
    </row>
    <row r="355" spans="1:6">
      <c r="A355" s="68">
        <v>37195.745138888888</v>
      </c>
      <c r="B355" s="12">
        <v>6</v>
      </c>
      <c r="C355" s="37">
        <v>2.2372685185185186E-2</v>
      </c>
      <c r="D355" s="32">
        <v>153</v>
      </c>
      <c r="E355" s="51">
        <f t="shared" si="23"/>
        <v>10.401618029471251</v>
      </c>
      <c r="F355" s="36">
        <f t="shared" si="17"/>
        <v>4.0057870370370369E-3</v>
      </c>
    </row>
    <row r="356" spans="1:6">
      <c r="A356" s="68">
        <v>37195.745138888888</v>
      </c>
      <c r="B356" s="12">
        <v>6.35</v>
      </c>
      <c r="C356" s="37">
        <v>2.360763888888889E-2</v>
      </c>
      <c r="D356" s="32">
        <v>154</v>
      </c>
      <c r="E356" s="51">
        <f t="shared" si="23"/>
        <v>11.808809746954068</v>
      </c>
      <c r="F356" s="36">
        <f t="shared" si="17"/>
        <v>3.5284391534391559E-3</v>
      </c>
    </row>
    <row r="357" spans="1:6">
      <c r="A357" s="68">
        <v>37195.745138888888</v>
      </c>
      <c r="B357" s="12">
        <v>7.35</v>
      </c>
      <c r="C357" s="37">
        <v>2.7515046296296298E-2</v>
      </c>
      <c r="D357" s="32">
        <v>156</v>
      </c>
      <c r="E357" s="51">
        <f t="shared" si="23"/>
        <v>10.663507109004737</v>
      </c>
      <c r="F357" s="36">
        <f t="shared" si="17"/>
        <v>3.9074074074074081E-3</v>
      </c>
    </row>
    <row r="358" spans="1:6">
      <c r="A358" s="68">
        <v>37195.745138888888</v>
      </c>
      <c r="B358" s="12">
        <v>8.35</v>
      </c>
      <c r="C358" s="37">
        <v>3.1396990740740739E-2</v>
      </c>
      <c r="D358" s="32">
        <v>157</v>
      </c>
      <c r="E358" s="51">
        <f t="shared" si="23"/>
        <v>10.733452593917718</v>
      </c>
      <c r="F358" s="36">
        <f t="shared" si="17"/>
        <v>3.8819444444444413E-3</v>
      </c>
    </row>
    <row r="359" spans="1:6">
      <c r="A359" s="68">
        <v>37195.745138888888</v>
      </c>
      <c r="B359" s="12">
        <v>9.35</v>
      </c>
      <c r="C359" s="37">
        <v>3.5307870370370371E-2</v>
      </c>
      <c r="D359" s="32">
        <v>157</v>
      </c>
      <c r="E359" s="51">
        <f t="shared" si="23"/>
        <v>10.65403965670316</v>
      </c>
      <c r="F359" s="36">
        <f t="shared" si="17"/>
        <v>3.9108796296296322E-3</v>
      </c>
    </row>
    <row r="360" spans="1:6">
      <c r="A360" s="68">
        <v>37195.745138888888</v>
      </c>
      <c r="B360" s="12">
        <v>10.35</v>
      </c>
      <c r="C360" s="37">
        <v>3.9351851851851853E-2</v>
      </c>
      <c r="D360" s="32">
        <v>157</v>
      </c>
      <c r="E360" s="51">
        <f t="shared" si="23"/>
        <v>10.303377218088151</v>
      </c>
      <c r="F360" s="36">
        <f t="shared" si="17"/>
        <v>4.0439814814814817E-3</v>
      </c>
    </row>
    <row r="361" spans="1:6">
      <c r="A361" s="68">
        <v>37195.745138888888</v>
      </c>
      <c r="B361" s="12">
        <v>11.35</v>
      </c>
      <c r="C361" s="37">
        <v>4.3344907407407408E-2</v>
      </c>
      <c r="D361" s="32">
        <v>155</v>
      </c>
      <c r="E361" s="51">
        <f t="shared" si="23"/>
        <v>10.434782608695652</v>
      </c>
      <c r="F361" s="36">
        <f t="shared" si="17"/>
        <v>3.9930555555555552E-3</v>
      </c>
    </row>
    <row r="362" spans="1:6">
      <c r="A362" s="68">
        <v>37195.745138888888</v>
      </c>
      <c r="B362" s="12">
        <v>12.35</v>
      </c>
      <c r="C362" s="37">
        <v>4.5902777777777772E-2</v>
      </c>
      <c r="D362" s="32">
        <v>181</v>
      </c>
      <c r="E362" s="51">
        <f t="shared" si="23"/>
        <v>16.289592760181041</v>
      </c>
      <c r="F362" s="36">
        <f t="shared" si="17"/>
        <v>2.5578703703703631E-3</v>
      </c>
    </row>
    <row r="363" spans="1:6">
      <c r="A363" s="68">
        <v>37195.745138888888</v>
      </c>
      <c r="B363" s="12">
        <v>12.7</v>
      </c>
      <c r="C363" s="37">
        <v>4.6828703703703706E-2</v>
      </c>
      <c r="D363" s="32">
        <v>187</v>
      </c>
      <c r="E363" s="51">
        <f t="shared" si="23"/>
        <v>15.749999999999844</v>
      </c>
      <c r="F363" s="36">
        <f t="shared" si="17"/>
        <v>2.6455026455026718E-3</v>
      </c>
    </row>
    <row r="364" spans="1:6">
      <c r="E364" s="51"/>
      <c r="F364" s="36"/>
    </row>
    <row r="365" spans="1:6">
      <c r="A365" s="68">
        <v>37196.816666666666</v>
      </c>
      <c r="B365" s="12">
        <v>1</v>
      </c>
      <c r="C365" s="37">
        <v>4.2094907407407402E-3</v>
      </c>
      <c r="D365" s="32">
        <v>140</v>
      </c>
      <c r="E365" s="51">
        <f t="shared" ref="E365:E374" si="24">(B365-B364)/((C365-C364)*24)</f>
        <v>9.898267803134452</v>
      </c>
      <c r="F365" s="36">
        <f t="shared" si="17"/>
        <v>4.2094907407407402E-3</v>
      </c>
    </row>
    <row r="366" spans="1:6">
      <c r="A366" s="68">
        <v>37196.816666666666</v>
      </c>
      <c r="B366" s="12">
        <v>2</v>
      </c>
      <c r="C366" s="37">
        <v>8.1365740740740738E-3</v>
      </c>
      <c r="D366" s="32">
        <v>145</v>
      </c>
      <c r="E366" s="51">
        <f t="shared" si="24"/>
        <v>10.610079575596817</v>
      </c>
      <c r="F366" s="36">
        <f t="shared" si="17"/>
        <v>3.9270833333333336E-3</v>
      </c>
    </row>
    <row r="367" spans="1:6">
      <c r="A367" s="68">
        <v>37196.816666666666</v>
      </c>
      <c r="B367" s="12">
        <v>4</v>
      </c>
      <c r="C367" s="37">
        <v>1.6288194444444442E-2</v>
      </c>
      <c r="D367" s="32">
        <v>149</v>
      </c>
      <c r="E367" s="51">
        <f t="shared" si="24"/>
        <v>10.222916370864692</v>
      </c>
      <c r="F367" s="36">
        <f t="shared" si="17"/>
        <v>4.0758101851851841E-3</v>
      </c>
    </row>
    <row r="368" spans="1:6">
      <c r="A368" s="68">
        <v>37196.816666666666</v>
      </c>
      <c r="B368" s="12">
        <v>5</v>
      </c>
      <c r="C368" s="37">
        <v>2.0149305555555556E-2</v>
      </c>
      <c r="D368" s="32">
        <v>151</v>
      </c>
      <c r="E368" s="51">
        <f t="shared" si="24"/>
        <v>10.791366906474813</v>
      </c>
      <c r="F368" s="36">
        <f t="shared" si="17"/>
        <v>3.8611111111111133E-3</v>
      </c>
    </row>
    <row r="369" spans="1:6">
      <c r="A369" s="68">
        <v>37196.816666666666</v>
      </c>
      <c r="B369" s="12">
        <v>6</v>
      </c>
      <c r="C369" s="37">
        <v>2.4261574074074074E-2</v>
      </c>
      <c r="D369" s="32">
        <v>152</v>
      </c>
      <c r="E369" s="51">
        <f t="shared" si="24"/>
        <v>10.132282578103011</v>
      </c>
      <c r="F369" s="36">
        <f t="shared" si="17"/>
        <v>4.1122685185185186E-3</v>
      </c>
    </row>
    <row r="370" spans="1:6">
      <c r="A370" s="68">
        <v>37196.816666666666</v>
      </c>
      <c r="B370" s="12">
        <v>7</v>
      </c>
      <c r="C370" s="37">
        <v>2.8306712962962968E-2</v>
      </c>
      <c r="D370" s="32">
        <v>152</v>
      </c>
      <c r="E370" s="51">
        <f t="shared" si="24"/>
        <v>10.300429184549346</v>
      </c>
      <c r="F370" s="36">
        <f t="shared" si="17"/>
        <v>4.0451388888888924E-3</v>
      </c>
    </row>
    <row r="371" spans="1:6">
      <c r="A371" s="68">
        <v>37196.816666666666</v>
      </c>
      <c r="B371" s="12">
        <v>8</v>
      </c>
      <c r="C371" s="37">
        <v>3.2232638888888887E-2</v>
      </c>
      <c r="D371" s="32">
        <v>145</v>
      </c>
      <c r="E371" s="51">
        <f t="shared" si="24"/>
        <v>10.613207547169829</v>
      </c>
      <c r="F371" s="36">
        <f t="shared" si="17"/>
        <v>3.9259259259259195E-3</v>
      </c>
    </row>
    <row r="372" spans="1:6">
      <c r="A372" s="68">
        <v>37196.816666666666</v>
      </c>
      <c r="B372" s="12">
        <v>9</v>
      </c>
      <c r="C372" s="37">
        <v>3.6306712962962964E-2</v>
      </c>
      <c r="D372" s="32">
        <v>151</v>
      </c>
      <c r="E372" s="51">
        <f t="shared" si="24"/>
        <v>10.22727272727272</v>
      </c>
      <c r="F372" s="36">
        <f t="shared" si="17"/>
        <v>4.0740740740740772E-3</v>
      </c>
    </row>
    <row r="373" spans="1:6">
      <c r="A373" s="68">
        <v>37196.816666666666</v>
      </c>
      <c r="B373" s="12">
        <v>10</v>
      </c>
      <c r="C373" s="37">
        <v>3.8776620370370371E-2</v>
      </c>
      <c r="D373" s="32">
        <v>173</v>
      </c>
      <c r="E373" s="51">
        <f t="shared" si="24"/>
        <v>16.869728209934401</v>
      </c>
      <c r="F373" s="36">
        <f t="shared" si="17"/>
        <v>2.4699074074074068E-3</v>
      </c>
    </row>
    <row r="374" spans="1:6">
      <c r="A374" s="68">
        <v>37196.816666666666</v>
      </c>
      <c r="B374" s="12">
        <v>10.26</v>
      </c>
      <c r="C374" s="37">
        <v>3.9328703703703706E-2</v>
      </c>
      <c r="D374" s="32">
        <v>197</v>
      </c>
      <c r="E374" s="51">
        <f t="shared" si="24"/>
        <v>19.622641509433887</v>
      </c>
      <c r="F374" s="36">
        <f t="shared" si="17"/>
        <v>2.1233974358974444E-3</v>
      </c>
    </row>
    <row r="375" spans="1:6">
      <c r="E375" s="51"/>
      <c r="F375" s="36"/>
    </row>
    <row r="376" spans="1:6">
      <c r="A376" s="68">
        <v>37281.713194444441</v>
      </c>
      <c r="B376" s="12">
        <v>1</v>
      </c>
      <c r="C376" s="37">
        <v>3.2233796296296299E-3</v>
      </c>
      <c r="D376" s="32">
        <v>152</v>
      </c>
      <c r="E376" s="51">
        <f t="shared" ref="E376:E398" si="25">(B376-B375)/((C376-C375)*24)</f>
        <v>12.926391382405743</v>
      </c>
      <c r="F376" s="36">
        <f t="shared" ref="F376:F439" si="26">1/(E376*24)</f>
        <v>3.2233796296296299E-3</v>
      </c>
    </row>
    <row r="377" spans="1:6">
      <c r="A377" s="68">
        <v>37281.713194444441</v>
      </c>
      <c r="B377" s="12">
        <v>2</v>
      </c>
      <c r="C377" s="37">
        <v>6.472222222222223E-3</v>
      </c>
      <c r="D377" s="32">
        <v>158</v>
      </c>
      <c r="E377" s="51">
        <f t="shared" si="25"/>
        <v>12.825080156750978</v>
      </c>
      <c r="F377" s="36">
        <f t="shared" si="26"/>
        <v>3.2488425925925931E-3</v>
      </c>
    </row>
    <row r="378" spans="1:6">
      <c r="A378" s="68">
        <v>37281.713194444441</v>
      </c>
      <c r="B378" s="12">
        <v>3</v>
      </c>
      <c r="C378" s="37">
        <v>9.8067129629629633E-3</v>
      </c>
      <c r="D378" s="32">
        <v>158</v>
      </c>
      <c r="E378" s="51">
        <f t="shared" si="25"/>
        <v>12.495661228740023</v>
      </c>
      <c r="F378" s="36">
        <f t="shared" si="26"/>
        <v>3.3344907407407399E-3</v>
      </c>
    </row>
    <row r="379" spans="1:6">
      <c r="A379" s="68">
        <v>37281.713194444441</v>
      </c>
      <c r="B379" s="12">
        <v>4</v>
      </c>
      <c r="C379" s="37">
        <v>1.3266203703703704E-2</v>
      </c>
      <c r="D379" s="32">
        <v>157</v>
      </c>
      <c r="E379" s="51">
        <f t="shared" si="25"/>
        <v>12.044161927065909</v>
      </c>
      <c r="F379" s="36">
        <f t="shared" si="26"/>
        <v>3.4594907407407404E-3</v>
      </c>
    </row>
    <row r="380" spans="1:6">
      <c r="A380" s="68">
        <v>37281.713194444441</v>
      </c>
      <c r="B380" s="12">
        <v>5</v>
      </c>
      <c r="C380" s="37">
        <v>1.6778935185185185E-2</v>
      </c>
      <c r="D380" s="32">
        <v>157</v>
      </c>
      <c r="E380" s="51">
        <f t="shared" si="25"/>
        <v>11.861614497528832</v>
      </c>
      <c r="F380" s="36">
        <f t="shared" si="26"/>
        <v>3.5127314814814813E-3</v>
      </c>
    </row>
    <row r="381" spans="1:6">
      <c r="A381" s="68">
        <v>37281.713194444441</v>
      </c>
      <c r="B381" s="12">
        <v>6</v>
      </c>
      <c r="C381" s="37">
        <v>2.0035879629629629E-2</v>
      </c>
      <c r="D381" s="32">
        <v>163</v>
      </c>
      <c r="E381" s="51">
        <f t="shared" si="25"/>
        <v>12.793176972281451</v>
      </c>
      <c r="F381" s="36">
        <f t="shared" si="26"/>
        <v>3.2569444444444443E-3</v>
      </c>
    </row>
    <row r="382" spans="1:6">
      <c r="A382" s="68">
        <v>37281.713194444441</v>
      </c>
      <c r="B382" s="12">
        <v>7</v>
      </c>
      <c r="C382" s="37">
        <v>2.3246527777777779E-2</v>
      </c>
      <c r="D382" s="32">
        <v>165</v>
      </c>
      <c r="E382" s="51">
        <f t="shared" si="25"/>
        <v>12.9776496034607</v>
      </c>
      <c r="F382" s="36">
        <f t="shared" si="26"/>
        <v>3.2106481481481495E-3</v>
      </c>
    </row>
    <row r="383" spans="1:6">
      <c r="A383" s="68">
        <v>37281.713194444441</v>
      </c>
      <c r="B383" s="12">
        <v>8</v>
      </c>
      <c r="C383" s="37">
        <v>2.6508101851851849E-2</v>
      </c>
      <c r="D383" s="32">
        <v>167</v>
      </c>
      <c r="E383" s="51">
        <f t="shared" si="25"/>
        <v>12.775017743080216</v>
      </c>
      <c r="F383" s="36">
        <f t="shared" si="26"/>
        <v>3.2615740740740695E-3</v>
      </c>
    </row>
    <row r="384" spans="1:6">
      <c r="A384" s="68">
        <v>37281.713194444441</v>
      </c>
      <c r="B384" s="12">
        <v>9</v>
      </c>
      <c r="C384" s="37">
        <v>2.9788194444444447E-2</v>
      </c>
      <c r="D384" s="32">
        <v>167</v>
      </c>
      <c r="E384" s="51">
        <f t="shared" si="25"/>
        <v>12.702893436838369</v>
      </c>
      <c r="F384" s="36">
        <f t="shared" si="26"/>
        <v>3.2800925925925979E-3</v>
      </c>
    </row>
    <row r="385" spans="1:6">
      <c r="A385" s="68">
        <v>37281.713194444441</v>
      </c>
      <c r="B385" s="12">
        <v>10</v>
      </c>
      <c r="C385" s="37">
        <v>3.2395833333333332E-2</v>
      </c>
      <c r="D385" s="32">
        <v>175</v>
      </c>
      <c r="E385" s="51">
        <f t="shared" si="25"/>
        <v>15.978695073235709</v>
      </c>
      <c r="F385" s="36">
        <f t="shared" si="26"/>
        <v>2.6076388888888855E-3</v>
      </c>
    </row>
    <row r="386" spans="1:6">
      <c r="A386" s="68">
        <v>37281.713194444441</v>
      </c>
      <c r="B386" s="12">
        <v>10.26</v>
      </c>
      <c r="C386" s="37">
        <v>3.3105324074074079E-2</v>
      </c>
      <c r="D386" s="32">
        <v>185</v>
      </c>
      <c r="E386" s="51">
        <f t="shared" si="25"/>
        <v>15.269168026101003</v>
      </c>
      <c r="F386" s="36">
        <f t="shared" si="26"/>
        <v>2.7288105413105662E-3</v>
      </c>
    </row>
    <row r="387" spans="1:6">
      <c r="E387" s="51"/>
      <c r="F387" s="36"/>
    </row>
    <row r="388" spans="1:6">
      <c r="A388" s="68">
        <v>37282.563888888886</v>
      </c>
      <c r="B388" s="12">
        <v>0.35</v>
      </c>
      <c r="C388" s="37">
        <v>1.1053240740740741E-3</v>
      </c>
      <c r="D388" s="32">
        <v>132</v>
      </c>
      <c r="E388" s="51">
        <f t="shared" si="25"/>
        <v>13.193717277486909</v>
      </c>
      <c r="F388" s="36">
        <f t="shared" si="26"/>
        <v>3.1580687830687834E-3</v>
      </c>
    </row>
    <row r="389" spans="1:6">
      <c r="A389" s="68">
        <v>37282.563888888886</v>
      </c>
      <c r="B389" s="12">
        <v>1.35</v>
      </c>
      <c r="C389" s="37">
        <v>4.4780092592592588E-3</v>
      </c>
      <c r="D389" s="32">
        <v>149</v>
      </c>
      <c r="E389" s="51">
        <f t="shared" si="25"/>
        <v>12.354152367879205</v>
      </c>
      <c r="F389" s="36">
        <f t="shared" si="26"/>
        <v>3.3726851851851852E-3</v>
      </c>
    </row>
    <row r="390" spans="1:6">
      <c r="A390" s="68">
        <v>37282.563888888886</v>
      </c>
      <c r="B390" s="12">
        <v>2.35</v>
      </c>
      <c r="C390" s="37">
        <v>8.0810185185185186E-3</v>
      </c>
      <c r="D390" s="32">
        <v>150</v>
      </c>
      <c r="E390" s="51">
        <f t="shared" si="25"/>
        <v>11.564407324124637</v>
      </c>
      <c r="F390" s="36">
        <f t="shared" si="26"/>
        <v>3.6030092592592598E-3</v>
      </c>
    </row>
    <row r="391" spans="1:6">
      <c r="A391" s="68">
        <v>37282.563888888886</v>
      </c>
      <c r="B391" s="12">
        <v>3.35</v>
      </c>
      <c r="C391" s="37">
        <v>1.1803240740740741E-2</v>
      </c>
      <c r="D391" s="32">
        <v>150</v>
      </c>
      <c r="E391" s="51">
        <f t="shared" si="25"/>
        <v>11.194029850746269</v>
      </c>
      <c r="F391" s="36">
        <f t="shared" si="26"/>
        <v>3.7222222222222223E-3</v>
      </c>
    </row>
    <row r="392" spans="1:6">
      <c r="A392" s="68">
        <v>37282.563888888886</v>
      </c>
      <c r="B392" s="12">
        <v>4.3499999999999996</v>
      </c>
      <c r="C392" s="37">
        <v>1.5853009259259258E-2</v>
      </c>
      <c r="D392" s="32">
        <v>152</v>
      </c>
      <c r="E392" s="51">
        <f t="shared" si="25"/>
        <v>10.288653901114603</v>
      </c>
      <c r="F392" s="36">
        <f t="shared" si="26"/>
        <v>4.0497685185185185E-3</v>
      </c>
    </row>
    <row r="393" spans="1:6">
      <c r="A393" s="68">
        <v>37282.563888888886</v>
      </c>
      <c r="B393" s="12">
        <v>5.35</v>
      </c>
      <c r="C393" s="37">
        <v>1.9866898148148151E-2</v>
      </c>
      <c r="D393" s="32">
        <v>151</v>
      </c>
      <c r="E393" s="51">
        <f t="shared" si="25"/>
        <v>10.380622837370231</v>
      </c>
      <c r="F393" s="36">
        <f t="shared" si="26"/>
        <v>4.0138888888888932E-3</v>
      </c>
    </row>
    <row r="394" spans="1:6">
      <c r="A394" s="68">
        <v>37282.563888888886</v>
      </c>
      <c r="B394" s="12">
        <v>6.35</v>
      </c>
      <c r="C394" s="37">
        <v>2.4130787037037037E-2</v>
      </c>
      <c r="D394" s="32">
        <v>151</v>
      </c>
      <c r="E394" s="51">
        <f t="shared" si="25"/>
        <v>9.7719869706840452</v>
      </c>
      <c r="F394" s="36">
        <f t="shared" si="26"/>
        <v>4.2638888888888865E-3</v>
      </c>
    </row>
    <row r="395" spans="1:6">
      <c r="A395" s="68">
        <v>37282.563888888886</v>
      </c>
      <c r="B395" s="12">
        <v>7.35</v>
      </c>
      <c r="C395" s="37">
        <v>2.8143518518518516E-2</v>
      </c>
      <c r="D395" s="32">
        <v>152</v>
      </c>
      <c r="E395" s="51">
        <f t="shared" si="25"/>
        <v>10.383616959907709</v>
      </c>
      <c r="F395" s="36">
        <f t="shared" si="26"/>
        <v>4.0127314814814782E-3</v>
      </c>
    </row>
    <row r="396" spans="1:6">
      <c r="A396" s="68">
        <v>37282.563888888886</v>
      </c>
      <c r="B396" s="12">
        <v>8.35</v>
      </c>
      <c r="C396" s="37">
        <v>3.2071759259259258E-2</v>
      </c>
      <c r="D396" s="32">
        <v>152</v>
      </c>
      <c r="E396" s="51">
        <f t="shared" si="25"/>
        <v>10.606953447259865</v>
      </c>
      <c r="F396" s="36">
        <f t="shared" si="26"/>
        <v>3.9282407407407426E-3</v>
      </c>
    </row>
    <row r="397" spans="1:6">
      <c r="A397" s="68">
        <v>37282.563888888886</v>
      </c>
      <c r="B397" s="12">
        <v>9.35</v>
      </c>
      <c r="C397" s="37">
        <v>3.5987268518518516E-2</v>
      </c>
      <c r="D397" s="32">
        <v>152</v>
      </c>
      <c r="E397" s="51">
        <f t="shared" si="25"/>
        <v>10.641442506650906</v>
      </c>
      <c r="F397" s="36">
        <f t="shared" si="26"/>
        <v>3.9155092592592575E-3</v>
      </c>
    </row>
    <row r="398" spans="1:6">
      <c r="A398" s="68">
        <v>37282.563888888886</v>
      </c>
      <c r="B398" s="12">
        <v>10.35</v>
      </c>
      <c r="C398" s="37">
        <v>3.9974537037037038E-2</v>
      </c>
      <c r="D398" s="32">
        <v>152</v>
      </c>
      <c r="E398" s="51">
        <f t="shared" si="25"/>
        <v>10.449927431059498</v>
      </c>
      <c r="F398" s="36">
        <f t="shared" si="26"/>
        <v>3.9872685185185219E-3</v>
      </c>
    </row>
    <row r="399" spans="1:6">
      <c r="A399" s="68">
        <v>37282.563888888886</v>
      </c>
      <c r="B399" s="12">
        <v>11.35</v>
      </c>
      <c r="C399" s="37">
        <v>4.4143518518518519E-2</v>
      </c>
      <c r="D399" s="32">
        <v>153</v>
      </c>
      <c r="E399" s="51">
        <f t="shared" ref="E399:E405" si="27">(B399-B398)/((C399-C398)*24)</f>
        <v>9.994447529150472</v>
      </c>
      <c r="F399" s="36">
        <f t="shared" si="26"/>
        <v>4.168981481481481E-3</v>
      </c>
    </row>
    <row r="400" spans="1:6">
      <c r="A400" s="68">
        <v>37282.563888888886</v>
      </c>
      <c r="B400" s="12">
        <v>12.35</v>
      </c>
      <c r="C400" s="37">
        <v>4.8310185185185185E-2</v>
      </c>
      <c r="D400" s="32">
        <v>153</v>
      </c>
      <c r="E400" s="51">
        <f t="shared" si="27"/>
        <v>10.000000000000002</v>
      </c>
      <c r="F400" s="36">
        <f t="shared" si="26"/>
        <v>4.1666666666666657E-3</v>
      </c>
    </row>
    <row r="401" spans="1:6">
      <c r="A401" s="68">
        <v>37282.563888888886</v>
      </c>
      <c r="B401" s="12">
        <v>13.35</v>
      </c>
      <c r="C401" s="37">
        <v>5.2118055555555563E-2</v>
      </c>
      <c r="D401" s="32">
        <v>158</v>
      </c>
      <c r="E401" s="51">
        <f t="shared" si="27"/>
        <v>10.942249240121559</v>
      </c>
      <c r="F401" s="36">
        <f t="shared" si="26"/>
        <v>3.8078703703703777E-3</v>
      </c>
    </row>
    <row r="402" spans="1:6">
      <c r="A402" s="68">
        <v>37282.563888888886</v>
      </c>
      <c r="B402" s="12">
        <v>14.35</v>
      </c>
      <c r="C402" s="37">
        <v>5.6111111111111112E-2</v>
      </c>
      <c r="D402" s="32">
        <v>152</v>
      </c>
      <c r="E402" s="51">
        <f t="shared" si="27"/>
        <v>10.434782608695672</v>
      </c>
      <c r="F402" s="36">
        <f t="shared" si="26"/>
        <v>3.9930555555555474E-3</v>
      </c>
    </row>
    <row r="403" spans="1:6">
      <c r="A403" s="68">
        <v>37282.563888888886</v>
      </c>
      <c r="B403" s="12">
        <v>15.35</v>
      </c>
      <c r="C403" s="37">
        <v>5.9861111111111108E-2</v>
      </c>
      <c r="D403" s="32">
        <v>154</v>
      </c>
      <c r="E403" s="51">
        <f t="shared" si="27"/>
        <v>11.111111111111121</v>
      </c>
      <c r="F403" s="36">
        <f t="shared" si="26"/>
        <v>3.7499999999999964E-3</v>
      </c>
    </row>
    <row r="404" spans="1:6">
      <c r="A404" s="68">
        <v>37282.563888888886</v>
      </c>
      <c r="B404" s="12">
        <v>16.350000000000001</v>
      </c>
      <c r="C404" s="37">
        <v>6.2268518518518522E-2</v>
      </c>
      <c r="D404" s="32">
        <v>180</v>
      </c>
      <c r="E404" s="51">
        <f t="shared" si="27"/>
        <v>17.307692307692292</v>
      </c>
      <c r="F404" s="36">
        <f t="shared" si="26"/>
        <v>2.4074074074074093E-3</v>
      </c>
    </row>
    <row r="405" spans="1:6">
      <c r="A405" s="68">
        <v>37282.563888888886</v>
      </c>
      <c r="B405" s="12">
        <v>16.61</v>
      </c>
      <c r="C405" s="37">
        <v>6.3333333333333339E-2</v>
      </c>
      <c r="D405" s="32">
        <v>110</v>
      </c>
      <c r="E405" s="51">
        <f t="shared" si="27"/>
        <v>10.173913043478162</v>
      </c>
      <c r="F405" s="36">
        <f t="shared" si="26"/>
        <v>4.0954415954416352E-3</v>
      </c>
    </row>
    <row r="407" spans="1:6">
      <c r="A407" s="68">
        <v>37283.493750000001</v>
      </c>
      <c r="B407" s="12">
        <v>1</v>
      </c>
      <c r="C407" s="37">
        <v>2.7719907407407411E-3</v>
      </c>
      <c r="D407" s="32">
        <v>153</v>
      </c>
      <c r="E407" s="51">
        <f>(B407-B406)/((C407-C406)*24)</f>
        <v>15.031315240083506</v>
      </c>
      <c r="F407" s="36">
        <f t="shared" si="26"/>
        <v>2.7719907407407411E-3</v>
      </c>
    </row>
    <row r="408" spans="1:6">
      <c r="A408" s="68">
        <v>37283.493750000001</v>
      </c>
      <c r="B408" s="12">
        <v>2</v>
      </c>
      <c r="C408" s="37">
        <v>5.4861111111111117E-3</v>
      </c>
      <c r="D408" s="32">
        <v>173</v>
      </c>
      <c r="E408" s="51">
        <f t="shared" ref="E408:E413" si="28">(B408-B407)/((C408-C407)*24)</f>
        <v>15.351812366737738</v>
      </c>
      <c r="F408" s="36">
        <f t="shared" si="26"/>
        <v>2.7141203703703706E-3</v>
      </c>
    </row>
    <row r="409" spans="1:6">
      <c r="A409" s="68">
        <v>37283.493750000001</v>
      </c>
      <c r="B409" s="12">
        <v>3</v>
      </c>
      <c r="C409" s="37">
        <v>8.2488425925925941E-3</v>
      </c>
      <c r="D409" s="32">
        <v>179</v>
      </c>
      <c r="E409" s="51">
        <f t="shared" si="28"/>
        <v>15.081692501047335</v>
      </c>
      <c r="F409" s="36">
        <f t="shared" si="26"/>
        <v>2.7627314814814823E-3</v>
      </c>
    </row>
    <row r="410" spans="1:6">
      <c r="A410" s="68">
        <v>37283.493750000001</v>
      </c>
      <c r="B410" s="12">
        <v>4</v>
      </c>
      <c r="C410" s="37">
        <v>1.1140046296296295E-2</v>
      </c>
      <c r="D410" s="32">
        <v>179</v>
      </c>
      <c r="E410" s="51">
        <f t="shared" si="28"/>
        <v>14.411529223378714</v>
      </c>
      <c r="F410" s="36">
        <f t="shared" si="26"/>
        <v>2.8912037037037014E-3</v>
      </c>
    </row>
    <row r="411" spans="1:6">
      <c r="A411" s="68">
        <v>37283.493750000001</v>
      </c>
      <c r="B411" s="12">
        <v>5</v>
      </c>
      <c r="C411" s="37">
        <v>1.438310185185185E-2</v>
      </c>
      <c r="D411" s="32">
        <v>177</v>
      </c>
      <c r="E411" s="51">
        <f t="shared" si="28"/>
        <v>12.847965738758035</v>
      </c>
      <c r="F411" s="36">
        <f t="shared" si="26"/>
        <v>3.2430555555555546E-3</v>
      </c>
    </row>
    <row r="412" spans="1:6">
      <c r="A412" s="68">
        <v>37283.493750000001</v>
      </c>
      <c r="B412" s="12">
        <v>6</v>
      </c>
      <c r="C412" s="37">
        <v>1.7185185185185185E-2</v>
      </c>
      <c r="D412" s="32">
        <v>184</v>
      </c>
      <c r="E412" s="51">
        <f t="shared" si="28"/>
        <v>14.86988847583642</v>
      </c>
      <c r="F412" s="36">
        <f t="shared" si="26"/>
        <v>2.8020833333333352E-3</v>
      </c>
    </row>
    <row r="413" spans="1:6">
      <c r="A413" s="68">
        <v>37283.493750000001</v>
      </c>
      <c r="B413" s="12">
        <v>6.35</v>
      </c>
      <c r="C413" s="37">
        <v>1.815162037037037E-2</v>
      </c>
      <c r="D413" s="32">
        <v>185</v>
      </c>
      <c r="E413" s="51">
        <f t="shared" si="28"/>
        <v>15.089820359281429</v>
      </c>
      <c r="F413" s="36">
        <f t="shared" si="26"/>
        <v>2.761243386243388E-3</v>
      </c>
    </row>
    <row r="415" spans="1:6">
      <c r="A415" s="68">
        <v>37296.599305555559</v>
      </c>
      <c r="B415" s="12">
        <v>1</v>
      </c>
      <c r="C415" s="37">
        <v>3.6180555555555553E-3</v>
      </c>
      <c r="D415" s="32">
        <v>149</v>
      </c>
      <c r="E415" s="51">
        <f>(B415-B414)/((C415-C414)*24)</f>
        <v>11.516314779270633</v>
      </c>
      <c r="F415" s="36">
        <f t="shared" si="26"/>
        <v>3.6180555555555553E-3</v>
      </c>
    </row>
    <row r="416" spans="1:6">
      <c r="A416" s="68">
        <v>37296.599305555559</v>
      </c>
      <c r="B416" s="12">
        <v>2</v>
      </c>
      <c r="C416" s="37">
        <v>6.9583333333333329E-3</v>
      </c>
      <c r="D416" s="32">
        <v>164</v>
      </c>
      <c r="E416" s="51">
        <f t="shared" ref="E416:E425" si="29">(B416-B415)/((C416-C415)*24)</f>
        <v>12.474012474012474</v>
      </c>
      <c r="F416" s="36">
        <f t="shared" si="26"/>
        <v>3.3402777777777779E-3</v>
      </c>
    </row>
    <row r="417" spans="1:6">
      <c r="A417" s="68">
        <v>37296.599305555559</v>
      </c>
      <c r="B417" s="12">
        <v>3</v>
      </c>
      <c r="C417" s="37">
        <v>1.030324074074074E-2</v>
      </c>
      <c r="D417" s="32">
        <v>167</v>
      </c>
      <c r="E417" s="51">
        <f t="shared" si="29"/>
        <v>12.456747404844295</v>
      </c>
      <c r="F417" s="36">
        <f t="shared" si="26"/>
        <v>3.3449074074074063E-3</v>
      </c>
    </row>
    <row r="418" spans="1:6">
      <c r="A418" s="68">
        <v>37296.599305555559</v>
      </c>
      <c r="B418" s="12">
        <v>4</v>
      </c>
      <c r="C418" s="37">
        <v>1.3571759259259257E-2</v>
      </c>
      <c r="D418" s="32">
        <v>173</v>
      </c>
      <c r="E418" s="51">
        <f t="shared" si="29"/>
        <v>12.747875354107652</v>
      </c>
      <c r="F418" s="36">
        <f t="shared" si="26"/>
        <v>3.2685185185185174E-3</v>
      </c>
    </row>
    <row r="419" spans="1:6">
      <c r="A419" s="68">
        <v>37296.599305555559</v>
      </c>
      <c r="B419" s="12">
        <v>5</v>
      </c>
      <c r="C419" s="37">
        <v>1.7324074074074072E-2</v>
      </c>
      <c r="D419" s="32">
        <v>170</v>
      </c>
      <c r="E419" s="51">
        <f t="shared" si="29"/>
        <v>11.104256631708823</v>
      </c>
      <c r="F419" s="36">
        <f t="shared" si="26"/>
        <v>3.7523148148148142E-3</v>
      </c>
    </row>
    <row r="420" spans="1:6">
      <c r="A420" s="68">
        <v>37296.599305555559</v>
      </c>
      <c r="B420" s="12">
        <v>6</v>
      </c>
      <c r="C420" s="37">
        <v>2.0608796296296295E-2</v>
      </c>
      <c r="D420" s="32">
        <v>178</v>
      </c>
      <c r="E420" s="51">
        <f t="shared" si="29"/>
        <v>12.68498942917547</v>
      </c>
      <c r="F420" s="36">
        <f t="shared" si="26"/>
        <v>3.284722222222224E-3</v>
      </c>
    </row>
    <row r="421" spans="1:6">
      <c r="A421" s="68">
        <v>37296.599305555559</v>
      </c>
      <c r="B421" s="12">
        <v>7</v>
      </c>
      <c r="C421" s="37">
        <v>2.3942129629629629E-2</v>
      </c>
      <c r="D421" s="32">
        <v>177</v>
      </c>
      <c r="E421" s="51">
        <f t="shared" si="29"/>
        <v>12.499999999999998</v>
      </c>
      <c r="F421" s="36">
        <f t="shared" si="26"/>
        <v>3.333333333333334E-3</v>
      </c>
    </row>
    <row r="422" spans="1:6">
      <c r="A422" s="68">
        <v>37296.599305555559</v>
      </c>
      <c r="B422" s="12">
        <v>8</v>
      </c>
      <c r="C422" s="37">
        <v>2.7650462962962963E-2</v>
      </c>
      <c r="D422" s="32">
        <v>175</v>
      </c>
      <c r="E422" s="51">
        <f t="shared" si="29"/>
        <v>11.235955056179773</v>
      </c>
      <c r="F422" s="36">
        <f t="shared" si="26"/>
        <v>3.7083333333333347E-3</v>
      </c>
    </row>
    <row r="423" spans="1:6">
      <c r="A423" s="68">
        <v>37296.599305555559</v>
      </c>
      <c r="B423" s="12">
        <v>9</v>
      </c>
      <c r="C423" s="37">
        <v>3.109375E-2</v>
      </c>
      <c r="D423" s="32">
        <v>177</v>
      </c>
      <c r="E423" s="51">
        <f t="shared" si="29"/>
        <v>12.100840336134457</v>
      </c>
      <c r="F423" s="36">
        <f t="shared" si="26"/>
        <v>3.4432870370370359E-3</v>
      </c>
    </row>
    <row r="424" spans="1:6">
      <c r="A424" s="68">
        <v>37296.599305555559</v>
      </c>
      <c r="B424" s="12">
        <v>10</v>
      </c>
      <c r="C424" s="37">
        <v>3.4774305555555558E-2</v>
      </c>
      <c r="D424" s="32">
        <v>176</v>
      </c>
      <c r="E424" s="51">
        <f t="shared" si="29"/>
        <v>11.320754716981122</v>
      </c>
      <c r="F424" s="36">
        <f t="shared" si="26"/>
        <v>3.6805555555555584E-3</v>
      </c>
    </row>
    <row r="425" spans="1:6">
      <c r="A425" s="68">
        <v>37296.599305555559</v>
      </c>
      <c r="B425" s="12">
        <v>10.26</v>
      </c>
      <c r="C425" s="37">
        <v>3.5350694444444448E-2</v>
      </c>
      <c r="D425" s="32">
        <v>192</v>
      </c>
      <c r="E425" s="51">
        <f t="shared" si="29"/>
        <v>18.795180722891509</v>
      </c>
      <c r="F425" s="36">
        <f t="shared" si="26"/>
        <v>2.2168803418803487E-3</v>
      </c>
    </row>
    <row r="427" spans="1:6">
      <c r="A427" s="68">
        <v>37301.646527777775</v>
      </c>
      <c r="B427" s="12">
        <v>1</v>
      </c>
      <c r="C427" s="37">
        <v>3.0868055555555557E-3</v>
      </c>
      <c r="D427" s="32">
        <v>156</v>
      </c>
      <c r="E427" s="51">
        <f>(B427-B426)/((C427-C426)*24)</f>
        <v>13.498312710911136</v>
      </c>
      <c r="F427" s="36">
        <f t="shared" si="26"/>
        <v>3.0868055555555553E-3</v>
      </c>
    </row>
    <row r="428" spans="1:6">
      <c r="A428" s="68">
        <v>37301.646527777775</v>
      </c>
      <c r="B428" s="12">
        <v>2</v>
      </c>
      <c r="C428" s="37">
        <v>6.0324074074074073E-3</v>
      </c>
      <c r="D428" s="32">
        <v>171</v>
      </c>
      <c r="E428" s="51">
        <f t="shared" ref="E428:E437" si="30">(B428-B427)/((C428-C427)*24)</f>
        <v>14.145383104125738</v>
      </c>
      <c r="F428" s="36">
        <f t="shared" si="26"/>
        <v>2.945601851851852E-3</v>
      </c>
    </row>
    <row r="429" spans="1:6">
      <c r="A429" s="68">
        <v>37301.646527777775</v>
      </c>
      <c r="B429" s="12">
        <v>3</v>
      </c>
      <c r="C429" s="37">
        <v>9.0393518518518522E-3</v>
      </c>
      <c r="D429" s="32">
        <v>172</v>
      </c>
      <c r="E429" s="51">
        <f t="shared" si="30"/>
        <v>13.856812933025401</v>
      </c>
      <c r="F429" s="36">
        <f t="shared" si="26"/>
        <v>3.0069444444444453E-3</v>
      </c>
    </row>
    <row r="430" spans="1:6">
      <c r="A430" s="68">
        <v>37301.646527777775</v>
      </c>
      <c r="B430" s="12">
        <v>4</v>
      </c>
      <c r="C430" s="37">
        <v>1.2039351851851851E-2</v>
      </c>
      <c r="D430" s="32">
        <v>175</v>
      </c>
      <c r="E430" s="51">
        <f t="shared" si="30"/>
        <v>13.888888888888893</v>
      </c>
      <c r="F430" s="36">
        <f t="shared" si="26"/>
        <v>2.9999999999999992E-3</v>
      </c>
    </row>
    <row r="431" spans="1:6">
      <c r="A431" s="68">
        <v>37301.646527777775</v>
      </c>
      <c r="B431" s="12">
        <v>5</v>
      </c>
      <c r="C431" s="37">
        <v>1.4981481481481483E-2</v>
      </c>
      <c r="D431" s="32">
        <v>176</v>
      </c>
      <c r="E431" s="51">
        <f t="shared" si="30"/>
        <v>14.162077104642005</v>
      </c>
      <c r="F431" s="36">
        <f t="shared" si="26"/>
        <v>2.9421296296296318E-3</v>
      </c>
    </row>
    <row r="432" spans="1:6">
      <c r="A432" s="68">
        <v>37301.646527777775</v>
      </c>
      <c r="B432" s="12">
        <v>6</v>
      </c>
      <c r="C432" s="37">
        <v>1.8052083333333333E-2</v>
      </c>
      <c r="D432" s="32">
        <v>175</v>
      </c>
      <c r="E432" s="51">
        <f t="shared" si="30"/>
        <v>13.569543912551834</v>
      </c>
      <c r="F432" s="36">
        <f t="shared" si="26"/>
        <v>3.0706018518518504E-3</v>
      </c>
    </row>
    <row r="433" spans="1:6">
      <c r="A433" s="68">
        <v>37301.646527777775</v>
      </c>
      <c r="B433" s="12">
        <v>7</v>
      </c>
      <c r="C433" s="37">
        <v>2.1074074074074075E-2</v>
      </c>
      <c r="D433" s="32">
        <v>176</v>
      </c>
      <c r="E433" s="51">
        <f t="shared" si="30"/>
        <v>13.787820758330136</v>
      </c>
      <c r="F433" s="36">
        <f t="shared" si="26"/>
        <v>3.0219907407407418E-3</v>
      </c>
    </row>
    <row r="434" spans="1:6">
      <c r="A434" s="68">
        <v>37301.646527777775</v>
      </c>
      <c r="B434" s="12">
        <v>8</v>
      </c>
      <c r="C434" s="37">
        <v>2.4151620370370372E-2</v>
      </c>
      <c r="D434" s="32">
        <v>176</v>
      </c>
      <c r="E434" s="51">
        <f t="shared" si="30"/>
        <v>13.538924407672054</v>
      </c>
      <c r="F434" s="36">
        <f t="shared" si="26"/>
        <v>3.077546296296297E-3</v>
      </c>
    </row>
    <row r="435" spans="1:6">
      <c r="A435" s="68">
        <v>37301.646527777775</v>
      </c>
      <c r="B435" s="12">
        <v>9</v>
      </c>
      <c r="C435" s="37">
        <v>2.717939814814815E-2</v>
      </c>
      <c r="D435" s="32">
        <v>178</v>
      </c>
      <c r="E435" s="51">
        <f t="shared" si="30"/>
        <v>13.761467889908253</v>
      </c>
      <c r="F435" s="36">
        <f t="shared" si="26"/>
        <v>3.0277777777777785E-3</v>
      </c>
    </row>
    <row r="436" spans="1:6">
      <c r="A436" s="68">
        <v>37301.646527777775</v>
      </c>
      <c r="B436" s="12">
        <v>10</v>
      </c>
      <c r="C436" s="37">
        <v>2.988425925925926E-2</v>
      </c>
      <c r="D436" s="32">
        <v>182</v>
      </c>
      <c r="E436" s="51">
        <f t="shared" si="30"/>
        <v>15.404364569961499</v>
      </c>
      <c r="F436" s="36">
        <f t="shared" si="26"/>
        <v>2.7048611111111093E-3</v>
      </c>
    </row>
    <row r="437" spans="1:6">
      <c r="A437" s="68">
        <v>37301.646527777775</v>
      </c>
      <c r="B437" s="12">
        <v>10.26</v>
      </c>
      <c r="C437" s="37">
        <v>3.0538194444444444E-2</v>
      </c>
      <c r="D437" s="32">
        <v>189</v>
      </c>
      <c r="E437" s="51">
        <f t="shared" si="30"/>
        <v>16.566371681415934</v>
      </c>
      <c r="F437" s="36">
        <f t="shared" si="26"/>
        <v>2.5151353276353268E-3</v>
      </c>
    </row>
    <row r="438" spans="1:6">
      <c r="E438" s="51"/>
      <c r="F438" s="36"/>
    </row>
    <row r="439" spans="1:6">
      <c r="A439" s="68">
        <v>37306.777777777781</v>
      </c>
      <c r="B439" s="12">
        <v>1</v>
      </c>
      <c r="C439" s="37">
        <v>2.9305555555555556E-3</v>
      </c>
      <c r="D439" s="32">
        <v>153</v>
      </c>
      <c r="E439" s="51">
        <f t="shared" ref="E439:E445" si="31">(B439-B438)/((C439-C438)*24)</f>
        <v>14.218009478672986</v>
      </c>
      <c r="F439" s="36">
        <f t="shared" si="26"/>
        <v>2.9305555555555552E-3</v>
      </c>
    </row>
    <row r="440" spans="1:6">
      <c r="A440" s="68">
        <v>37307.777777777781</v>
      </c>
      <c r="B440" s="12">
        <v>2</v>
      </c>
      <c r="C440" s="37">
        <v>5.7210648148148142E-3</v>
      </c>
      <c r="D440" s="32">
        <v>169</v>
      </c>
      <c r="E440" s="51">
        <f t="shared" si="31"/>
        <v>14.931563666528413</v>
      </c>
      <c r="F440" s="36">
        <f t="shared" ref="F440:F503" si="32">1/(E440*24)</f>
        <v>2.7905092592592586E-3</v>
      </c>
    </row>
    <row r="441" spans="1:6">
      <c r="A441" s="68">
        <v>37308.777777777781</v>
      </c>
      <c r="B441" s="12">
        <v>3</v>
      </c>
      <c r="C441" s="37">
        <v>8.5902777777777783E-3</v>
      </c>
      <c r="D441" s="32">
        <v>176</v>
      </c>
      <c r="E441" s="51">
        <f t="shared" si="31"/>
        <v>14.521984671238398</v>
      </c>
      <c r="F441" s="36">
        <f t="shared" si="32"/>
        <v>2.869212962962964E-3</v>
      </c>
    </row>
    <row r="442" spans="1:6">
      <c r="A442" s="68">
        <v>37309.777777777781</v>
      </c>
      <c r="B442" s="12">
        <v>4</v>
      </c>
      <c r="C442" s="37">
        <v>1.1475694444444443E-2</v>
      </c>
      <c r="D442" s="32">
        <v>177</v>
      </c>
      <c r="E442" s="51">
        <f t="shared" si="31"/>
        <v>14.4404332129964</v>
      </c>
      <c r="F442" s="36">
        <f t="shared" si="32"/>
        <v>2.8854166666666646E-3</v>
      </c>
    </row>
    <row r="443" spans="1:6">
      <c r="A443" s="68">
        <v>37310.777777777781</v>
      </c>
      <c r="B443" s="12">
        <v>5</v>
      </c>
      <c r="C443" s="37">
        <v>1.4385416666666666E-2</v>
      </c>
      <c r="D443" s="32">
        <v>179</v>
      </c>
      <c r="E443" s="51">
        <f t="shared" si="31"/>
        <v>14.319809069212406</v>
      </c>
      <c r="F443" s="36">
        <f t="shared" si="32"/>
        <v>2.9097222222222233E-3</v>
      </c>
    </row>
    <row r="444" spans="1:6">
      <c r="A444" s="68">
        <v>37311.777777777781</v>
      </c>
      <c r="B444" s="12">
        <v>6</v>
      </c>
      <c r="C444" s="37">
        <v>1.7131944444444446E-2</v>
      </c>
      <c r="D444" s="32">
        <v>184</v>
      </c>
      <c r="E444" s="51">
        <f t="shared" si="31"/>
        <v>15.170670037926662</v>
      </c>
      <c r="F444" s="36">
        <f t="shared" si="32"/>
        <v>2.74652777777778E-3</v>
      </c>
    </row>
    <row r="445" spans="1:6">
      <c r="A445" s="68">
        <v>37312.777777777781</v>
      </c>
      <c r="B445" s="12">
        <v>6.35</v>
      </c>
      <c r="C445" s="37">
        <v>1.8124999999999999E-2</v>
      </c>
      <c r="D445" s="32">
        <v>182</v>
      </c>
      <c r="E445" s="51">
        <f t="shared" si="31"/>
        <v>14.685314685314715</v>
      </c>
      <c r="F445" s="36">
        <f t="shared" si="32"/>
        <v>2.8373015873015815E-3</v>
      </c>
    </row>
    <row r="446" spans="1:6">
      <c r="E446" s="51"/>
      <c r="F446" s="36"/>
    </row>
    <row r="447" spans="1:6">
      <c r="A447" s="68">
        <v>37310.71597222222</v>
      </c>
      <c r="B447" s="12">
        <v>1</v>
      </c>
      <c r="C447" s="37">
        <v>3.5902777777777777E-3</v>
      </c>
      <c r="D447" s="32">
        <v>140</v>
      </c>
      <c r="E447" s="51">
        <f t="shared" ref="E447:E456" si="33">(B447-B446)/((C447-C446)*24)</f>
        <v>11.605415860735009</v>
      </c>
      <c r="F447" s="36">
        <f t="shared" si="32"/>
        <v>3.5902777777777777E-3</v>
      </c>
    </row>
    <row r="448" spans="1:6">
      <c r="A448" s="68">
        <v>37310.71597222222</v>
      </c>
      <c r="B448" s="12">
        <v>2</v>
      </c>
      <c r="C448" s="37">
        <v>7.1180555555555554E-3</v>
      </c>
      <c r="D448" s="32">
        <v>146</v>
      </c>
      <c r="E448" s="51">
        <f t="shared" si="33"/>
        <v>11.811023622047244</v>
      </c>
      <c r="F448" s="36">
        <f t="shared" si="32"/>
        <v>3.5277777777777777E-3</v>
      </c>
    </row>
    <row r="449" spans="1:7">
      <c r="A449" s="68">
        <v>37310.71597222222</v>
      </c>
      <c r="B449" s="12">
        <v>3</v>
      </c>
      <c r="C449" s="37">
        <v>1.0706018518518517E-2</v>
      </c>
      <c r="D449" s="32">
        <v>149</v>
      </c>
      <c r="E449" s="51">
        <f t="shared" si="33"/>
        <v>11.612903225806456</v>
      </c>
      <c r="F449" s="36">
        <f t="shared" si="32"/>
        <v>3.5879629629629616E-3</v>
      </c>
    </row>
    <row r="450" spans="1:7">
      <c r="A450" s="68">
        <v>37310.71597222222</v>
      </c>
      <c r="B450" s="12">
        <v>5</v>
      </c>
      <c r="C450" s="37">
        <v>1.7569444444444447E-2</v>
      </c>
      <c r="D450" s="32">
        <v>155</v>
      </c>
      <c r="E450" s="51">
        <f t="shared" si="33"/>
        <v>12.141652613827988</v>
      </c>
      <c r="F450" s="36">
        <f t="shared" si="32"/>
        <v>3.4317129629629641E-3</v>
      </c>
    </row>
    <row r="451" spans="1:7">
      <c r="A451" s="68">
        <v>37310.71597222222</v>
      </c>
      <c r="B451" s="12">
        <v>6</v>
      </c>
      <c r="C451" s="37">
        <v>2.1134259259259259E-2</v>
      </c>
      <c r="D451" s="32">
        <v>158</v>
      </c>
      <c r="E451" s="51">
        <f t="shared" si="33"/>
        <v>11.688311688311696</v>
      </c>
      <c r="F451" s="36">
        <f t="shared" si="32"/>
        <v>3.5648148148148128E-3</v>
      </c>
    </row>
    <row r="452" spans="1:7">
      <c r="A452" s="68">
        <v>37310.71597222222</v>
      </c>
      <c r="B452" s="12">
        <v>7</v>
      </c>
      <c r="C452" s="37">
        <v>2.4730324074074075E-2</v>
      </c>
      <c r="D452" s="32">
        <v>156</v>
      </c>
      <c r="E452" s="51">
        <f t="shared" si="33"/>
        <v>11.58673962021242</v>
      </c>
      <c r="F452" s="36">
        <f t="shared" si="32"/>
        <v>3.5960648148148158E-3</v>
      </c>
    </row>
    <row r="453" spans="1:7">
      <c r="A453" s="68">
        <v>37310.71597222222</v>
      </c>
      <c r="B453" s="12">
        <v>8</v>
      </c>
      <c r="C453" s="37">
        <v>2.8179398148148151E-2</v>
      </c>
      <c r="D453" s="32">
        <v>159</v>
      </c>
      <c r="E453" s="51">
        <f t="shared" si="33"/>
        <v>12.080536912751668</v>
      </c>
      <c r="F453" s="36">
        <f t="shared" si="32"/>
        <v>3.4490740740740766E-3</v>
      </c>
    </row>
    <row r="454" spans="1:7">
      <c r="A454" s="68">
        <v>37310.71597222222</v>
      </c>
      <c r="B454" s="12">
        <v>9</v>
      </c>
      <c r="C454" s="37">
        <v>3.1206018518518518E-2</v>
      </c>
      <c r="D454" s="32">
        <v>168</v>
      </c>
      <c r="E454" s="51">
        <f t="shared" si="33"/>
        <v>13.766730401529651</v>
      </c>
      <c r="F454" s="36">
        <f t="shared" si="32"/>
        <v>3.026620370370367E-3</v>
      </c>
    </row>
    <row r="455" spans="1:7">
      <c r="A455" s="68">
        <v>37310.71597222222</v>
      </c>
      <c r="B455" s="12">
        <v>10</v>
      </c>
      <c r="C455" s="37">
        <v>3.4133101851851852E-2</v>
      </c>
      <c r="D455" s="32">
        <v>174</v>
      </c>
      <c r="E455" s="51">
        <f t="shared" si="33"/>
        <v>14.234875444839856</v>
      </c>
      <c r="F455" s="36">
        <f t="shared" si="32"/>
        <v>2.9270833333333336E-3</v>
      </c>
    </row>
    <row r="456" spans="1:7">
      <c r="A456" s="68">
        <v>37310.71597222222</v>
      </c>
      <c r="B456" s="12">
        <v>10.26</v>
      </c>
      <c r="C456" s="37">
        <v>3.4979166666666665E-2</v>
      </c>
      <c r="D456" s="32">
        <v>173</v>
      </c>
      <c r="E456" s="51">
        <f t="shared" si="33"/>
        <v>12.804377564979491</v>
      </c>
      <c r="F456" s="36">
        <f t="shared" si="32"/>
        <v>3.2540954415954384E-3</v>
      </c>
    </row>
    <row r="457" spans="1:7">
      <c r="E457" s="51"/>
      <c r="F457" s="36"/>
    </row>
    <row r="458" spans="1:7">
      <c r="A458" s="68">
        <v>37318.451388888891</v>
      </c>
      <c r="B458" s="12">
        <v>1</v>
      </c>
      <c r="C458" s="37">
        <v>3.5046296296296297E-3</v>
      </c>
      <c r="D458" s="32">
        <v>142</v>
      </c>
      <c r="E458" s="51">
        <f t="shared" ref="E458:E465" si="34">(B458-B457)/((C458-C457)*24)</f>
        <v>11.889035667107002</v>
      </c>
      <c r="F458" s="36">
        <f t="shared" si="32"/>
        <v>3.5046296296296292E-3</v>
      </c>
    </row>
    <row r="459" spans="1:7">
      <c r="A459" s="68">
        <v>37318.451388888891</v>
      </c>
      <c r="B459" s="12">
        <v>2</v>
      </c>
      <c r="C459" s="37">
        <v>6.8773148148148153E-3</v>
      </c>
      <c r="D459" s="32">
        <v>150</v>
      </c>
      <c r="E459" s="51">
        <f t="shared" si="34"/>
        <v>12.354152367879202</v>
      </c>
      <c r="F459" s="36">
        <f t="shared" si="32"/>
        <v>3.3726851851851856E-3</v>
      </c>
    </row>
    <row r="460" spans="1:7">
      <c r="A460" s="68">
        <v>37318.451388888891</v>
      </c>
      <c r="B460" s="12">
        <v>3</v>
      </c>
      <c r="C460" s="37">
        <v>1.0925925925925924E-2</v>
      </c>
      <c r="D460" s="32">
        <v>148</v>
      </c>
      <c r="E460" s="51">
        <f t="shared" si="34"/>
        <v>10.29159519725558</v>
      </c>
      <c r="F460" s="36">
        <f t="shared" si="32"/>
        <v>4.0486111111111096E-3</v>
      </c>
    </row>
    <row r="461" spans="1:7">
      <c r="A461" s="68">
        <v>37318.451388888891</v>
      </c>
      <c r="B461" s="12">
        <v>4</v>
      </c>
      <c r="C461" s="37">
        <v>1.4869212962962961E-2</v>
      </c>
      <c r="D461" s="32">
        <v>149</v>
      </c>
      <c r="E461" s="51">
        <f t="shared" si="34"/>
        <v>10.566480774875258</v>
      </c>
      <c r="F461" s="36">
        <f t="shared" si="32"/>
        <v>3.9432870370370368E-3</v>
      </c>
    </row>
    <row r="462" spans="1:7">
      <c r="A462" s="68">
        <v>37318.451388888891</v>
      </c>
      <c r="B462" s="12">
        <v>5</v>
      </c>
      <c r="C462" s="37">
        <v>1.8803240740740742E-2</v>
      </c>
      <c r="D462" s="32">
        <v>150</v>
      </c>
      <c r="E462" s="51">
        <f t="shared" si="34"/>
        <v>10.591350397175631</v>
      </c>
      <c r="F462" s="36">
        <f t="shared" si="32"/>
        <v>3.9340277777777811E-3</v>
      </c>
    </row>
    <row r="463" spans="1:7">
      <c r="A463" s="68">
        <v>37318.451388888891</v>
      </c>
      <c r="B463" s="12">
        <v>6</v>
      </c>
      <c r="C463" s="37">
        <v>2.2844907407407408E-2</v>
      </c>
      <c r="D463" s="32">
        <v>149</v>
      </c>
      <c r="E463" s="51">
        <f t="shared" si="34"/>
        <v>10.309278350515466</v>
      </c>
      <c r="F463" s="36">
        <f t="shared" si="32"/>
        <v>4.0416666666666656E-3</v>
      </c>
    </row>
    <row r="464" spans="1:7">
      <c r="A464" s="68">
        <v>37318.451388888891</v>
      </c>
      <c r="B464" s="12">
        <v>7</v>
      </c>
      <c r="C464" s="37">
        <v>2.6796296296296294E-2</v>
      </c>
      <c r="D464" s="32">
        <v>150</v>
      </c>
      <c r="E464" s="51">
        <f t="shared" si="34"/>
        <v>10.544815465729357</v>
      </c>
      <c r="F464" s="36">
        <f t="shared" si="32"/>
        <v>3.9513888888888862E-3</v>
      </c>
      <c r="G464" s="36"/>
    </row>
    <row r="465" spans="1:6">
      <c r="A465" s="68">
        <v>37318.451388888891</v>
      </c>
      <c r="B465" s="12">
        <v>8</v>
      </c>
      <c r="C465" s="37">
        <v>3.0715277777777775E-2</v>
      </c>
      <c r="D465" s="32">
        <v>150</v>
      </c>
      <c r="E465" s="51">
        <f t="shared" si="34"/>
        <v>10.632014176018901</v>
      </c>
      <c r="F465" s="36">
        <f t="shared" si="32"/>
        <v>3.9189814814814816E-3</v>
      </c>
    </row>
    <row r="466" spans="1:6">
      <c r="E466" s="51"/>
      <c r="F466" s="36"/>
    </row>
    <row r="467" spans="1:6">
      <c r="A467" s="68">
        <v>37322.872916666667</v>
      </c>
      <c r="B467" s="12">
        <v>1</v>
      </c>
      <c r="C467" s="37">
        <v>3.2662037037037035E-3</v>
      </c>
      <c r="D467" s="32">
        <v>149</v>
      </c>
      <c r="E467" s="51">
        <f t="shared" ref="E467:E472" si="35">(B467-B466)/((C467-C466)*24)</f>
        <v>12.75690999291283</v>
      </c>
      <c r="F467" s="36">
        <f t="shared" si="32"/>
        <v>3.2662037037037035E-3</v>
      </c>
    </row>
    <row r="468" spans="1:6">
      <c r="A468" s="68">
        <v>37322.872916666667</v>
      </c>
      <c r="B468" s="12">
        <v>2</v>
      </c>
      <c r="C468" s="37">
        <v>6.2037037037037043E-3</v>
      </c>
      <c r="D468" s="32">
        <v>161</v>
      </c>
      <c r="E468" s="51">
        <f t="shared" si="35"/>
        <v>14.184397163120563</v>
      </c>
      <c r="F468" s="36">
        <f t="shared" si="32"/>
        <v>2.9375000000000009E-3</v>
      </c>
    </row>
    <row r="469" spans="1:6">
      <c r="A469" s="68">
        <v>37322.872916666667</v>
      </c>
      <c r="B469" s="12">
        <v>3</v>
      </c>
      <c r="C469" s="37">
        <v>9.2708333333333341E-3</v>
      </c>
      <c r="D469" s="32">
        <v>168</v>
      </c>
      <c r="E469" s="51">
        <f t="shared" si="35"/>
        <v>13.584905660377357</v>
      </c>
      <c r="F469" s="36">
        <f t="shared" si="32"/>
        <v>3.0671296296296302E-3</v>
      </c>
    </row>
    <row r="470" spans="1:6">
      <c r="A470" s="68">
        <v>37322.872916666667</v>
      </c>
      <c r="B470" s="12">
        <v>4</v>
      </c>
      <c r="C470" s="37">
        <v>1.2570601851851852E-2</v>
      </c>
      <c r="D470" s="32">
        <v>165</v>
      </c>
      <c r="E470" s="51">
        <f t="shared" si="35"/>
        <v>12.627148368993339</v>
      </c>
      <c r="F470" s="36">
        <f t="shared" si="32"/>
        <v>3.2997685185185179E-3</v>
      </c>
    </row>
    <row r="471" spans="1:6">
      <c r="A471" s="68">
        <v>37322.872916666667</v>
      </c>
      <c r="B471" s="12">
        <v>5</v>
      </c>
      <c r="C471" s="37">
        <v>1.5964120370370368E-2</v>
      </c>
      <c r="D471" s="32">
        <v>164</v>
      </c>
      <c r="E471" s="51">
        <f t="shared" si="35"/>
        <v>12.278308321964538</v>
      </c>
      <c r="F471" s="36">
        <f t="shared" si="32"/>
        <v>3.3935185185185162E-3</v>
      </c>
    </row>
    <row r="472" spans="1:6">
      <c r="A472" s="68">
        <v>37322.872916666667</v>
      </c>
      <c r="B472" s="12">
        <v>6</v>
      </c>
      <c r="C472" s="37">
        <v>1.8755787037037036E-2</v>
      </c>
      <c r="D472" s="32">
        <v>175</v>
      </c>
      <c r="E472" s="51">
        <f t="shared" si="35"/>
        <v>14.925373134328352</v>
      </c>
      <c r="F472" s="36">
        <f t="shared" si="32"/>
        <v>2.791666666666668E-3</v>
      </c>
    </row>
    <row r="473" spans="1:6">
      <c r="E473" s="51"/>
      <c r="F473" s="36"/>
    </row>
    <row r="474" spans="1:6">
      <c r="A474" s="68">
        <v>37324.592361111114</v>
      </c>
      <c r="B474" s="12">
        <v>1</v>
      </c>
      <c r="C474" s="37">
        <v>3.6053240740740737E-3</v>
      </c>
      <c r="D474" s="54" t="s">
        <v>86</v>
      </c>
      <c r="E474" s="51">
        <f t="shared" ref="E474:E483" si="36">(B474-B473)/((C474-C473)*24)</f>
        <v>11.556982343499199</v>
      </c>
      <c r="F474" s="36">
        <f t="shared" si="32"/>
        <v>3.6053240740740737E-3</v>
      </c>
    </row>
    <row r="475" spans="1:6">
      <c r="A475" s="68">
        <v>37324.592361111114</v>
      </c>
      <c r="B475" s="12">
        <v>2</v>
      </c>
      <c r="C475" s="37">
        <v>7.0243055555555553E-3</v>
      </c>
      <c r="D475" s="32">
        <v>153</v>
      </c>
      <c r="E475" s="51">
        <f t="shared" si="36"/>
        <v>12.186865267433987</v>
      </c>
      <c r="F475" s="36">
        <f t="shared" si="32"/>
        <v>3.4189814814814816E-3</v>
      </c>
    </row>
    <row r="476" spans="1:6">
      <c r="A476" s="68">
        <v>37324.592361111114</v>
      </c>
      <c r="B476" s="12">
        <v>3</v>
      </c>
      <c r="C476" s="37">
        <v>1.074537037037037E-2</v>
      </c>
      <c r="D476" s="32">
        <v>152</v>
      </c>
      <c r="E476" s="51">
        <f t="shared" si="36"/>
        <v>11.19751166407465</v>
      </c>
      <c r="F476" s="36">
        <f t="shared" si="32"/>
        <v>3.7210648148148151E-3</v>
      </c>
    </row>
    <row r="477" spans="1:6">
      <c r="A477" s="68">
        <v>37324.592361111114</v>
      </c>
      <c r="B477" s="12">
        <v>5</v>
      </c>
      <c r="C477" s="37">
        <v>1.7726851851851851E-2</v>
      </c>
      <c r="D477" s="32">
        <v>160</v>
      </c>
      <c r="E477" s="51">
        <f t="shared" si="36"/>
        <v>11.936339522546421</v>
      </c>
      <c r="F477" s="36">
        <f t="shared" si="32"/>
        <v>3.49074074074074E-3</v>
      </c>
    </row>
    <row r="478" spans="1:6">
      <c r="A478" s="68">
        <v>37324.592361111114</v>
      </c>
      <c r="B478" s="12">
        <v>6</v>
      </c>
      <c r="C478" s="37">
        <v>2.0976851851851854E-2</v>
      </c>
      <c r="D478" s="32">
        <v>172</v>
      </c>
      <c r="E478" s="51">
        <f t="shared" si="36"/>
        <v>12.820512820512809</v>
      </c>
      <c r="F478" s="36">
        <f t="shared" si="32"/>
        <v>3.2500000000000033E-3</v>
      </c>
    </row>
    <row r="479" spans="1:6">
      <c r="A479" s="68">
        <v>37324.592361111114</v>
      </c>
      <c r="B479" s="12">
        <v>7</v>
      </c>
      <c r="C479" s="37">
        <v>2.4034722222222221E-2</v>
      </c>
      <c r="D479" s="32">
        <v>174</v>
      </c>
      <c r="E479" s="51">
        <f t="shared" si="36"/>
        <v>13.62604087812265</v>
      </c>
      <c r="F479" s="36">
        <f t="shared" si="32"/>
        <v>3.057870370370367E-3</v>
      </c>
    </row>
    <row r="480" spans="1:6">
      <c r="A480" s="68">
        <v>37324.592361111114</v>
      </c>
      <c r="B480" s="12">
        <v>8</v>
      </c>
      <c r="C480" s="37">
        <v>2.6878472222222224E-2</v>
      </c>
      <c r="D480" s="32">
        <v>181</v>
      </c>
      <c r="E480" s="51">
        <f t="shared" si="36"/>
        <v>14.652014652014639</v>
      </c>
      <c r="F480" s="36">
        <f t="shared" si="32"/>
        <v>2.843750000000003E-3</v>
      </c>
    </row>
    <row r="481" spans="1:8">
      <c r="A481" s="68">
        <v>37324.592361111114</v>
      </c>
      <c r="B481" s="12">
        <v>9</v>
      </c>
      <c r="C481" s="37">
        <v>2.9804398148148153E-2</v>
      </c>
      <c r="D481" s="32">
        <v>182</v>
      </c>
      <c r="E481" s="51">
        <f t="shared" si="36"/>
        <v>14.240506329113909</v>
      </c>
      <c r="F481" s="36">
        <f t="shared" si="32"/>
        <v>2.925925925925929E-3</v>
      </c>
    </row>
    <row r="482" spans="1:8">
      <c r="A482" s="68">
        <v>37324.592361111114</v>
      </c>
      <c r="B482" s="12">
        <v>10</v>
      </c>
      <c r="C482" s="37">
        <v>3.2447916666666667E-2</v>
      </c>
      <c r="D482" s="32">
        <v>187</v>
      </c>
      <c r="E482" s="51">
        <f t="shared" si="36"/>
        <v>15.761821366024547</v>
      </c>
      <c r="F482" s="36">
        <f t="shared" si="32"/>
        <v>2.6435185185185138E-3</v>
      </c>
      <c r="G482" s="36"/>
      <c r="H482" s="36"/>
    </row>
    <row r="483" spans="1:8">
      <c r="A483" s="68">
        <v>37324.592361111114</v>
      </c>
      <c r="B483" s="12">
        <v>10.26</v>
      </c>
      <c r="C483" s="37">
        <v>3.3262731481481483E-2</v>
      </c>
      <c r="D483" s="32">
        <v>189</v>
      </c>
      <c r="E483" s="51">
        <f t="shared" si="36"/>
        <v>13.295454545454502</v>
      </c>
      <c r="F483" s="36">
        <f t="shared" si="32"/>
        <v>3.1339031339031442E-3</v>
      </c>
    </row>
    <row r="484" spans="1:8">
      <c r="E484" s="51"/>
      <c r="F484" s="36"/>
    </row>
    <row r="485" spans="1:8">
      <c r="A485" s="68">
        <v>37327.710416666669</v>
      </c>
      <c r="B485" s="12">
        <v>1</v>
      </c>
      <c r="C485" s="37">
        <v>2.8969907407407412E-3</v>
      </c>
      <c r="D485" s="32">
        <v>153</v>
      </c>
      <c r="E485" s="51">
        <f t="shared" ref="E485:E491" si="37">(B485-B484)/((C485-C484)*24)</f>
        <v>14.382740711146623</v>
      </c>
      <c r="F485" s="36">
        <f t="shared" si="32"/>
        <v>2.8969907407407412E-3</v>
      </c>
    </row>
    <row r="486" spans="1:8">
      <c r="A486" s="68">
        <v>37327.710416666669</v>
      </c>
      <c r="B486" s="12">
        <v>2</v>
      </c>
      <c r="C486" s="37">
        <v>5.6620370370370357E-3</v>
      </c>
      <c r="D486" s="32">
        <v>172</v>
      </c>
      <c r="E486" s="51">
        <f t="shared" si="37"/>
        <v>15.069066555043962</v>
      </c>
      <c r="F486" s="36">
        <f t="shared" si="32"/>
        <v>2.7650462962962941E-3</v>
      </c>
    </row>
    <row r="487" spans="1:8">
      <c r="A487" s="68">
        <v>37327.710416666669</v>
      </c>
      <c r="B487" s="12">
        <v>3</v>
      </c>
      <c r="C487" s="37">
        <v>8.4745370370370374E-3</v>
      </c>
      <c r="D487" s="32">
        <v>176</v>
      </c>
      <c r="E487" s="51">
        <f t="shared" si="37"/>
        <v>14.814814814814808</v>
      </c>
      <c r="F487" s="36">
        <f t="shared" si="32"/>
        <v>2.8125000000000016E-3</v>
      </c>
    </row>
    <row r="488" spans="1:8">
      <c r="A488" s="68">
        <v>37327.710416666669</v>
      </c>
      <c r="B488" s="12">
        <v>4</v>
      </c>
      <c r="C488" s="37">
        <v>1.1244212962962963E-2</v>
      </c>
      <c r="D488" s="32">
        <v>178</v>
      </c>
      <c r="E488" s="51">
        <f t="shared" si="37"/>
        <v>15.043877977434185</v>
      </c>
      <c r="F488" s="36">
        <f t="shared" si="32"/>
        <v>2.7696759259259254E-3</v>
      </c>
    </row>
    <row r="489" spans="1:8">
      <c r="A489" s="68">
        <v>37327.710416666669</v>
      </c>
      <c r="B489" s="12">
        <v>5</v>
      </c>
      <c r="C489" s="37">
        <v>1.4027777777777778E-2</v>
      </c>
      <c r="D489" s="32">
        <v>179</v>
      </c>
      <c r="E489" s="51">
        <f t="shared" si="37"/>
        <v>14.968814968814968</v>
      </c>
      <c r="F489" s="36">
        <f t="shared" si="32"/>
        <v>2.7835648148148151E-3</v>
      </c>
    </row>
    <row r="490" spans="1:8">
      <c r="A490" s="68">
        <v>37327.710416666669</v>
      </c>
      <c r="B490" s="12">
        <v>6</v>
      </c>
      <c r="C490" s="37">
        <v>1.6741898148148148E-2</v>
      </c>
      <c r="D490" s="32">
        <v>183</v>
      </c>
      <c r="E490" s="51">
        <f t="shared" si="37"/>
        <v>15.351812366737741</v>
      </c>
      <c r="F490" s="36">
        <f t="shared" si="32"/>
        <v>2.7141203703703702E-3</v>
      </c>
    </row>
    <row r="491" spans="1:8">
      <c r="A491" s="68">
        <v>37327.710416666669</v>
      </c>
      <c r="B491" s="12">
        <v>6.35</v>
      </c>
      <c r="C491" s="37">
        <v>1.7584490740740741E-2</v>
      </c>
      <c r="D491" s="32">
        <v>189</v>
      </c>
      <c r="E491" s="51">
        <f t="shared" si="37"/>
        <v>17.307692307692289</v>
      </c>
      <c r="F491" s="36">
        <f t="shared" si="32"/>
        <v>2.4074074074074102E-3</v>
      </c>
    </row>
    <row r="492" spans="1:8">
      <c r="E492" s="51"/>
      <c r="F492" s="36"/>
    </row>
    <row r="493" spans="1:8">
      <c r="A493" s="68">
        <v>37328.725694444445</v>
      </c>
      <c r="B493" s="12">
        <v>1</v>
      </c>
      <c r="C493" s="37">
        <v>3.3333333333333335E-3</v>
      </c>
      <c r="D493" s="32">
        <v>154</v>
      </c>
      <c r="E493" s="51">
        <f t="shared" ref="E493:E503" si="38">(B493-B492)/((C493-C492)*24)</f>
        <v>12.5</v>
      </c>
      <c r="F493" s="36">
        <f t="shared" si="32"/>
        <v>3.3333333333333335E-3</v>
      </c>
    </row>
    <row r="494" spans="1:8">
      <c r="A494" s="68">
        <v>37328.725694444445</v>
      </c>
      <c r="B494" s="12">
        <v>2</v>
      </c>
      <c r="C494" s="37">
        <v>6.680555555555555E-3</v>
      </c>
      <c r="D494" s="32">
        <v>159</v>
      </c>
      <c r="E494" s="51">
        <f t="shared" si="38"/>
        <v>12.448132780082991</v>
      </c>
      <c r="F494" s="36">
        <f t="shared" si="32"/>
        <v>3.3472222222222215E-3</v>
      </c>
    </row>
    <row r="495" spans="1:8">
      <c r="A495" s="68">
        <v>37328.725694444445</v>
      </c>
      <c r="B495" s="12">
        <v>3</v>
      </c>
      <c r="C495" s="37">
        <v>1.0083333333333333E-2</v>
      </c>
      <c r="D495" s="32">
        <v>158</v>
      </c>
      <c r="E495" s="51">
        <f t="shared" si="38"/>
        <v>12.244897959183673</v>
      </c>
      <c r="F495" s="36">
        <f t="shared" si="32"/>
        <v>3.402777777777778E-3</v>
      </c>
    </row>
    <row r="496" spans="1:8">
      <c r="A496" s="68">
        <v>37328.725694444445</v>
      </c>
      <c r="B496" s="12">
        <v>4</v>
      </c>
      <c r="C496" s="37">
        <v>1.3510416666666665E-2</v>
      </c>
      <c r="D496" s="32">
        <v>158</v>
      </c>
      <c r="E496" s="51">
        <f t="shared" si="38"/>
        <v>12.158054711246205</v>
      </c>
      <c r="F496" s="36">
        <f t="shared" si="32"/>
        <v>3.4270833333333323E-3</v>
      </c>
    </row>
    <row r="497" spans="1:6">
      <c r="A497" s="68">
        <v>37328.725694444445</v>
      </c>
      <c r="B497" s="12">
        <v>5</v>
      </c>
      <c r="C497" s="37">
        <v>1.693402777777778E-2</v>
      </c>
      <c r="D497" s="32">
        <v>159</v>
      </c>
      <c r="E497" s="51">
        <f t="shared" si="38"/>
        <v>12.170385395537512</v>
      </c>
      <c r="F497" s="36">
        <f t="shared" si="32"/>
        <v>3.4236111111111147E-3</v>
      </c>
    </row>
    <row r="498" spans="1:6">
      <c r="A498" s="68">
        <v>37328.725694444445</v>
      </c>
      <c r="B498" s="12">
        <v>6</v>
      </c>
      <c r="C498" s="37">
        <v>2.0437500000000001E-2</v>
      </c>
      <c r="D498" s="32">
        <v>158</v>
      </c>
      <c r="E498" s="51">
        <f t="shared" si="38"/>
        <v>11.892963330029739</v>
      </c>
      <c r="F498" s="36">
        <f t="shared" si="32"/>
        <v>3.5034722222222203E-3</v>
      </c>
    </row>
    <row r="499" spans="1:6">
      <c r="A499" s="68">
        <v>37328.725694444445</v>
      </c>
      <c r="B499" s="12">
        <v>7</v>
      </c>
      <c r="C499" s="37">
        <v>2.4172453703703703E-2</v>
      </c>
      <c r="D499" s="32">
        <v>155</v>
      </c>
      <c r="E499" s="51">
        <f t="shared" si="38"/>
        <v>11.155872327238926</v>
      </c>
      <c r="F499" s="36">
        <f t="shared" si="32"/>
        <v>3.7349537037037021E-3</v>
      </c>
    </row>
    <row r="500" spans="1:6">
      <c r="A500" s="68">
        <v>37328.725694444445</v>
      </c>
      <c r="B500" s="12">
        <v>8</v>
      </c>
      <c r="C500" s="37">
        <v>2.8047453703703706E-2</v>
      </c>
      <c r="D500" s="32">
        <v>151</v>
      </c>
      <c r="E500" s="51">
        <f t="shared" si="38"/>
        <v>10.752688172043001</v>
      </c>
      <c r="F500" s="36">
        <f t="shared" si="32"/>
        <v>3.8750000000000034E-3</v>
      </c>
    </row>
    <row r="501" spans="1:6">
      <c r="A501" s="68">
        <v>37328.725694444445</v>
      </c>
      <c r="B501" s="12">
        <v>9</v>
      </c>
      <c r="C501" s="37">
        <v>3.1843749999999997E-2</v>
      </c>
      <c r="D501" s="32">
        <v>153</v>
      </c>
      <c r="E501" s="51">
        <f t="shared" si="38"/>
        <v>10.975609756097578</v>
      </c>
      <c r="F501" s="36">
        <f t="shared" si="32"/>
        <v>3.7962962962962902E-3</v>
      </c>
    </row>
    <row r="502" spans="1:6">
      <c r="A502" s="68">
        <v>37328.725694444445</v>
      </c>
      <c r="B502" s="12">
        <v>10</v>
      </c>
      <c r="C502" s="37">
        <v>3.4351851851851849E-2</v>
      </c>
      <c r="D502" s="32">
        <v>177</v>
      </c>
      <c r="E502" s="51">
        <f t="shared" si="38"/>
        <v>16.612828795569914</v>
      </c>
      <c r="F502" s="36">
        <f t="shared" si="32"/>
        <v>2.5081018518518512E-3</v>
      </c>
    </row>
    <row r="503" spans="1:6">
      <c r="A503" s="68">
        <v>37328.725694444445</v>
      </c>
      <c r="B503" s="12">
        <v>10.26</v>
      </c>
      <c r="C503" s="37">
        <v>3.5086805555555552E-2</v>
      </c>
      <c r="D503" s="32">
        <v>183</v>
      </c>
      <c r="E503" s="51">
        <f t="shared" si="38"/>
        <v>14.740157480314965</v>
      </c>
      <c r="F503" s="36">
        <f t="shared" si="32"/>
        <v>2.8267450142450135E-3</v>
      </c>
    </row>
    <row r="504" spans="1:6">
      <c r="E504" s="51"/>
      <c r="F504" s="36"/>
    </row>
    <row r="505" spans="1:6">
      <c r="A505" s="68">
        <v>37330.744444444441</v>
      </c>
      <c r="B505" s="12">
        <v>1</v>
      </c>
      <c r="C505" s="37">
        <v>3.0613425925925925E-3</v>
      </c>
      <c r="D505" s="32">
        <v>153</v>
      </c>
      <c r="E505" s="51">
        <f t="shared" ref="E505:E515" si="39">(B505-B504)/((C505-C504)*24)</f>
        <v>13.610586011342155</v>
      </c>
      <c r="F505" s="36">
        <f t="shared" ref="F505:F543" si="40">1/(E505*24)</f>
        <v>3.0613425925925925E-3</v>
      </c>
    </row>
    <row r="506" spans="1:6">
      <c r="A506" s="68">
        <v>37330.744444444441</v>
      </c>
      <c r="B506" s="12">
        <v>2</v>
      </c>
      <c r="C506" s="37">
        <v>5.9907407407407409E-3</v>
      </c>
      <c r="D506" s="32">
        <v>161</v>
      </c>
      <c r="E506" s="51">
        <f t="shared" si="39"/>
        <v>14.223627024891345</v>
      </c>
      <c r="F506" s="36">
        <f t="shared" si="40"/>
        <v>2.9293981481481484E-3</v>
      </c>
    </row>
    <row r="507" spans="1:6">
      <c r="A507" s="68">
        <v>37330.744444444441</v>
      </c>
      <c r="B507" s="12">
        <v>3</v>
      </c>
      <c r="C507" s="37">
        <v>9.1435185185185178E-3</v>
      </c>
      <c r="D507" s="32">
        <v>163</v>
      </c>
      <c r="E507" s="51">
        <f t="shared" si="39"/>
        <v>13.215859030837008</v>
      </c>
      <c r="F507" s="36">
        <f t="shared" si="40"/>
        <v>3.1527777777777773E-3</v>
      </c>
    </row>
    <row r="508" spans="1:6">
      <c r="A508" s="68">
        <v>37330.744444444441</v>
      </c>
      <c r="B508" s="12">
        <v>4</v>
      </c>
      <c r="C508" s="37">
        <v>1.2559027777777778E-2</v>
      </c>
      <c r="D508" s="32">
        <v>154</v>
      </c>
      <c r="E508" s="51">
        <f t="shared" si="39"/>
        <v>12.199254490003383</v>
      </c>
      <c r="F508" s="36">
        <f t="shared" si="40"/>
        <v>3.4155092592592609E-3</v>
      </c>
    </row>
    <row r="509" spans="1:6">
      <c r="A509" s="68">
        <v>37330.744444444441</v>
      </c>
      <c r="B509" s="12">
        <v>5</v>
      </c>
      <c r="C509" s="37">
        <v>1.5783564814814813E-2</v>
      </c>
      <c r="D509" s="32">
        <v>160</v>
      </c>
      <c r="E509" s="51">
        <f t="shared" si="39"/>
        <v>12.921751615218962</v>
      </c>
      <c r="F509" s="36">
        <f t="shared" si="40"/>
        <v>3.2245370370370349E-3</v>
      </c>
    </row>
    <row r="510" spans="1:6">
      <c r="A510" s="68">
        <v>37330.744444444441</v>
      </c>
      <c r="B510" s="12">
        <v>6</v>
      </c>
      <c r="C510" s="37">
        <v>1.9153935185185187E-2</v>
      </c>
      <c r="D510" s="32">
        <v>160</v>
      </c>
      <c r="E510" s="51">
        <f t="shared" si="39"/>
        <v>12.362637362637349</v>
      </c>
      <c r="F510" s="36">
        <f t="shared" si="40"/>
        <v>3.3703703703703743E-3</v>
      </c>
    </row>
    <row r="511" spans="1:6">
      <c r="A511" s="68">
        <v>37330.744444444441</v>
      </c>
      <c r="B511" s="12">
        <v>7</v>
      </c>
      <c r="C511" s="37">
        <v>2.2392361111111109E-2</v>
      </c>
      <c r="D511" s="32">
        <v>161</v>
      </c>
      <c r="E511" s="51">
        <f t="shared" si="39"/>
        <v>12.866333095067919</v>
      </c>
      <c r="F511" s="36">
        <f t="shared" si="40"/>
        <v>3.2384259259259224E-3</v>
      </c>
    </row>
    <row r="512" spans="1:6">
      <c r="A512" s="68">
        <v>37330.744444444441</v>
      </c>
      <c r="B512" s="12">
        <v>8</v>
      </c>
      <c r="C512" s="37">
        <v>2.5437500000000002E-2</v>
      </c>
      <c r="D512" s="32">
        <v>166</v>
      </c>
      <c r="E512" s="51">
        <f t="shared" si="39"/>
        <v>13.683010262257682</v>
      </c>
      <c r="F512" s="36">
        <f t="shared" si="40"/>
        <v>3.0451388888888924E-3</v>
      </c>
    </row>
    <row r="513" spans="1:6">
      <c r="A513" s="68">
        <v>37330.744444444441</v>
      </c>
      <c r="B513" s="12">
        <v>9</v>
      </c>
      <c r="C513" s="37">
        <v>2.8486111111111115E-2</v>
      </c>
      <c r="D513" s="32">
        <v>170</v>
      </c>
      <c r="E513" s="51">
        <f t="shared" si="39"/>
        <v>13.667425968109331</v>
      </c>
      <c r="F513" s="36">
        <f t="shared" si="40"/>
        <v>3.0486111111111126E-3</v>
      </c>
    </row>
    <row r="514" spans="1:6">
      <c r="A514" s="68">
        <v>37330.744444444441</v>
      </c>
      <c r="B514" s="12">
        <v>10</v>
      </c>
      <c r="C514" s="37">
        <v>3.1268518518518515E-2</v>
      </c>
      <c r="D514" s="32">
        <v>174</v>
      </c>
      <c r="E514" s="51">
        <f t="shared" si="39"/>
        <v>14.97504159733781</v>
      </c>
      <c r="F514" s="36">
        <f t="shared" si="40"/>
        <v>2.7824074074073997E-3</v>
      </c>
    </row>
    <row r="515" spans="1:6">
      <c r="A515" s="68">
        <v>37330.744444444441</v>
      </c>
      <c r="B515" s="12">
        <v>10.26</v>
      </c>
      <c r="C515" s="37">
        <v>3.2050925925925927E-2</v>
      </c>
      <c r="D515" s="32">
        <v>176</v>
      </c>
      <c r="E515" s="51">
        <f t="shared" si="39"/>
        <v>13.846153846153749</v>
      </c>
      <c r="F515" s="36">
        <f t="shared" si="40"/>
        <v>3.0092592592592801E-3</v>
      </c>
    </row>
    <row r="516" spans="1:6">
      <c r="E516" s="51"/>
      <c r="F516" s="36"/>
    </row>
    <row r="517" spans="1:6">
      <c r="A517" s="68">
        <v>37335.713888888888</v>
      </c>
      <c r="B517" s="12">
        <v>1</v>
      </c>
      <c r="C517" s="37">
        <v>2.9131944444444444E-3</v>
      </c>
      <c r="D517" s="32">
        <v>156</v>
      </c>
      <c r="E517" s="51">
        <f t="shared" ref="E517:E524" si="41">(B517-B516)/((C517-C516)*24)</f>
        <v>14.302741358760429</v>
      </c>
      <c r="F517" s="36">
        <f t="shared" si="40"/>
        <v>2.9131944444444444E-3</v>
      </c>
    </row>
    <row r="518" spans="1:6">
      <c r="A518" s="68">
        <v>37335.713888888888</v>
      </c>
      <c r="B518" s="12">
        <v>2</v>
      </c>
      <c r="C518" s="37">
        <v>5.687499999999999E-3</v>
      </c>
      <c r="D518" s="32">
        <v>167</v>
      </c>
      <c r="E518" s="51">
        <f t="shared" si="41"/>
        <v>15.018773466833546</v>
      </c>
      <c r="F518" s="36">
        <f t="shared" si="40"/>
        <v>2.7743055555555546E-3</v>
      </c>
    </row>
    <row r="519" spans="1:6">
      <c r="A519" s="68">
        <v>37335.713888888888</v>
      </c>
      <c r="B519" s="12">
        <v>3</v>
      </c>
      <c r="C519" s="37">
        <v>8.4826388888888885E-3</v>
      </c>
      <c r="D519" s="32">
        <v>171</v>
      </c>
      <c r="E519" s="51">
        <f t="shared" si="41"/>
        <v>14.90683229813664</v>
      </c>
      <c r="F519" s="36">
        <f t="shared" si="40"/>
        <v>2.79513888888889E-3</v>
      </c>
    </row>
    <row r="520" spans="1:6">
      <c r="A520" s="68">
        <v>37335.713888888888</v>
      </c>
      <c r="B520" s="12">
        <v>4</v>
      </c>
      <c r="C520" s="37">
        <v>1.1241898148148147E-2</v>
      </c>
      <c r="D520" s="32">
        <v>169</v>
      </c>
      <c r="E520" s="51">
        <f t="shared" si="41"/>
        <v>15.100671140939603</v>
      </c>
      <c r="F520" s="36">
        <f t="shared" si="40"/>
        <v>2.7592592592592582E-3</v>
      </c>
    </row>
    <row r="521" spans="1:6">
      <c r="A521" s="68">
        <v>37335.713888888888</v>
      </c>
      <c r="B521" s="12">
        <v>5</v>
      </c>
      <c r="C521" s="37">
        <v>1.4016203703703704E-2</v>
      </c>
      <c r="D521" s="32">
        <v>174</v>
      </c>
      <c r="E521" s="51">
        <f t="shared" si="41"/>
        <v>15.018773466833531</v>
      </c>
      <c r="F521" s="36">
        <f t="shared" si="40"/>
        <v>2.7743055555555572E-3</v>
      </c>
    </row>
    <row r="522" spans="1:6">
      <c r="A522" s="68">
        <v>37335.713888888888</v>
      </c>
      <c r="B522" s="12">
        <v>6</v>
      </c>
      <c r="C522" s="37">
        <v>1.6878472222222222E-2</v>
      </c>
      <c r="D522" s="32">
        <v>176</v>
      </c>
      <c r="E522" s="51">
        <f t="shared" si="41"/>
        <v>14.557217953902148</v>
      </c>
      <c r="F522" s="36">
        <f t="shared" si="40"/>
        <v>2.8622685185185175E-3</v>
      </c>
    </row>
    <row r="523" spans="1:6">
      <c r="A523" s="68">
        <v>37335.713888888888</v>
      </c>
      <c r="B523" s="12">
        <v>7</v>
      </c>
      <c r="C523" s="37">
        <v>1.978125E-2</v>
      </c>
      <c r="D523" s="32">
        <v>175</v>
      </c>
      <c r="E523" s="51">
        <f t="shared" si="41"/>
        <v>14.354066985645931</v>
      </c>
      <c r="F523" s="36">
        <f t="shared" si="40"/>
        <v>2.902777777777778E-3</v>
      </c>
    </row>
    <row r="524" spans="1:6">
      <c r="A524" s="68">
        <v>37335.713888888888</v>
      </c>
      <c r="B524" s="12">
        <v>8</v>
      </c>
      <c r="C524" s="37">
        <v>2.2930555555555555E-2</v>
      </c>
      <c r="D524" s="32">
        <v>172</v>
      </c>
      <c r="E524" s="51">
        <f t="shared" si="41"/>
        <v>13.230429988974645</v>
      </c>
      <c r="F524" s="36">
        <f t="shared" si="40"/>
        <v>3.1493055555555549E-3</v>
      </c>
    </row>
    <row r="526" spans="1:6">
      <c r="A526" s="68">
        <v>37337.709027777775</v>
      </c>
      <c r="B526" s="12">
        <v>1</v>
      </c>
      <c r="C526" s="37">
        <v>2.7893518518518519E-3</v>
      </c>
      <c r="D526" s="32">
        <v>157</v>
      </c>
      <c r="E526" s="51">
        <f>(B526-B525)/((C526-C525)*24)</f>
        <v>14.937759336099585</v>
      </c>
      <c r="F526" s="36">
        <f t="shared" si="40"/>
        <v>2.7893518518518519E-3</v>
      </c>
    </row>
    <row r="527" spans="1:6">
      <c r="A527" s="68">
        <v>37337.709027777775</v>
      </c>
      <c r="B527" s="12">
        <v>2</v>
      </c>
      <c r="C527" s="37">
        <v>5.5219907407407405E-3</v>
      </c>
      <c r="D527" s="32">
        <v>170</v>
      </c>
      <c r="E527" s="51">
        <f t="shared" ref="E527:E532" si="42">(B527-B526)/((C527-C526)*24)</f>
        <v>15.247776365946635</v>
      </c>
      <c r="F527" s="36">
        <f t="shared" si="40"/>
        <v>2.7326388888888886E-3</v>
      </c>
    </row>
    <row r="528" spans="1:6">
      <c r="A528" s="68">
        <v>37337.709027777775</v>
      </c>
      <c r="B528" s="12">
        <v>3</v>
      </c>
      <c r="C528" s="37">
        <v>8.3055555555555556E-3</v>
      </c>
      <c r="D528" s="32">
        <v>172</v>
      </c>
      <c r="E528" s="51">
        <f t="shared" si="42"/>
        <v>14.968814968814968</v>
      </c>
      <c r="F528" s="36">
        <f t="shared" si="40"/>
        <v>2.7835648148148151E-3</v>
      </c>
    </row>
    <row r="529" spans="1:6">
      <c r="A529" s="68">
        <v>37337.709027777775</v>
      </c>
      <c r="B529" s="12">
        <v>4</v>
      </c>
      <c r="C529" s="37">
        <v>1.1040509259259259E-2</v>
      </c>
      <c r="D529" s="32">
        <v>175</v>
      </c>
      <c r="E529" s="51">
        <f t="shared" si="42"/>
        <v>15.234870926787986</v>
      </c>
      <c r="F529" s="36">
        <f t="shared" si="40"/>
        <v>2.734953703703703E-3</v>
      </c>
    </row>
    <row r="530" spans="1:6">
      <c r="A530" s="68">
        <v>37337.709027777775</v>
      </c>
      <c r="B530" s="12">
        <v>5</v>
      </c>
      <c r="C530" s="37">
        <v>1.3807870370370371E-2</v>
      </c>
      <c r="D530" s="32">
        <v>177</v>
      </c>
      <c r="E530" s="51">
        <f t="shared" si="42"/>
        <v>15.056461731493091</v>
      </c>
      <c r="F530" s="36">
        <f t="shared" si="40"/>
        <v>2.7673611111111124E-3</v>
      </c>
    </row>
    <row r="531" spans="1:6">
      <c r="A531" s="68">
        <v>37337.709027777775</v>
      </c>
      <c r="B531" s="12">
        <v>6</v>
      </c>
      <c r="C531" s="37">
        <v>1.6483796296296298E-2</v>
      </c>
      <c r="D531" s="32">
        <v>180</v>
      </c>
      <c r="E531" s="51">
        <f t="shared" si="42"/>
        <v>15.570934256055356</v>
      </c>
      <c r="F531" s="36">
        <f t="shared" si="40"/>
        <v>2.6759259259259271E-3</v>
      </c>
    </row>
    <row r="532" spans="1:6">
      <c r="A532" s="68">
        <v>37337.709027777775</v>
      </c>
      <c r="B532" s="12">
        <v>6.35</v>
      </c>
      <c r="C532" s="37">
        <v>1.7357638888888891E-2</v>
      </c>
      <c r="D532" s="32">
        <v>184</v>
      </c>
      <c r="E532" s="51">
        <f t="shared" si="42"/>
        <v>16.688741721854285</v>
      </c>
      <c r="F532" s="36">
        <f t="shared" si="40"/>
        <v>2.4966931216931247E-3</v>
      </c>
    </row>
    <row r="534" spans="1:6">
      <c r="A534" s="68">
        <v>37347.625694444447</v>
      </c>
      <c r="B534" s="12">
        <v>1</v>
      </c>
      <c r="C534" s="37">
        <v>2.5185185185185185E-3</v>
      </c>
      <c r="D534" s="32">
        <v>156</v>
      </c>
      <c r="E534" s="51">
        <f>(B534-B533)/((C534-C533)*24)</f>
        <v>16.544117647058826</v>
      </c>
      <c r="F534" s="36"/>
    </row>
    <row r="535" spans="1:6">
      <c r="A535" s="68">
        <v>37347.625694444447</v>
      </c>
      <c r="B535" s="12">
        <v>2</v>
      </c>
      <c r="C535" s="37">
        <v>5.2199074074074066E-3</v>
      </c>
      <c r="D535" s="32">
        <v>171</v>
      </c>
      <c r="E535" s="51">
        <f t="shared" ref="E535:E540" si="43">(B535-B534)/((C535-C534)*24)</f>
        <v>15.424164524421599</v>
      </c>
      <c r="F535" s="36">
        <f t="shared" si="40"/>
        <v>2.7013888888888882E-3</v>
      </c>
    </row>
    <row r="536" spans="1:6">
      <c r="A536" s="68">
        <v>37347.625694444447</v>
      </c>
      <c r="B536" s="12">
        <v>3</v>
      </c>
      <c r="C536" s="37">
        <v>8.0462962962962962E-3</v>
      </c>
      <c r="D536" s="32">
        <v>175</v>
      </c>
      <c r="E536" s="51">
        <f t="shared" si="43"/>
        <v>14.742014742014737</v>
      </c>
      <c r="F536" s="36">
        <f t="shared" si="40"/>
        <v>2.82638888888889E-3</v>
      </c>
    </row>
    <row r="537" spans="1:6">
      <c r="A537" s="68">
        <v>37347.625694444447</v>
      </c>
      <c r="B537" s="12">
        <v>4</v>
      </c>
      <c r="C537" s="37">
        <v>1.0488425925925927E-2</v>
      </c>
      <c r="D537" s="32">
        <v>174</v>
      </c>
      <c r="E537" s="51">
        <f t="shared" si="43"/>
        <v>17.061611374407573</v>
      </c>
      <c r="F537" s="36"/>
    </row>
    <row r="538" spans="1:6">
      <c r="A538" s="68">
        <v>37347.625694444447</v>
      </c>
      <c r="B538" s="12">
        <v>5</v>
      </c>
      <c r="C538" s="37">
        <v>1.3324074074074073E-2</v>
      </c>
      <c r="D538" s="32">
        <v>178</v>
      </c>
      <c r="E538" s="51">
        <f t="shared" si="43"/>
        <v>14.693877551020419</v>
      </c>
      <c r="F538" s="36"/>
    </row>
    <row r="539" spans="1:6">
      <c r="A539" s="68">
        <v>37347.625694444447</v>
      </c>
      <c r="B539" s="12">
        <v>6</v>
      </c>
      <c r="C539" s="37">
        <v>1.635185185185185E-2</v>
      </c>
      <c r="D539" s="32">
        <v>177</v>
      </c>
      <c r="E539" s="51">
        <f t="shared" si="43"/>
        <v>13.761467889908261</v>
      </c>
      <c r="F539" s="36">
        <f t="shared" si="40"/>
        <v>3.0277777777777768E-3</v>
      </c>
    </row>
    <row r="540" spans="1:6">
      <c r="A540" s="68">
        <v>37347.625694444447</v>
      </c>
      <c r="B540" s="12">
        <v>7</v>
      </c>
      <c r="C540" s="37">
        <v>1.9309027777777776E-2</v>
      </c>
      <c r="D540" s="32">
        <v>178</v>
      </c>
      <c r="E540" s="51">
        <f t="shared" si="43"/>
        <v>14.090019569471625</v>
      </c>
      <c r="F540" s="36">
        <f t="shared" si="40"/>
        <v>2.9571759259259256E-3</v>
      </c>
    </row>
    <row r="541" spans="1:6">
      <c r="A541" s="68">
        <v>37347.625694444447</v>
      </c>
      <c r="B541" s="12">
        <v>9</v>
      </c>
      <c r="C541" s="37">
        <v>2.4622685185185181E-2</v>
      </c>
      <c r="D541" s="32">
        <v>180</v>
      </c>
      <c r="E541" s="51">
        <f>(B541-B540)/((C541-C540)*24)</f>
        <v>15.682857765192773</v>
      </c>
      <c r="F541" s="36"/>
    </row>
    <row r="542" spans="1:6">
      <c r="A542" s="68">
        <v>37347.625694444447</v>
      </c>
      <c r="B542" s="12">
        <v>10</v>
      </c>
      <c r="C542" s="37">
        <v>2.7509259259259258E-2</v>
      </c>
      <c r="D542" s="32">
        <v>183</v>
      </c>
      <c r="E542" s="51">
        <f>(B542-B541)/((C542-C541)*24)</f>
        <v>14.434643143544497</v>
      </c>
      <c r="F542" s="36">
        <f t="shared" si="40"/>
        <v>2.8865740740740761E-3</v>
      </c>
    </row>
    <row r="543" spans="1:6">
      <c r="A543" s="68">
        <v>37347.625694444447</v>
      </c>
      <c r="B543" s="12">
        <v>11</v>
      </c>
      <c r="C543" s="37">
        <v>3.0276620370370374E-2</v>
      </c>
      <c r="D543" s="32">
        <v>186</v>
      </c>
      <c r="E543" s="51">
        <f>(B543-B542)/((C543-C542)*24)</f>
        <v>15.056461731493071</v>
      </c>
      <c r="F543" s="36">
        <f t="shared" si="40"/>
        <v>2.7673611111111163E-3</v>
      </c>
    </row>
    <row r="544" spans="1:6">
      <c r="A544" s="68">
        <v>37347.625694444447</v>
      </c>
      <c r="B544" s="12">
        <v>12</v>
      </c>
      <c r="C544" s="37">
        <v>3.2648148148148148E-2</v>
      </c>
      <c r="D544" s="32">
        <v>189</v>
      </c>
      <c r="E544" s="51">
        <f>(B544-B543)/((C544-C543)*24)</f>
        <v>17.56954612005859</v>
      </c>
      <c r="F544" s="36"/>
    </row>
    <row r="546" spans="1:6">
      <c r="A546" s="68">
        <v>37348.786805555559</v>
      </c>
      <c r="B546" s="12">
        <v>1</v>
      </c>
      <c r="C546" s="37">
        <v>3.0243055555555561E-3</v>
      </c>
      <c r="D546" s="32">
        <v>155</v>
      </c>
      <c r="E546" s="51">
        <f>(B546-B545)/((C546-C545)*24)</f>
        <v>13.777267508610789</v>
      </c>
      <c r="F546" s="36">
        <f t="shared" ref="F546:F604" si="44">1/(E546*24)</f>
        <v>3.0243055555555566E-3</v>
      </c>
    </row>
    <row r="547" spans="1:6">
      <c r="A547" s="68">
        <v>37348.786805555559</v>
      </c>
      <c r="B547" s="12">
        <v>2</v>
      </c>
      <c r="C547" s="37">
        <v>6.1655092592592595E-3</v>
      </c>
      <c r="D547" s="32">
        <v>158</v>
      </c>
      <c r="E547" s="51">
        <f t="shared" ref="E547:E556" si="45">(B547-B546)/((C547-C546)*24)</f>
        <v>13.26455416359617</v>
      </c>
      <c r="F547" s="36">
        <f t="shared" si="44"/>
        <v>3.1412037037037033E-3</v>
      </c>
    </row>
    <row r="548" spans="1:6">
      <c r="A548" s="68">
        <v>37348.786805555559</v>
      </c>
      <c r="B548" s="12">
        <v>3</v>
      </c>
      <c r="C548" s="37">
        <v>9.3668981481481485E-3</v>
      </c>
      <c r="D548" s="32">
        <v>159</v>
      </c>
      <c r="E548" s="51">
        <f t="shared" si="45"/>
        <v>13.015184381778742</v>
      </c>
      <c r="F548" s="36">
        <f t="shared" si="44"/>
        <v>3.2013888888888886E-3</v>
      </c>
    </row>
    <row r="549" spans="1:6">
      <c r="A549" s="68">
        <v>37348.786805555559</v>
      </c>
      <c r="B549" s="12">
        <v>4</v>
      </c>
      <c r="C549" s="37">
        <v>1.2622685185185183E-2</v>
      </c>
      <c r="D549" s="32">
        <v>159</v>
      </c>
      <c r="E549" s="51">
        <f t="shared" si="45"/>
        <v>12.797724848915758</v>
      </c>
      <c r="F549" s="36">
        <f t="shared" si="44"/>
        <v>3.2557870370370345E-3</v>
      </c>
    </row>
    <row r="550" spans="1:6">
      <c r="A550" s="68">
        <v>37348.786805555559</v>
      </c>
      <c r="B550" s="12">
        <v>5</v>
      </c>
      <c r="C550" s="37">
        <v>1.5951388888888886E-2</v>
      </c>
      <c r="D550" s="32">
        <v>158</v>
      </c>
      <c r="E550" s="51">
        <f t="shared" si="45"/>
        <v>12.517385257301809</v>
      </c>
      <c r="F550" s="36">
        <f t="shared" si="44"/>
        <v>3.3287037037037035E-3</v>
      </c>
    </row>
    <row r="551" spans="1:6">
      <c r="A551" s="68">
        <v>37348.786805555559</v>
      </c>
      <c r="B551" s="12">
        <v>6</v>
      </c>
      <c r="C551" s="37">
        <v>1.9317129629629629E-2</v>
      </c>
      <c r="D551" s="32">
        <v>159</v>
      </c>
      <c r="E551" s="51">
        <f t="shared" si="45"/>
        <v>12.379642365887204</v>
      </c>
      <c r="F551" s="36">
        <f t="shared" si="44"/>
        <v>3.3657407407407421E-3</v>
      </c>
    </row>
    <row r="552" spans="1:6">
      <c r="A552" s="68">
        <v>37348.786805555559</v>
      </c>
      <c r="B552" s="12">
        <v>7</v>
      </c>
      <c r="C552" s="37">
        <v>2.2665509259259264E-2</v>
      </c>
      <c r="D552" s="32">
        <v>158</v>
      </c>
      <c r="E552" s="51">
        <f t="shared" si="45"/>
        <v>12.44382993432421</v>
      </c>
      <c r="F552" s="36">
        <f t="shared" si="44"/>
        <v>3.3483796296296356E-3</v>
      </c>
    </row>
    <row r="553" spans="1:6">
      <c r="A553" s="68">
        <v>37348.786805555559</v>
      </c>
      <c r="B553" s="12">
        <v>8</v>
      </c>
      <c r="C553" s="37">
        <v>2.6032407407407407E-2</v>
      </c>
      <c r="D553" s="32">
        <v>158</v>
      </c>
      <c r="E553" s="51">
        <f t="shared" si="45"/>
        <v>12.375386730835357</v>
      </c>
      <c r="F553" s="36">
        <f t="shared" si="44"/>
        <v>3.3668981481481432E-3</v>
      </c>
    </row>
    <row r="554" spans="1:6">
      <c r="A554" s="68">
        <v>37348.786805555559</v>
      </c>
      <c r="B554" s="12">
        <v>9</v>
      </c>
      <c r="C554" s="37">
        <v>2.9390046296296296E-2</v>
      </c>
      <c r="D554" s="32">
        <v>160</v>
      </c>
      <c r="E554" s="51">
        <f t="shared" si="45"/>
        <v>12.409513960703205</v>
      </c>
      <c r="F554" s="36">
        <f t="shared" si="44"/>
        <v>3.3576388888888896E-3</v>
      </c>
    </row>
    <row r="555" spans="1:6">
      <c r="A555" s="68">
        <v>37348.786805555559</v>
      </c>
      <c r="B555" s="12">
        <v>10</v>
      </c>
      <c r="C555" s="37">
        <v>3.2228009259259262E-2</v>
      </c>
      <c r="D555" s="32">
        <v>168</v>
      </c>
      <c r="E555" s="51">
        <f t="shared" si="45"/>
        <v>14.681892332789545</v>
      </c>
      <c r="F555" s="36">
        <f t="shared" si="44"/>
        <v>2.8379629629629657E-3</v>
      </c>
    </row>
    <row r="556" spans="1:6">
      <c r="A556" s="68">
        <v>37348.786805555559</v>
      </c>
      <c r="B556" s="12">
        <v>10.26</v>
      </c>
      <c r="C556" s="37">
        <v>3.2994212962962961E-2</v>
      </c>
      <c r="D556" s="32">
        <v>172</v>
      </c>
      <c r="E556" s="51">
        <f t="shared" si="45"/>
        <v>14.13897280966774</v>
      </c>
      <c r="F556" s="36">
        <f t="shared" si="44"/>
        <v>2.9469373219373081E-3</v>
      </c>
    </row>
    <row r="558" spans="1:6">
      <c r="A558" s="68">
        <v>37351.713888888888</v>
      </c>
      <c r="B558" s="12">
        <v>1</v>
      </c>
      <c r="C558" s="37">
        <v>4.6724537037037038E-3</v>
      </c>
      <c r="D558" s="32">
        <v>128</v>
      </c>
      <c r="E558" s="51">
        <f>(B558-B557)/((C558-C557)*24)</f>
        <v>8.9175130047064641</v>
      </c>
      <c r="F558" s="36">
        <f t="shared" si="44"/>
        <v>4.6724537037037038E-3</v>
      </c>
    </row>
    <row r="559" spans="1:6">
      <c r="A559" s="68">
        <v>37351.713888888888</v>
      </c>
      <c r="B559" s="12">
        <v>2</v>
      </c>
      <c r="C559" s="37">
        <v>8.6192129629629622E-3</v>
      </c>
      <c r="D559" s="32">
        <v>140</v>
      </c>
      <c r="E559" s="51">
        <f t="shared" ref="E559:E568" si="46">(B559-B558)/((C559-C558)*24)</f>
        <v>10.557184750733139</v>
      </c>
      <c r="F559" s="36">
        <f t="shared" si="44"/>
        <v>3.9467592592592584E-3</v>
      </c>
    </row>
    <row r="560" spans="1:6">
      <c r="A560" s="68">
        <v>37351.713888888888</v>
      </c>
      <c r="B560" s="12">
        <v>3</v>
      </c>
      <c r="C560" s="37">
        <v>1.2305555555555556E-2</v>
      </c>
      <c r="D560" s="32">
        <v>150</v>
      </c>
      <c r="E560" s="51">
        <f t="shared" si="46"/>
        <v>11.302982731554158</v>
      </c>
      <c r="F560" s="36">
        <f t="shared" si="44"/>
        <v>3.6863425925925935E-3</v>
      </c>
    </row>
    <row r="561" spans="1:6">
      <c r="A561" s="68">
        <v>37351.713888888888</v>
      </c>
      <c r="B561" s="12">
        <v>4</v>
      </c>
      <c r="C561" s="37">
        <v>1.5912037037037037E-2</v>
      </c>
      <c r="D561" s="32">
        <v>151</v>
      </c>
      <c r="E561" s="51">
        <f t="shared" si="46"/>
        <v>11.553273427471117</v>
      </c>
      <c r="F561" s="36">
        <f t="shared" si="44"/>
        <v>3.6064814814814818E-3</v>
      </c>
    </row>
    <row r="562" spans="1:6">
      <c r="A562" s="68">
        <v>37351.713888888888</v>
      </c>
      <c r="B562" s="12">
        <v>5</v>
      </c>
      <c r="C562" s="37">
        <v>1.9258101851851849E-2</v>
      </c>
      <c r="D562" s="32">
        <v>153</v>
      </c>
      <c r="E562" s="51">
        <f t="shared" si="46"/>
        <v>12.452438602559678</v>
      </c>
      <c r="F562" s="36">
        <f t="shared" si="44"/>
        <v>3.3460648148148126E-3</v>
      </c>
    </row>
    <row r="563" spans="1:6">
      <c r="A563" s="68">
        <v>37351.713888888888</v>
      </c>
      <c r="B563" s="12">
        <v>6</v>
      </c>
      <c r="C563" s="37">
        <v>2.2508101851851856E-2</v>
      </c>
      <c r="D563" s="32">
        <v>157</v>
      </c>
      <c r="E563" s="51">
        <f t="shared" si="46"/>
        <v>12.820512820512796</v>
      </c>
      <c r="F563" s="36">
        <f t="shared" si="44"/>
        <v>3.2500000000000064E-3</v>
      </c>
    </row>
    <row r="564" spans="1:6">
      <c r="A564" s="68">
        <v>37351.713888888888</v>
      </c>
      <c r="B564" s="12">
        <v>7</v>
      </c>
      <c r="C564" s="37">
        <v>2.5607638888888892E-2</v>
      </c>
      <c r="D564" s="32">
        <v>163</v>
      </c>
      <c r="E564" s="51">
        <f t="shared" si="46"/>
        <v>13.442867811799855</v>
      </c>
      <c r="F564" s="36">
        <f t="shared" si="44"/>
        <v>3.0995370370370361E-3</v>
      </c>
    </row>
    <row r="565" spans="1:6">
      <c r="A565" s="68">
        <v>37351.713888888888</v>
      </c>
      <c r="B565" s="12">
        <v>8</v>
      </c>
      <c r="C565" s="37">
        <v>2.8497685185185185E-2</v>
      </c>
      <c r="D565" s="32">
        <v>169</v>
      </c>
      <c r="E565" s="51">
        <f t="shared" si="46"/>
        <v>14.417300760913111</v>
      </c>
      <c r="F565" s="36">
        <f t="shared" si="44"/>
        <v>2.8900462962962929E-3</v>
      </c>
    </row>
    <row r="566" spans="1:6">
      <c r="A566" s="68">
        <v>37351.713888888888</v>
      </c>
      <c r="B566" s="12">
        <v>9</v>
      </c>
      <c r="C566" s="37">
        <v>3.150578703703704E-2</v>
      </c>
      <c r="D566" s="32">
        <v>172</v>
      </c>
      <c r="E566" s="51">
        <f t="shared" si="46"/>
        <v>13.851481338976512</v>
      </c>
      <c r="F566" s="36">
        <f t="shared" si="44"/>
        <v>3.0081018518518556E-3</v>
      </c>
    </row>
    <row r="567" spans="1:6">
      <c r="A567" s="68">
        <v>37351.713888888888</v>
      </c>
      <c r="B567" s="12">
        <v>10</v>
      </c>
      <c r="C567" s="37">
        <v>3.4355324074074073E-2</v>
      </c>
      <c r="D567" s="32">
        <v>172</v>
      </c>
      <c r="E567" s="51">
        <f t="shared" si="46"/>
        <v>14.622258326563793</v>
      </c>
      <c r="F567" s="36">
        <f t="shared" si="44"/>
        <v>2.8495370370370324E-3</v>
      </c>
    </row>
    <row r="568" spans="1:6">
      <c r="A568" s="68">
        <v>37351.713888888888</v>
      </c>
      <c r="B568" s="12">
        <v>10.26</v>
      </c>
      <c r="C568" s="37">
        <v>3.5131944444444445E-2</v>
      </c>
      <c r="D568" s="32">
        <v>176</v>
      </c>
      <c r="E568" s="51">
        <f t="shared" si="46"/>
        <v>13.949329359165384</v>
      </c>
      <c r="F568" s="36">
        <f t="shared" si="44"/>
        <v>2.9870014245014331E-3</v>
      </c>
    </row>
    <row r="570" spans="1:6">
      <c r="A570" s="68">
        <v>37356.850694444445</v>
      </c>
      <c r="B570" s="12">
        <v>1</v>
      </c>
      <c r="C570" s="37">
        <v>3.3819444444444444E-3</v>
      </c>
      <c r="D570" s="32">
        <v>152</v>
      </c>
      <c r="E570" s="51">
        <f>(B570-B569)/((C570-C569)*24)</f>
        <v>12.320328542094456</v>
      </c>
      <c r="F570" s="36">
        <f t="shared" si="44"/>
        <v>3.3819444444444444E-3</v>
      </c>
    </row>
    <row r="571" spans="1:6">
      <c r="A571" s="68">
        <v>37356.850694444445</v>
      </c>
      <c r="B571" s="12">
        <v>2</v>
      </c>
      <c r="C571" s="37">
        <v>6.5081018518518517E-3</v>
      </c>
      <c r="D571" s="32">
        <v>163</v>
      </c>
      <c r="E571" s="51">
        <f t="shared" ref="E571:E580" si="47">(B571-B570)/((C571-C570)*24)</f>
        <v>13.328396890040725</v>
      </c>
      <c r="F571" s="36">
        <f t="shared" si="44"/>
        <v>3.1261574074074074E-3</v>
      </c>
    </row>
    <row r="572" spans="1:6">
      <c r="A572" s="68">
        <v>37356.850694444445</v>
      </c>
      <c r="B572" s="12">
        <v>3</v>
      </c>
      <c r="C572" s="37">
        <v>9.6342592592592591E-3</v>
      </c>
      <c r="D572" s="32">
        <v>165</v>
      </c>
      <c r="E572" s="51">
        <f t="shared" si="47"/>
        <v>13.328396890040725</v>
      </c>
      <c r="F572" s="36">
        <f t="shared" si="44"/>
        <v>3.1261574074074074E-3</v>
      </c>
    </row>
    <row r="573" spans="1:6">
      <c r="A573" s="68">
        <v>37356.850694444445</v>
      </c>
      <c r="B573" s="12">
        <v>4</v>
      </c>
      <c r="C573" s="37">
        <v>1.2658564814814815E-2</v>
      </c>
      <c r="D573" s="32">
        <v>169</v>
      </c>
      <c r="E573" s="51">
        <f t="shared" si="47"/>
        <v>13.777267508610789</v>
      </c>
      <c r="F573" s="36">
        <f t="shared" si="44"/>
        <v>3.0243055555555566E-3</v>
      </c>
    </row>
    <row r="574" spans="1:6">
      <c r="A574" s="68">
        <v>37356.850694444445</v>
      </c>
      <c r="B574" s="12">
        <v>5</v>
      </c>
      <c r="C574" s="37">
        <v>1.5564814814814816E-2</v>
      </c>
      <c r="D574" s="32">
        <v>171</v>
      </c>
      <c r="E574" s="51">
        <f t="shared" si="47"/>
        <v>14.336917562724009</v>
      </c>
      <c r="F574" s="36">
        <f t="shared" si="44"/>
        <v>2.9062500000000013E-3</v>
      </c>
    </row>
    <row r="575" spans="1:6">
      <c r="A575" s="68">
        <v>37356.850694444445</v>
      </c>
      <c r="B575" s="12">
        <v>6</v>
      </c>
      <c r="C575" s="37">
        <v>1.847800925925926E-2</v>
      </c>
      <c r="D575" s="32">
        <v>175</v>
      </c>
      <c r="E575" s="51">
        <f t="shared" si="47"/>
        <v>14.302741358760432</v>
      </c>
      <c r="F575" s="36">
        <f t="shared" si="44"/>
        <v>2.9131944444444435E-3</v>
      </c>
    </row>
    <row r="576" spans="1:6">
      <c r="A576" s="68">
        <v>37356.850694444445</v>
      </c>
      <c r="B576" s="12">
        <v>7</v>
      </c>
      <c r="C576" s="37">
        <v>2.1297453703703704E-2</v>
      </c>
      <c r="D576" s="32">
        <v>179</v>
      </c>
      <c r="E576" s="51">
        <f t="shared" si="47"/>
        <v>14.778325123152712</v>
      </c>
      <c r="F576" s="36">
        <f t="shared" si="44"/>
        <v>2.8194444444444439E-3</v>
      </c>
    </row>
    <row r="577" spans="1:7">
      <c r="A577" s="68">
        <v>37356.850694444445</v>
      </c>
      <c r="B577" s="12">
        <v>8</v>
      </c>
      <c r="C577" s="37">
        <v>2.4143518518518519E-2</v>
      </c>
      <c r="D577" s="32">
        <v>181</v>
      </c>
      <c r="E577" s="51">
        <f t="shared" si="47"/>
        <v>14.64009760065067</v>
      </c>
      <c r="F577" s="36">
        <f t="shared" si="44"/>
        <v>2.8460648148148152E-3</v>
      </c>
    </row>
    <row r="578" spans="1:7">
      <c r="A578" s="68">
        <v>37356.850694444445</v>
      </c>
      <c r="B578" s="12">
        <v>9</v>
      </c>
      <c r="C578" s="37">
        <v>2.7086805555555555E-2</v>
      </c>
      <c r="D578" s="32">
        <v>182</v>
      </c>
      <c r="E578" s="51">
        <f t="shared" si="47"/>
        <v>14.156508061344873</v>
      </c>
      <c r="F578" s="36">
        <f t="shared" si="44"/>
        <v>2.9432870370370359E-3</v>
      </c>
    </row>
    <row r="579" spans="1:7">
      <c r="A579" s="68">
        <v>37356.850694444445</v>
      </c>
      <c r="B579" s="12">
        <v>10</v>
      </c>
      <c r="C579" s="37">
        <v>2.9840277777777775E-2</v>
      </c>
      <c r="D579" s="32">
        <v>183</v>
      </c>
      <c r="E579" s="51">
        <f t="shared" si="47"/>
        <v>15.13240857503154</v>
      </c>
      <c r="F579" s="36">
        <f t="shared" si="44"/>
        <v>2.7534722222222197E-3</v>
      </c>
    </row>
    <row r="580" spans="1:7">
      <c r="A580" s="68">
        <v>37356.850694444445</v>
      </c>
      <c r="B580" s="12">
        <v>10.26</v>
      </c>
      <c r="C580" s="37">
        <v>3.0607638888888889E-2</v>
      </c>
      <c r="D580" s="32">
        <v>184</v>
      </c>
      <c r="E580" s="51">
        <f t="shared" si="47"/>
        <v>14.117647058823456</v>
      </c>
      <c r="F580" s="36">
        <f t="shared" si="44"/>
        <v>2.9513888888889044E-3</v>
      </c>
    </row>
    <row r="582" spans="1:7">
      <c r="A582" s="68">
        <v>37359.607638888891</v>
      </c>
      <c r="B582" s="12">
        <v>1</v>
      </c>
      <c r="C582" s="37">
        <v>3.0624999999999997E-3</v>
      </c>
      <c r="D582" s="32">
        <v>155</v>
      </c>
      <c r="E582" s="51">
        <f>(B582-B581)/((C582-C581)*24)</f>
        <v>13.605442176870749</v>
      </c>
      <c r="F582" s="36">
        <f t="shared" si="44"/>
        <v>3.0625000000000001E-3</v>
      </c>
    </row>
    <row r="583" spans="1:7">
      <c r="A583" s="68">
        <v>37359.607638888891</v>
      </c>
      <c r="B583" s="12">
        <v>2</v>
      </c>
      <c r="C583" s="37">
        <v>5.9178240740740745E-3</v>
      </c>
      <c r="D583" s="32">
        <v>179</v>
      </c>
      <c r="E583" s="51">
        <f t="shared" ref="E583:E592" si="48">(B583-B582)/((C583-C582)*24)</f>
        <v>14.592622618565054</v>
      </c>
      <c r="F583" s="36">
        <f t="shared" si="44"/>
        <v>2.8553240740740748E-3</v>
      </c>
    </row>
    <row r="584" spans="1:7">
      <c r="A584" s="68">
        <v>37359.607638888891</v>
      </c>
      <c r="B584" s="12">
        <v>3</v>
      </c>
      <c r="C584" s="37">
        <v>8.8634259259259256E-3</v>
      </c>
      <c r="D584" s="32">
        <v>172</v>
      </c>
      <c r="E584" s="51">
        <f t="shared" si="48"/>
        <v>14.145383104125742</v>
      </c>
      <c r="F584" s="36">
        <f t="shared" si="44"/>
        <v>2.9456018518518507E-3</v>
      </c>
    </row>
    <row r="585" spans="1:7">
      <c r="A585" s="68">
        <v>37359.607638888891</v>
      </c>
      <c r="B585" s="12">
        <v>4</v>
      </c>
      <c r="C585" s="37">
        <v>1.179976851851852E-2</v>
      </c>
      <c r="D585" s="32">
        <v>172</v>
      </c>
      <c r="E585" s="51">
        <f t="shared" si="48"/>
        <v>14.189988175009844</v>
      </c>
      <c r="F585" s="36">
        <f t="shared" si="44"/>
        <v>2.9363425925925946E-3</v>
      </c>
    </row>
    <row r="586" spans="1:7">
      <c r="A586" s="68">
        <v>37359.607638888891</v>
      </c>
      <c r="B586" s="12">
        <v>5</v>
      </c>
      <c r="C586" s="37">
        <v>1.4777777777777779E-2</v>
      </c>
      <c r="D586" s="32">
        <v>174</v>
      </c>
      <c r="E586" s="51">
        <f t="shared" si="48"/>
        <v>13.991449669646331</v>
      </c>
      <c r="F586" s="36">
        <f t="shared" si="44"/>
        <v>2.9780092592592584E-3</v>
      </c>
    </row>
    <row r="587" spans="1:7">
      <c r="A587" s="68">
        <v>37359.607638888891</v>
      </c>
      <c r="B587" s="12">
        <v>6</v>
      </c>
      <c r="C587" s="37">
        <v>1.7665509259259259E-2</v>
      </c>
      <c r="D587" s="32">
        <v>179</v>
      </c>
      <c r="E587" s="51">
        <f t="shared" si="48"/>
        <v>14.428857715430865</v>
      </c>
      <c r="F587" s="36">
        <f t="shared" si="44"/>
        <v>2.8877314814814807E-3</v>
      </c>
    </row>
    <row r="588" spans="1:7">
      <c r="A588" s="68">
        <v>37359.607638888891</v>
      </c>
      <c r="B588" s="12">
        <v>7</v>
      </c>
      <c r="C588" s="37">
        <v>2.0575231481481483E-2</v>
      </c>
      <c r="D588" s="32">
        <v>180</v>
      </c>
      <c r="E588" s="51">
        <f t="shared" si="48"/>
        <v>14.319809069212406</v>
      </c>
      <c r="F588" s="36">
        <f t="shared" si="44"/>
        <v>2.9097222222222233E-3</v>
      </c>
    </row>
    <row r="589" spans="1:7">
      <c r="A589" s="68">
        <v>37359.607638888891</v>
      </c>
      <c r="B589" s="12">
        <v>8</v>
      </c>
      <c r="C589" s="37">
        <v>2.3498842592592592E-2</v>
      </c>
      <c r="D589" s="32">
        <v>181</v>
      </c>
      <c r="E589" s="51">
        <f t="shared" si="48"/>
        <v>14.251781472684094</v>
      </c>
      <c r="F589" s="36">
        <f t="shared" si="44"/>
        <v>2.9236111111111095E-3</v>
      </c>
    </row>
    <row r="590" spans="1:7">
      <c r="A590" s="68">
        <v>37359.607638888891</v>
      </c>
      <c r="B590" s="12">
        <v>9</v>
      </c>
      <c r="C590" s="37">
        <v>2.642361111111111E-2</v>
      </c>
      <c r="D590" s="32">
        <v>184</v>
      </c>
      <c r="E590" s="51">
        <f t="shared" si="48"/>
        <v>14.246141669964389</v>
      </c>
      <c r="F590" s="36">
        <f t="shared" si="44"/>
        <v>2.9247685185185175E-3</v>
      </c>
    </row>
    <row r="591" spans="1:7">
      <c r="A591" s="68">
        <v>37359.607638888891</v>
      </c>
      <c r="B591" s="12">
        <v>10</v>
      </c>
      <c r="C591" s="37">
        <v>2.9114583333333333E-2</v>
      </c>
      <c r="D591" s="32">
        <v>187</v>
      </c>
      <c r="E591" s="51">
        <f t="shared" si="48"/>
        <v>15.483870967741931</v>
      </c>
      <c r="F591" s="36">
        <f t="shared" si="44"/>
        <v>2.6909722222222231E-3</v>
      </c>
    </row>
    <row r="592" spans="1:7">
      <c r="A592" s="68">
        <v>37359.607638888891</v>
      </c>
      <c r="B592" s="12">
        <v>10.26</v>
      </c>
      <c r="C592" s="37">
        <v>2.9789351851851855E-2</v>
      </c>
      <c r="D592" s="32">
        <v>192</v>
      </c>
      <c r="E592" s="51">
        <f t="shared" si="48"/>
        <v>16.054888507718591</v>
      </c>
      <c r="F592" s="36">
        <f t="shared" si="44"/>
        <v>2.5952635327635499E-3</v>
      </c>
      <c r="G592" s="34">
        <f>1/(F592*24)</f>
        <v>16.054888507718591</v>
      </c>
    </row>
    <row r="594" spans="1:6">
      <c r="A594" s="68">
        <v>37384.888888888891</v>
      </c>
      <c r="B594" s="12">
        <v>1</v>
      </c>
      <c r="C594" s="37">
        <v>2.8483796296296295E-3</v>
      </c>
      <c r="D594" s="32">
        <v>153</v>
      </c>
      <c r="E594" s="51">
        <f>(B594-B593)/((C594-C593)*24)</f>
        <v>14.628199918732223</v>
      </c>
      <c r="F594" s="36">
        <f t="shared" si="44"/>
        <v>2.8483796296296295E-3</v>
      </c>
    </row>
    <row r="595" spans="1:6">
      <c r="A595" s="68">
        <v>37384.888888888891</v>
      </c>
      <c r="B595" s="12">
        <v>2</v>
      </c>
      <c r="C595" s="37">
        <v>5.5104166666666669E-3</v>
      </c>
      <c r="D595" s="32">
        <v>166</v>
      </c>
      <c r="E595" s="51">
        <f t="shared" ref="E595:E604" si="49">(B595-B594)/((C595-C594)*24)</f>
        <v>15.652173913043477</v>
      </c>
      <c r="F595" s="36">
        <f t="shared" si="44"/>
        <v>2.6620370370370374E-3</v>
      </c>
    </row>
    <row r="596" spans="1:6">
      <c r="A596" s="68">
        <v>37384.888888888891</v>
      </c>
      <c r="B596" s="12">
        <v>3</v>
      </c>
      <c r="C596" s="37">
        <v>8.1597222222222227E-3</v>
      </c>
      <c r="D596" s="32">
        <v>169</v>
      </c>
      <c r="E596" s="51">
        <f t="shared" si="49"/>
        <v>15.727391874180864</v>
      </c>
      <c r="F596" s="36">
        <f t="shared" si="44"/>
        <v>2.6493055555555558E-3</v>
      </c>
    </row>
    <row r="597" spans="1:6">
      <c r="A597" s="68">
        <v>37384.888888888891</v>
      </c>
      <c r="B597" s="12">
        <v>4</v>
      </c>
      <c r="C597" s="37">
        <v>1.0802083333333332E-2</v>
      </c>
      <c r="D597" s="32">
        <v>172</v>
      </c>
      <c r="E597" s="51">
        <f t="shared" si="49"/>
        <v>15.768725361366634</v>
      </c>
      <c r="F597" s="36">
        <f t="shared" si="44"/>
        <v>2.6423611111111092E-3</v>
      </c>
    </row>
    <row r="598" spans="1:6">
      <c r="A598" s="68">
        <v>37384.888888888891</v>
      </c>
      <c r="B598" s="12">
        <v>5</v>
      </c>
      <c r="C598" s="37">
        <v>1.3435185185185187E-2</v>
      </c>
      <c r="D598" s="32">
        <v>173</v>
      </c>
      <c r="E598" s="51">
        <f t="shared" si="49"/>
        <v>15.824175824175803</v>
      </c>
      <c r="F598" s="36">
        <f t="shared" si="44"/>
        <v>2.6331018518518552E-3</v>
      </c>
    </row>
    <row r="599" spans="1:6">
      <c r="A599" s="68">
        <v>37384.888888888891</v>
      </c>
      <c r="B599" s="12">
        <v>6</v>
      </c>
      <c r="C599" s="37">
        <v>1.6078703703703703E-2</v>
      </c>
      <c r="D599" s="32">
        <v>175</v>
      </c>
      <c r="E599" s="51">
        <f t="shared" si="49"/>
        <v>15.761821366024536</v>
      </c>
      <c r="F599" s="36">
        <f t="shared" si="44"/>
        <v>2.6435185185185155E-3</v>
      </c>
    </row>
    <row r="600" spans="1:6">
      <c r="A600" s="68">
        <v>37384.888888888891</v>
      </c>
      <c r="B600" s="12">
        <v>7</v>
      </c>
      <c r="C600" s="37">
        <v>1.874189814814815E-2</v>
      </c>
      <c r="D600" s="32">
        <v>176</v>
      </c>
      <c r="E600" s="51">
        <f t="shared" si="49"/>
        <v>15.64537157757495</v>
      </c>
      <c r="F600" s="36">
        <f t="shared" si="44"/>
        <v>2.6631944444444472E-3</v>
      </c>
    </row>
    <row r="601" spans="1:6">
      <c r="A601" s="68">
        <v>37384.888888888891</v>
      </c>
      <c r="B601" s="12">
        <v>8</v>
      </c>
      <c r="C601" s="37">
        <v>2.1424768518518517E-2</v>
      </c>
      <c r="D601" s="32">
        <v>177</v>
      </c>
      <c r="E601" s="51">
        <f t="shared" si="49"/>
        <v>15.53062985332185</v>
      </c>
      <c r="F601" s="36">
        <f t="shared" si="44"/>
        <v>2.6828703703703667E-3</v>
      </c>
    </row>
    <row r="602" spans="1:6">
      <c r="A602" s="68">
        <v>37384.888888888891</v>
      </c>
      <c r="B602" s="12">
        <v>9</v>
      </c>
      <c r="C602" s="37">
        <v>2.413541666666667E-2</v>
      </c>
      <c r="D602" s="32">
        <v>179</v>
      </c>
      <c r="E602" s="51">
        <f t="shared" si="49"/>
        <v>15.3714773697694</v>
      </c>
      <c r="F602" s="36">
        <f t="shared" si="44"/>
        <v>2.7106481481481534E-3</v>
      </c>
    </row>
    <row r="603" spans="1:6">
      <c r="A603" s="68">
        <v>37384.888888888891</v>
      </c>
      <c r="B603" s="12">
        <v>10</v>
      </c>
      <c r="C603" s="37">
        <v>2.6680555555555555E-2</v>
      </c>
      <c r="D603" s="32">
        <v>181</v>
      </c>
      <c r="E603" s="51">
        <f t="shared" si="49"/>
        <v>16.371077762619397</v>
      </c>
      <c r="F603" s="36">
        <f t="shared" si="44"/>
        <v>2.545138888888885E-3</v>
      </c>
    </row>
    <row r="604" spans="1:6">
      <c r="A604" s="68">
        <v>37384.888888888891</v>
      </c>
      <c r="B604" s="12">
        <v>10.26</v>
      </c>
      <c r="C604" s="37">
        <v>2.7408564814814813E-2</v>
      </c>
      <c r="D604" s="32">
        <v>180</v>
      </c>
      <c r="E604" s="51">
        <f t="shared" si="49"/>
        <v>14.880763116057246</v>
      </c>
      <c r="F604" s="36">
        <f t="shared" si="44"/>
        <v>2.8000356125356101E-3</v>
      </c>
    </row>
    <row r="606" spans="1:6">
      <c r="A606" s="68">
        <v>37408.813888888886</v>
      </c>
      <c r="B606" s="12">
        <v>2</v>
      </c>
      <c r="C606" s="37">
        <v>5.2743055555555555E-3</v>
      </c>
      <c r="D606" s="32">
        <v>160</v>
      </c>
      <c r="E606" s="51">
        <f>(B606-I227)/((C606-J227)*24)</f>
        <v>15.799868334430547</v>
      </c>
      <c r="F606" s="36">
        <f>1/(E606*24)</f>
        <v>2.6371527777777778E-3</v>
      </c>
    </row>
    <row r="607" spans="1:6">
      <c r="A607" s="68">
        <v>37408.813888888886</v>
      </c>
      <c r="B607" s="12">
        <v>4</v>
      </c>
      <c r="C607" s="37">
        <v>1.0209490740740739E-2</v>
      </c>
      <c r="D607" s="32">
        <v>173</v>
      </c>
      <c r="E607" s="51">
        <f t="shared" ref="E607:E612" si="50">(B607-B606)/((C607-C606)*24)</f>
        <v>16.88555347091933</v>
      </c>
      <c r="F607" s="36">
        <f t="shared" ref="F607:F672" si="51">1/(E607*24)</f>
        <v>2.467592592592592E-3</v>
      </c>
    </row>
    <row r="608" spans="1:6">
      <c r="A608" s="68">
        <v>37408.813888888886</v>
      </c>
      <c r="B608" s="12">
        <v>6</v>
      </c>
      <c r="C608" s="37">
        <v>1.551388888888889E-2</v>
      </c>
      <c r="D608" s="32">
        <v>177</v>
      </c>
      <c r="E608" s="51">
        <f t="shared" si="50"/>
        <v>15.710233471525195</v>
      </c>
      <c r="F608" s="36">
        <f t="shared" si="51"/>
        <v>2.652199074074075E-3</v>
      </c>
    </row>
    <row r="609" spans="1:6">
      <c r="A609" s="68">
        <v>37408.813888888886</v>
      </c>
      <c r="B609" s="12">
        <v>6.47</v>
      </c>
      <c r="C609" s="37">
        <v>1.681712962962963E-2</v>
      </c>
      <c r="D609" s="32">
        <v>178</v>
      </c>
      <c r="E609" s="51">
        <f t="shared" si="50"/>
        <v>15.026642984014208</v>
      </c>
      <c r="F609" s="36">
        <f t="shared" si="51"/>
        <v>2.772852639873917E-3</v>
      </c>
    </row>
    <row r="610" spans="1:6">
      <c r="A610" s="68">
        <v>37408.813888888886</v>
      </c>
      <c r="B610" s="12">
        <v>8.4700000000000006</v>
      </c>
      <c r="C610" s="37">
        <v>2.2070601851851852E-2</v>
      </c>
      <c r="D610" s="32">
        <v>181</v>
      </c>
      <c r="E610" s="51">
        <f t="shared" si="50"/>
        <v>15.862524785194985</v>
      </c>
      <c r="F610" s="36">
        <f t="shared" si="51"/>
        <v>2.6267361111111096E-3</v>
      </c>
    </row>
    <row r="611" spans="1:6">
      <c r="A611" s="68">
        <v>37408.813888888886</v>
      </c>
      <c r="B611" s="12">
        <v>10.47</v>
      </c>
      <c r="C611" s="37">
        <v>2.703125E-2</v>
      </c>
      <c r="D611" s="32">
        <v>182</v>
      </c>
      <c r="E611" s="51">
        <f t="shared" si="50"/>
        <v>16.798880074661689</v>
      </c>
      <c r="F611" s="36">
        <f t="shared" si="51"/>
        <v>2.480324074074074E-3</v>
      </c>
    </row>
    <row r="612" spans="1:6">
      <c r="A612" s="68">
        <v>37408.813888888886</v>
      </c>
      <c r="B612" s="12">
        <v>12.94</v>
      </c>
      <c r="C612" s="37">
        <v>3.4021990740740742E-2</v>
      </c>
      <c r="D612" s="32">
        <v>183</v>
      </c>
      <c r="E612" s="51">
        <f t="shared" si="50"/>
        <v>14.721854304635752</v>
      </c>
      <c r="F612" s="36">
        <f t="shared" si="51"/>
        <v>2.8302594092067799E-3</v>
      </c>
    </row>
    <row r="614" spans="1:6">
      <c r="A614" s="68">
        <v>37414.726388888892</v>
      </c>
      <c r="B614" s="12">
        <v>1</v>
      </c>
      <c r="C614" s="37">
        <v>2.5439814814814813E-3</v>
      </c>
      <c r="D614" s="32">
        <v>153</v>
      </c>
      <c r="E614" s="51">
        <f>(B614-B613)/((C614-C613)*24)</f>
        <v>16.378525932666061</v>
      </c>
      <c r="F614" s="36">
        <f t="shared" si="51"/>
        <v>2.5439814814814813E-3</v>
      </c>
    </row>
    <row r="615" spans="1:6">
      <c r="A615" s="68">
        <v>37414.726388888892</v>
      </c>
      <c r="B615" s="12">
        <v>2</v>
      </c>
      <c r="C615" s="37">
        <v>5.0335648148148145E-3</v>
      </c>
      <c r="D615" s="32">
        <v>168</v>
      </c>
      <c r="E615" s="51">
        <f t="shared" ref="E615:E633" si="52">(B615-B614)/((C615-C614)*24)</f>
        <v>16.736401673640167</v>
      </c>
      <c r="F615" s="36">
        <f t="shared" si="51"/>
        <v>2.4895833333333332E-3</v>
      </c>
    </row>
    <row r="616" spans="1:6">
      <c r="A616" s="68">
        <v>37414.726388888892</v>
      </c>
      <c r="B616" s="12">
        <v>3</v>
      </c>
      <c r="C616" s="37">
        <v>7.5671296296296294E-3</v>
      </c>
      <c r="D616" s="32">
        <v>171</v>
      </c>
      <c r="E616" s="51">
        <f t="shared" si="52"/>
        <v>16.445865692096849</v>
      </c>
      <c r="F616" s="36">
        <f t="shared" si="51"/>
        <v>2.5335648148148144E-3</v>
      </c>
    </row>
    <row r="617" spans="1:6">
      <c r="A617" s="68">
        <v>37414.726388888892</v>
      </c>
      <c r="B617" s="12">
        <v>4</v>
      </c>
      <c r="C617" s="37">
        <v>1.0084490740740741E-2</v>
      </c>
      <c r="D617" s="32">
        <v>172</v>
      </c>
      <c r="E617" s="51">
        <f t="shared" si="52"/>
        <v>16.551724137931032</v>
      </c>
      <c r="F617" s="36">
        <f t="shared" si="51"/>
        <v>2.5173611111111113E-3</v>
      </c>
    </row>
    <row r="618" spans="1:6">
      <c r="A618" s="68">
        <v>37414.726388888892</v>
      </c>
      <c r="B618" s="12">
        <v>5</v>
      </c>
      <c r="C618" s="37">
        <v>1.2550925925925925E-2</v>
      </c>
      <c r="D618" s="32">
        <v>176</v>
      </c>
      <c r="E618" s="51">
        <f t="shared" si="52"/>
        <v>16.893477240732057</v>
      </c>
      <c r="F618" s="36">
        <f t="shared" si="51"/>
        <v>2.4664351851851839E-3</v>
      </c>
    </row>
    <row r="619" spans="1:6">
      <c r="A619" s="68">
        <v>37414.726388888892</v>
      </c>
      <c r="B619" s="12">
        <v>6</v>
      </c>
      <c r="C619" s="37">
        <v>1.4965277777777779E-2</v>
      </c>
      <c r="D619" s="32">
        <v>182</v>
      </c>
      <c r="E619" s="51">
        <f t="shared" si="52"/>
        <v>17.25790987535953</v>
      </c>
      <c r="F619" s="36">
        <f t="shared" si="51"/>
        <v>2.4143518518518533E-3</v>
      </c>
    </row>
    <row r="620" spans="1:6">
      <c r="A620" s="68">
        <v>37414.726388888892</v>
      </c>
      <c r="B620" s="12">
        <v>6.35</v>
      </c>
      <c r="C620" s="37">
        <v>1.5755787037037037E-2</v>
      </c>
      <c r="D620" s="32">
        <v>188</v>
      </c>
      <c r="E620" s="51">
        <f t="shared" si="52"/>
        <v>18.4480234260615</v>
      </c>
      <c r="F620" s="36">
        <f t="shared" si="51"/>
        <v>2.2585978835978826E-3</v>
      </c>
    </row>
    <row r="622" spans="1:6">
      <c r="A622" s="68">
        <v>37422.770138888889</v>
      </c>
      <c r="B622" s="12">
        <v>1</v>
      </c>
      <c r="C622" s="37">
        <v>2.4791666666666668E-3</v>
      </c>
      <c r="D622" s="32">
        <v>160</v>
      </c>
      <c r="E622" s="51">
        <f t="shared" si="52"/>
        <v>16.806722689075627</v>
      </c>
      <c r="F622" s="36">
        <f t="shared" si="51"/>
        <v>2.4791666666666673E-3</v>
      </c>
    </row>
    <row r="623" spans="1:6">
      <c r="A623" s="68">
        <v>37422.770138888889</v>
      </c>
      <c r="B623" s="12">
        <v>2</v>
      </c>
      <c r="C623" s="37">
        <v>5.0833333333333338E-3</v>
      </c>
      <c r="D623" s="32">
        <v>172</v>
      </c>
      <c r="E623" s="51">
        <f t="shared" si="52"/>
        <v>16</v>
      </c>
      <c r="F623" s="36">
        <f t="shared" si="51"/>
        <v>2.6041666666666665E-3</v>
      </c>
    </row>
    <row r="624" spans="1:6">
      <c r="A624" s="68">
        <v>37422.770138888889</v>
      </c>
      <c r="B624" s="12">
        <v>3</v>
      </c>
      <c r="C624" s="37">
        <v>7.6990740740740735E-3</v>
      </c>
      <c r="D624" s="32">
        <v>174</v>
      </c>
      <c r="E624" s="51">
        <f t="shared" si="52"/>
        <v>15.929203539823016</v>
      </c>
      <c r="F624" s="61">
        <f t="shared" si="51"/>
        <v>2.6157407407407397E-3</v>
      </c>
    </row>
    <row r="625" spans="1:15">
      <c r="A625" s="68">
        <v>37422.770138888889</v>
      </c>
      <c r="B625" s="12">
        <v>4</v>
      </c>
      <c r="C625" s="37">
        <v>1.0285879629629629E-2</v>
      </c>
      <c r="D625" s="32">
        <v>177</v>
      </c>
      <c r="E625" s="51">
        <f t="shared" si="52"/>
        <v>16.107382550335569</v>
      </c>
      <c r="F625" s="36">
        <f t="shared" si="51"/>
        <v>2.5868055555555562E-3</v>
      </c>
    </row>
    <row r="626" spans="1:15">
      <c r="A626" s="68">
        <v>37422.770138888889</v>
      </c>
      <c r="B626" s="12">
        <v>5</v>
      </c>
      <c r="C626" s="37">
        <v>1.2886574074074073E-2</v>
      </c>
      <c r="D626" s="32">
        <v>178</v>
      </c>
      <c r="E626" s="51">
        <f t="shared" si="52"/>
        <v>16.021361815754343</v>
      </c>
      <c r="F626" s="36">
        <f t="shared" si="51"/>
        <v>2.6006944444444441E-3</v>
      </c>
    </row>
    <row r="627" spans="1:15">
      <c r="A627" s="68">
        <v>37422.770138888889</v>
      </c>
      <c r="B627" s="12">
        <v>6</v>
      </c>
      <c r="C627" s="37">
        <v>1.5509259259259259E-2</v>
      </c>
      <c r="D627" s="32">
        <v>179</v>
      </c>
      <c r="E627" s="51">
        <f t="shared" si="52"/>
        <v>15.887025595763454</v>
      </c>
      <c r="F627" s="36">
        <f t="shared" si="51"/>
        <v>2.6226851851851862E-3</v>
      </c>
      <c r="G627" s="12"/>
      <c r="H627" s="36"/>
      <c r="M627" s="59"/>
      <c r="N627" s="36"/>
    </row>
    <row r="628" spans="1:15">
      <c r="A628" s="68">
        <v>37422.770138888889</v>
      </c>
      <c r="B628" s="12">
        <v>7</v>
      </c>
      <c r="C628" s="37">
        <v>1.813773148148148E-2</v>
      </c>
      <c r="D628" s="32">
        <v>180</v>
      </c>
      <c r="E628" s="51">
        <f t="shared" si="52"/>
        <v>15.852047556142674</v>
      </c>
      <c r="F628" s="36">
        <f t="shared" si="51"/>
        <v>2.6284722222222213E-3</v>
      </c>
      <c r="G628" s="12"/>
      <c r="H628" s="36"/>
      <c r="K628" s="36"/>
      <c r="M628" s="59"/>
      <c r="N628" s="36"/>
    </row>
    <row r="629" spans="1:15">
      <c r="A629" s="68">
        <v>37422.770138888889</v>
      </c>
      <c r="B629" s="12">
        <v>8</v>
      </c>
      <c r="C629" s="37">
        <v>2.0760416666666667E-2</v>
      </c>
      <c r="D629" s="32">
        <v>180</v>
      </c>
      <c r="E629" s="51">
        <f t="shared" si="52"/>
        <v>15.887025595763454</v>
      </c>
      <c r="F629" s="36">
        <f t="shared" si="51"/>
        <v>2.6226851851851862E-3</v>
      </c>
      <c r="G629" s="12"/>
      <c r="H629" s="36"/>
      <c r="K629" s="36"/>
      <c r="M629" s="59"/>
      <c r="N629" s="36"/>
    </row>
    <row r="630" spans="1:15">
      <c r="A630" s="68">
        <v>37422.770138888889</v>
      </c>
      <c r="B630" s="12">
        <v>9</v>
      </c>
      <c r="C630" s="37">
        <v>2.3478009259259261E-2</v>
      </c>
      <c r="D630" s="32">
        <v>182</v>
      </c>
      <c r="E630" s="51">
        <f t="shared" si="52"/>
        <v>15.332197614991472</v>
      </c>
      <c r="F630" s="36">
        <f t="shared" si="51"/>
        <v>2.7175925925925944E-3</v>
      </c>
      <c r="G630" s="12"/>
      <c r="H630" s="36"/>
      <c r="K630" s="53"/>
      <c r="M630" s="59"/>
      <c r="N630" s="36"/>
    </row>
    <row r="631" spans="1:15">
      <c r="A631" s="68">
        <v>37422.770138888889</v>
      </c>
      <c r="B631" s="12">
        <v>10</v>
      </c>
      <c r="C631" s="37">
        <v>2.6018518518518517E-2</v>
      </c>
      <c r="D631" s="32">
        <v>182</v>
      </c>
      <c r="E631" s="51">
        <f t="shared" si="52"/>
        <v>16.400911161731226</v>
      </c>
      <c r="F631" s="36">
        <f t="shared" si="51"/>
        <v>2.5405092592592567E-3</v>
      </c>
      <c r="G631" s="12"/>
      <c r="H631" s="36"/>
      <c r="K631" s="36"/>
      <c r="M631" s="59"/>
      <c r="N631" s="36"/>
    </row>
    <row r="632" spans="1:15">
      <c r="A632" s="68">
        <v>37422.770138888889</v>
      </c>
      <c r="B632" s="12">
        <v>11</v>
      </c>
      <c r="C632" s="37">
        <v>2.8663194444444449E-2</v>
      </c>
      <c r="D632" s="32">
        <v>183</v>
      </c>
      <c r="E632" s="51">
        <f t="shared" si="52"/>
        <v>15.754923413566702</v>
      </c>
      <c r="F632" s="36">
        <f t="shared" si="51"/>
        <v>2.6446759259259323E-3</v>
      </c>
      <c r="G632" s="12"/>
      <c r="H632" s="36"/>
      <c r="K632" s="36"/>
      <c r="M632" s="59"/>
      <c r="N632" s="36"/>
    </row>
    <row r="633" spans="1:15">
      <c r="A633" s="68">
        <v>37422.770138888889</v>
      </c>
      <c r="B633" s="12">
        <v>12</v>
      </c>
      <c r="C633" s="37">
        <v>3.1216435185185184E-2</v>
      </c>
      <c r="D633" s="32">
        <v>186</v>
      </c>
      <c r="E633" s="51">
        <f t="shared" si="52"/>
        <v>16.319129646418897</v>
      </c>
      <c r="F633" s="36">
        <f t="shared" si="51"/>
        <v>2.5532407407407348E-3</v>
      </c>
      <c r="G633" s="12"/>
      <c r="H633" s="36"/>
      <c r="K633" s="53"/>
      <c r="M633" s="59"/>
      <c r="N633" s="36"/>
    </row>
    <row r="634" spans="1:15">
      <c r="E634" s="51"/>
      <c r="F634" s="36"/>
      <c r="I634" s="40"/>
      <c r="O634" s="32"/>
    </row>
    <row r="635" spans="1:15">
      <c r="A635" s="68">
        <v>37425.711805555555</v>
      </c>
      <c r="B635" s="12">
        <v>1</v>
      </c>
      <c r="C635" s="37">
        <v>3.0729166666666665E-3</v>
      </c>
      <c r="D635" s="32">
        <v>141</v>
      </c>
      <c r="E635" s="51">
        <f>(B635-B634)/((C635-C634)*24)</f>
        <v>13.559322033898306</v>
      </c>
      <c r="F635" s="36">
        <f t="shared" si="51"/>
        <v>3.0729166666666661E-3</v>
      </c>
      <c r="O635" s="32"/>
    </row>
    <row r="636" spans="1:15">
      <c r="A636" s="68">
        <v>37425.711805555555</v>
      </c>
      <c r="B636" s="12">
        <v>2</v>
      </c>
      <c r="C636" s="37">
        <v>6.2395833333333331E-3</v>
      </c>
      <c r="D636" s="32">
        <v>148</v>
      </c>
      <c r="E636" s="51">
        <f t="shared" ref="E636:E648" si="53">(B636-B635)/((C636-C635)*24)</f>
        <v>13.157894736842106</v>
      </c>
      <c r="F636" s="36">
        <f t="shared" si="51"/>
        <v>3.1666666666666666E-3</v>
      </c>
    </row>
    <row r="637" spans="1:15">
      <c r="A637" s="68">
        <v>37425.711805555555</v>
      </c>
      <c r="B637" s="12">
        <v>3</v>
      </c>
      <c r="C637" s="37">
        <v>8.7314814814814824E-3</v>
      </c>
      <c r="D637" s="32">
        <v>163</v>
      </c>
      <c r="E637" s="51">
        <f t="shared" si="53"/>
        <v>16.720854621458422</v>
      </c>
      <c r="F637" s="53">
        <f t="shared" si="51"/>
        <v>2.4918981481481493E-3</v>
      </c>
    </row>
    <row r="638" spans="1:15">
      <c r="A638" s="68">
        <v>37425.711805555555</v>
      </c>
      <c r="B638" s="12">
        <v>4</v>
      </c>
      <c r="C638" s="37">
        <v>1.2262731481481484E-2</v>
      </c>
      <c r="D638" s="32">
        <v>150</v>
      </c>
      <c r="E638" s="51">
        <f t="shared" si="53"/>
        <v>11.799410029498521</v>
      </c>
      <c r="F638" s="36">
        <f t="shared" si="51"/>
        <v>3.531250000000001E-3</v>
      </c>
    </row>
    <row r="639" spans="1:15">
      <c r="A639" s="68">
        <v>37425.711805555555</v>
      </c>
      <c r="B639" s="12">
        <v>5</v>
      </c>
      <c r="C639" s="37">
        <v>1.4664351851851852E-2</v>
      </c>
      <c r="D639" s="32">
        <v>166</v>
      </c>
      <c r="E639" s="51">
        <f t="shared" si="53"/>
        <v>17.349397590361463</v>
      </c>
      <c r="F639" s="53">
        <f t="shared" si="51"/>
        <v>2.4016203703703682E-3</v>
      </c>
    </row>
    <row r="640" spans="1:15">
      <c r="A640" s="68">
        <v>37425.711805555555</v>
      </c>
      <c r="B640" s="12">
        <v>6</v>
      </c>
      <c r="C640" s="37">
        <v>1.8077546296296296E-2</v>
      </c>
      <c r="D640" s="32">
        <v>156</v>
      </c>
      <c r="E640" s="51">
        <f t="shared" si="53"/>
        <v>12.207527975584945</v>
      </c>
      <c r="F640" s="36">
        <f t="shared" si="51"/>
        <v>3.413194444444444E-3</v>
      </c>
    </row>
    <row r="641" spans="1:6">
      <c r="A641" s="68">
        <v>37425.711805555555</v>
      </c>
      <c r="B641" s="12">
        <v>6.35</v>
      </c>
      <c r="C641" s="37">
        <v>1.9262731481481481E-2</v>
      </c>
      <c r="D641" s="32">
        <v>153</v>
      </c>
      <c r="E641" s="51">
        <f t="shared" si="53"/>
        <v>12.304687499999989</v>
      </c>
      <c r="F641" s="36">
        <f t="shared" si="51"/>
        <v>3.386243386243389E-3</v>
      </c>
    </row>
    <row r="642" spans="1:6">
      <c r="A642" s="68">
        <v>37425.711805555555</v>
      </c>
      <c r="B642" s="12">
        <v>7.35</v>
      </c>
      <c r="C642" s="37">
        <v>2.1657407407407406E-2</v>
      </c>
      <c r="D642" s="32">
        <v>170</v>
      </c>
      <c r="E642" s="51">
        <f t="shared" si="53"/>
        <v>17.39971000483326</v>
      </c>
      <c r="F642" s="53">
        <f t="shared" si="51"/>
        <v>2.3946759259259251E-3</v>
      </c>
    </row>
    <row r="643" spans="1:6">
      <c r="A643" s="68">
        <v>37425.711805555555</v>
      </c>
      <c r="B643" s="12">
        <v>8.35</v>
      </c>
      <c r="C643" s="37">
        <v>2.5202546296296296E-2</v>
      </c>
      <c r="D643" s="32">
        <v>155</v>
      </c>
      <c r="E643" s="51">
        <f t="shared" si="53"/>
        <v>11.753183153770811</v>
      </c>
      <c r="F643" s="36">
        <f t="shared" si="51"/>
        <v>3.5451388888888898E-3</v>
      </c>
    </row>
    <row r="644" spans="1:6">
      <c r="A644" s="68">
        <v>37425.711805555555</v>
      </c>
      <c r="B644" s="12">
        <v>9.35</v>
      </c>
      <c r="C644" s="37">
        <v>2.7564814814814816E-2</v>
      </c>
      <c r="D644" s="32">
        <v>172</v>
      </c>
      <c r="E644" s="51">
        <f t="shared" si="53"/>
        <v>17.638412542871126</v>
      </c>
      <c r="F644" s="53">
        <f t="shared" si="51"/>
        <v>2.3622685185185205E-3</v>
      </c>
    </row>
    <row r="645" spans="1:6">
      <c r="A645" s="68">
        <v>37425.711805555555</v>
      </c>
      <c r="B645" s="12">
        <v>10.35</v>
      </c>
      <c r="C645" s="37">
        <v>3.126388888888889E-2</v>
      </c>
      <c r="D645" s="32">
        <v>154</v>
      </c>
      <c r="E645" s="51">
        <f t="shared" si="53"/>
        <v>11.264080100125158</v>
      </c>
      <c r="F645" s="36">
        <f t="shared" si="51"/>
        <v>3.6990740740740734E-3</v>
      </c>
    </row>
    <row r="646" spans="1:6">
      <c r="A646" s="68">
        <v>37425.711805555555</v>
      </c>
      <c r="B646" s="12">
        <v>11.35</v>
      </c>
      <c r="C646" s="37">
        <v>3.3550925925925922E-2</v>
      </c>
      <c r="D646" s="32">
        <v>174</v>
      </c>
      <c r="E646" s="51">
        <f t="shared" si="53"/>
        <v>18.218623481781417</v>
      </c>
      <c r="F646" s="53">
        <f t="shared" si="51"/>
        <v>2.2870370370370319E-3</v>
      </c>
    </row>
    <row r="647" spans="1:6">
      <c r="A647" s="68">
        <v>37425.711805555555</v>
      </c>
      <c r="B647" s="12">
        <v>12.35</v>
      </c>
      <c r="C647" s="37">
        <v>3.6981481481481483E-2</v>
      </c>
      <c r="D647" s="32">
        <v>157</v>
      </c>
      <c r="E647" s="51">
        <f t="shared" si="53"/>
        <v>12.14574898785423</v>
      </c>
      <c r="F647" s="36">
        <f t="shared" si="51"/>
        <v>3.4305555555555617E-3</v>
      </c>
    </row>
    <row r="648" spans="1:6">
      <c r="A648" s="68">
        <v>37425.711805555555</v>
      </c>
      <c r="B648" s="12">
        <v>12.7</v>
      </c>
      <c r="C648" s="37">
        <v>3.8122685185185183E-2</v>
      </c>
      <c r="E648" s="51">
        <f t="shared" si="53"/>
        <v>12.778904665314432</v>
      </c>
      <c r="F648" s="36">
        <f t="shared" si="51"/>
        <v>3.2605820105820024E-3</v>
      </c>
    </row>
    <row r="650" spans="1:6">
      <c r="A650" s="68">
        <v>37428</v>
      </c>
      <c r="B650" s="12">
        <v>2</v>
      </c>
      <c r="C650" s="37">
        <v>4.8958333333333328E-3</v>
      </c>
      <c r="D650" s="32">
        <v>164</v>
      </c>
      <c r="E650" s="51">
        <f t="shared" ref="E650:E657" si="54">(B650-B649)/((C650-C649)*24)</f>
        <v>17.021276595744681</v>
      </c>
      <c r="F650" s="36">
        <f t="shared" si="51"/>
        <v>2.4479166666666668E-3</v>
      </c>
    </row>
    <row r="651" spans="1:6">
      <c r="A651" s="68">
        <v>37428</v>
      </c>
      <c r="B651" s="12">
        <v>3</v>
      </c>
      <c r="C651" s="37">
        <v>7.5671296296296294E-3</v>
      </c>
      <c r="D651" s="32">
        <v>171</v>
      </c>
      <c r="E651" s="51">
        <f t="shared" si="54"/>
        <v>15.597920277296359</v>
      </c>
      <c r="F651" s="36">
        <f t="shared" si="51"/>
        <v>2.6712962962962966E-3</v>
      </c>
    </row>
    <row r="652" spans="1:6">
      <c r="A652" s="68">
        <v>37428</v>
      </c>
      <c r="B652" s="12">
        <v>4</v>
      </c>
      <c r="C652" s="37">
        <v>1.0158564814814815E-2</v>
      </c>
      <c r="D652" s="32">
        <v>172</v>
      </c>
      <c r="E652" s="51">
        <f t="shared" si="54"/>
        <v>16.078606520768201</v>
      </c>
      <c r="F652" s="36">
        <f t="shared" si="51"/>
        <v>2.5914351851851853E-3</v>
      </c>
    </row>
    <row r="653" spans="1:6">
      <c r="A653" s="68">
        <v>37428</v>
      </c>
      <c r="B653" s="12">
        <v>6.25</v>
      </c>
      <c r="C653" s="37">
        <v>1.5847222222222224E-2</v>
      </c>
      <c r="D653" s="32">
        <v>172</v>
      </c>
      <c r="E653" s="51">
        <f t="shared" si="54"/>
        <v>16.480162767039669</v>
      </c>
      <c r="F653" s="36">
        <f t="shared" si="51"/>
        <v>2.5282921810699599E-3</v>
      </c>
    </row>
    <row r="654" spans="1:6">
      <c r="A654" s="68">
        <v>37428</v>
      </c>
      <c r="B654" s="12">
        <v>7.25</v>
      </c>
      <c r="C654" s="37">
        <v>1.8423611111111113E-2</v>
      </c>
      <c r="D654" s="32">
        <v>176</v>
      </c>
      <c r="E654" s="51">
        <f t="shared" si="54"/>
        <v>16.172506738544477</v>
      </c>
      <c r="F654" s="36">
        <f t="shared" si="51"/>
        <v>2.5763888888888885E-3</v>
      </c>
    </row>
    <row r="655" spans="1:6">
      <c r="A655" s="68">
        <v>37428</v>
      </c>
      <c r="B655" s="12">
        <v>8.25</v>
      </c>
      <c r="C655" s="37">
        <v>2.1114583333333336E-2</v>
      </c>
      <c r="D655" s="32">
        <v>177</v>
      </c>
      <c r="E655" s="51">
        <f t="shared" si="54"/>
        <v>15.483870967741931</v>
      </c>
      <c r="F655" s="36">
        <f t="shared" si="51"/>
        <v>2.6909722222222231E-3</v>
      </c>
    </row>
    <row r="656" spans="1:6">
      <c r="A656" s="68">
        <v>37428</v>
      </c>
      <c r="B656" s="12">
        <v>9.25</v>
      </c>
      <c r="C656" s="37">
        <v>2.3769675925925923E-2</v>
      </c>
      <c r="D656" s="32">
        <v>176</v>
      </c>
      <c r="E656" s="51">
        <f t="shared" si="54"/>
        <v>15.693112467306047</v>
      </c>
      <c r="F656" s="36">
        <f t="shared" si="51"/>
        <v>2.6550925925925874E-3</v>
      </c>
    </row>
    <row r="657" spans="1:6">
      <c r="A657" s="68">
        <v>37429</v>
      </c>
      <c r="B657" s="12">
        <v>10.5</v>
      </c>
      <c r="C657" s="37">
        <v>2.6913194444444444E-2</v>
      </c>
      <c r="D657" s="32">
        <v>181</v>
      </c>
      <c r="E657" s="51">
        <f t="shared" si="54"/>
        <v>16.568483063328411</v>
      </c>
      <c r="F657" s="36">
        <f t="shared" si="51"/>
        <v>2.5148148148148169E-3</v>
      </c>
    </row>
    <row r="659" spans="1:6">
      <c r="A659" s="68">
        <v>37436</v>
      </c>
      <c r="B659" s="12">
        <v>1</v>
      </c>
      <c r="C659" s="37">
        <v>2.4560185185185184E-3</v>
      </c>
      <c r="D659" s="32">
        <v>164</v>
      </c>
      <c r="E659" s="51">
        <f>(B659-B658)/((C659-C658)*24)</f>
        <v>16.96512723845429</v>
      </c>
      <c r="F659" s="36">
        <f t="shared" si="51"/>
        <v>2.456018518518518E-3</v>
      </c>
    </row>
    <row r="660" spans="1:6">
      <c r="A660" s="68">
        <v>37436</v>
      </c>
      <c r="B660" s="12">
        <v>2</v>
      </c>
      <c r="C660" s="37">
        <v>5.0833333333333338E-3</v>
      </c>
      <c r="D660" s="32">
        <v>171</v>
      </c>
      <c r="E660" s="51">
        <f t="shared" ref="E660:E669" si="55">(B660-B659)/((C660-C659)*24)</f>
        <v>15.859030837004401</v>
      </c>
      <c r="F660" s="36">
        <f t="shared" si="51"/>
        <v>2.6273148148148154E-3</v>
      </c>
    </row>
    <row r="661" spans="1:6">
      <c r="A661" s="68">
        <v>37436</v>
      </c>
      <c r="B661" s="12">
        <v>3</v>
      </c>
      <c r="C661" s="37">
        <v>7.7314814814814815E-3</v>
      </c>
      <c r="D661" s="32">
        <v>173</v>
      </c>
      <c r="E661" s="51">
        <f t="shared" si="55"/>
        <v>15.734265734265737</v>
      </c>
      <c r="F661" s="36">
        <f t="shared" si="51"/>
        <v>2.6481481481481473E-3</v>
      </c>
    </row>
    <row r="662" spans="1:6">
      <c r="A662" s="68">
        <v>37436</v>
      </c>
      <c r="B662" s="12">
        <v>4</v>
      </c>
      <c r="C662" s="37">
        <v>1.0363425925925927E-2</v>
      </c>
      <c r="D662" s="32">
        <v>176</v>
      </c>
      <c r="E662" s="51">
        <f t="shared" si="55"/>
        <v>15.831134564643794</v>
      </c>
      <c r="F662" s="36">
        <f t="shared" si="51"/>
        <v>2.6319444444444454E-3</v>
      </c>
    </row>
    <row r="663" spans="1:6">
      <c r="A663" s="68">
        <v>37436</v>
      </c>
      <c r="B663" s="12">
        <v>5</v>
      </c>
      <c r="C663" s="37">
        <v>1.2973379629629628E-2</v>
      </c>
      <c r="D663" s="32">
        <v>178</v>
      </c>
      <c r="E663" s="51">
        <f t="shared" si="55"/>
        <v>15.964523281596469</v>
      </c>
      <c r="F663" s="36">
        <f t="shared" si="51"/>
        <v>2.6099537037037011E-3</v>
      </c>
    </row>
    <row r="664" spans="1:6">
      <c r="A664" s="68">
        <v>37436</v>
      </c>
      <c r="B664" s="12">
        <v>6</v>
      </c>
      <c r="C664" s="37">
        <v>1.5376157407407408E-2</v>
      </c>
      <c r="D664" s="32">
        <v>179</v>
      </c>
      <c r="E664" s="51">
        <f t="shared" si="55"/>
        <v>17.341040462427731</v>
      </c>
      <c r="F664" s="36">
        <f t="shared" si="51"/>
        <v>2.4027777777777797E-3</v>
      </c>
    </row>
    <row r="665" spans="1:6">
      <c r="A665" s="68">
        <v>37436</v>
      </c>
      <c r="B665" s="12">
        <v>7</v>
      </c>
      <c r="C665" s="37">
        <v>1.7969907407407407E-2</v>
      </c>
      <c r="D665" s="32">
        <v>181</v>
      </c>
      <c r="E665" s="51">
        <f t="shared" si="55"/>
        <v>16.064257028112458</v>
      </c>
      <c r="F665" s="36">
        <f t="shared" si="51"/>
        <v>2.5937499999999988E-3</v>
      </c>
    </row>
    <row r="666" spans="1:6">
      <c r="A666" s="68">
        <v>37436</v>
      </c>
      <c r="B666" s="12">
        <v>8</v>
      </c>
      <c r="C666" s="37">
        <v>2.0578703703703703E-2</v>
      </c>
      <c r="D666" s="32">
        <v>181</v>
      </c>
      <c r="E666" s="51">
        <f t="shared" si="55"/>
        <v>15.971606033717833</v>
      </c>
      <c r="F666" s="36">
        <f t="shared" si="51"/>
        <v>2.6087962962962966E-3</v>
      </c>
    </row>
    <row r="667" spans="1:6">
      <c r="A667" s="68">
        <v>37436</v>
      </c>
      <c r="B667" s="12">
        <v>9</v>
      </c>
      <c r="C667" s="37">
        <v>2.3237268518518515E-2</v>
      </c>
      <c r="D667" s="32">
        <v>182</v>
      </c>
      <c r="E667" s="51">
        <f t="shared" si="55"/>
        <v>15.672616456247299</v>
      </c>
      <c r="F667" s="36">
        <f t="shared" si="51"/>
        <v>2.6585648148148115E-3</v>
      </c>
    </row>
    <row r="668" spans="1:6">
      <c r="A668" s="68">
        <v>37436</v>
      </c>
      <c r="B668" s="12">
        <v>10</v>
      </c>
      <c r="C668" s="37">
        <v>2.5824074074074072E-2</v>
      </c>
      <c r="D668" s="32">
        <v>184</v>
      </c>
      <c r="E668" s="51">
        <f t="shared" si="55"/>
        <v>16.107382550335558</v>
      </c>
      <c r="F668" s="36">
        <f t="shared" si="51"/>
        <v>2.5868055555555575E-3</v>
      </c>
    </row>
    <row r="669" spans="1:6">
      <c r="A669" s="68">
        <v>37436</v>
      </c>
      <c r="B669" s="12">
        <v>11</v>
      </c>
      <c r="C669" s="37">
        <v>2.8315972222222222E-2</v>
      </c>
      <c r="D669" s="32">
        <v>186</v>
      </c>
      <c r="E669" s="51">
        <f t="shared" si="55"/>
        <v>16.720854621458422</v>
      </c>
      <c r="F669" s="36">
        <f t="shared" si="51"/>
        <v>2.4918981481481493E-3</v>
      </c>
    </row>
    <row r="671" spans="1:6">
      <c r="A671" s="68">
        <v>37443</v>
      </c>
      <c r="B671" s="12">
        <v>1</v>
      </c>
      <c r="C671" s="37">
        <v>2.3645833333333336E-3</v>
      </c>
      <c r="D671" s="32">
        <v>160</v>
      </c>
      <c r="E671" s="51">
        <f>(B671-B670)/((C671-C670)*24)</f>
        <v>17.621145374449338</v>
      </c>
      <c r="F671" s="36">
        <f t="shared" si="51"/>
        <v>2.3645833333333336E-3</v>
      </c>
    </row>
    <row r="672" spans="1:6">
      <c r="A672" s="68">
        <v>37443</v>
      </c>
      <c r="B672" s="12">
        <v>2</v>
      </c>
      <c r="C672" s="37">
        <v>4.7627314814814815E-3</v>
      </c>
      <c r="D672" s="32">
        <v>173</v>
      </c>
      <c r="E672" s="51">
        <f t="shared" ref="E672:E677" si="56">(B672-B671)/((C672-C671)*24)</f>
        <v>17.374517374517374</v>
      </c>
      <c r="F672" s="36">
        <f t="shared" si="51"/>
        <v>2.3981481481481479E-3</v>
      </c>
    </row>
    <row r="673" spans="1:6">
      <c r="A673" s="68">
        <v>37443</v>
      </c>
      <c r="B673" s="12">
        <v>3</v>
      </c>
      <c r="C673" s="37">
        <v>7.1840277777777788E-3</v>
      </c>
      <c r="D673" s="32">
        <v>177</v>
      </c>
      <c r="E673" s="51">
        <f t="shared" si="56"/>
        <v>17.208413001912039</v>
      </c>
      <c r="F673" s="36">
        <f>1/(E673*24)</f>
        <v>2.4212962962962973E-3</v>
      </c>
    </row>
    <row r="674" spans="1:6">
      <c r="A674" s="68">
        <v>37443</v>
      </c>
      <c r="B674" s="12">
        <v>4</v>
      </c>
      <c r="C674" s="37">
        <v>9.5925925925925918E-3</v>
      </c>
      <c r="D674" s="32">
        <v>178</v>
      </c>
      <c r="E674" s="51">
        <f t="shared" si="56"/>
        <v>17.29937530033639</v>
      </c>
      <c r="F674" s="36">
        <f>1/(E674*24)</f>
        <v>2.408564814814813E-3</v>
      </c>
    </row>
    <row r="675" spans="1:6">
      <c r="A675" s="68">
        <v>37443</v>
      </c>
      <c r="B675" s="12">
        <v>5</v>
      </c>
      <c r="C675" s="37">
        <v>1.2034722222222223E-2</v>
      </c>
      <c r="D675" s="32">
        <v>181</v>
      </c>
      <c r="E675" s="51">
        <f t="shared" si="56"/>
        <v>17.061611374407573</v>
      </c>
      <c r="F675" s="36">
        <f>1/(E675*24)</f>
        <v>2.4421296296296313E-3</v>
      </c>
    </row>
    <row r="676" spans="1:6">
      <c r="A676" s="68">
        <v>37443</v>
      </c>
      <c r="B676" s="12">
        <v>6</v>
      </c>
      <c r="C676" s="37">
        <v>1.4440972222222223E-2</v>
      </c>
      <c r="D676" s="32">
        <v>185</v>
      </c>
      <c r="E676" s="51">
        <f t="shared" si="56"/>
        <v>17.316017316017312</v>
      </c>
      <c r="F676" s="36">
        <f>1/(E676*24)</f>
        <v>2.4062500000000004E-3</v>
      </c>
    </row>
    <row r="677" spans="1:6">
      <c r="A677" s="68">
        <v>37443</v>
      </c>
      <c r="B677" s="12">
        <v>6.35</v>
      </c>
      <c r="C677" s="37">
        <v>1.5251157407407408E-2</v>
      </c>
      <c r="D677" s="32">
        <v>187</v>
      </c>
      <c r="E677" s="51">
        <f t="shared" si="56"/>
        <v>17.999999999999993</v>
      </c>
      <c r="F677" s="36">
        <f>1/(E677*24)</f>
        <v>2.3148148148148156E-3</v>
      </c>
    </row>
    <row r="679" spans="1:6">
      <c r="A679" s="68">
        <v>37445</v>
      </c>
      <c r="B679" s="12">
        <v>1</v>
      </c>
      <c r="C679" s="37">
        <v>2.7546296296296294E-3</v>
      </c>
      <c r="D679" s="32">
        <v>151</v>
      </c>
      <c r="E679" s="51">
        <f>(B679-B678)/((C679-C678)*24)</f>
        <v>15.126050420168069</v>
      </c>
      <c r="F679" s="36">
        <f>1/(E679*24)</f>
        <v>2.7546296296296294E-3</v>
      </c>
    </row>
    <row r="680" spans="1:6">
      <c r="A680" s="68">
        <v>37445</v>
      </c>
      <c r="B680" s="12">
        <v>2</v>
      </c>
      <c r="C680" s="37">
        <v>5.2511574074074066E-3</v>
      </c>
      <c r="D680" s="32">
        <v>165</v>
      </c>
      <c r="E680" s="51">
        <f t="shared" ref="E680:E689" si="57">(B680-B679)/((C680-C679)*24)</f>
        <v>16.689847009735747</v>
      </c>
      <c r="F680" s="36">
        <f t="shared" ref="F680:F743" si="58">1/(E680*24)</f>
        <v>2.4965277777777772E-3</v>
      </c>
    </row>
    <row r="681" spans="1:6">
      <c r="A681" s="68">
        <v>37445</v>
      </c>
      <c r="B681" s="12">
        <v>3</v>
      </c>
      <c r="C681" s="37">
        <v>7.7916666666666664E-3</v>
      </c>
      <c r="D681" s="32">
        <v>171</v>
      </c>
      <c r="E681" s="51">
        <f t="shared" si="57"/>
        <v>16.400911161731205</v>
      </c>
      <c r="F681" s="36">
        <f t="shared" si="58"/>
        <v>2.5405092592592593E-3</v>
      </c>
    </row>
    <row r="682" spans="1:6">
      <c r="A682" s="68">
        <v>37445</v>
      </c>
      <c r="B682" s="12">
        <v>4</v>
      </c>
      <c r="C682" s="37">
        <v>1.0349537037037037E-2</v>
      </c>
      <c r="D682" s="32">
        <v>173</v>
      </c>
      <c r="E682" s="51">
        <f t="shared" si="57"/>
        <v>16.289592760180991</v>
      </c>
      <c r="F682" s="36">
        <f t="shared" si="58"/>
        <v>2.5578703703703714E-3</v>
      </c>
    </row>
    <row r="683" spans="1:6">
      <c r="A683" s="68">
        <v>37445</v>
      </c>
      <c r="B683" s="12">
        <v>5</v>
      </c>
      <c r="C683" s="37">
        <v>1.2925925925925926E-2</v>
      </c>
      <c r="D683" s="32">
        <v>173</v>
      </c>
      <c r="E683" s="51">
        <f t="shared" si="57"/>
        <v>16.172506738544477</v>
      </c>
      <c r="F683" s="36">
        <f t="shared" si="58"/>
        <v>2.5763888888888885E-3</v>
      </c>
    </row>
    <row r="684" spans="1:6">
      <c r="A684" s="68">
        <v>37445</v>
      </c>
      <c r="B684" s="12">
        <v>6</v>
      </c>
      <c r="C684" s="37">
        <v>1.5572916666666667E-2</v>
      </c>
      <c r="D684" s="32">
        <v>174</v>
      </c>
      <c r="E684" s="51">
        <f t="shared" si="57"/>
        <v>15.741145605596849</v>
      </c>
      <c r="F684" s="36">
        <f t="shared" si="58"/>
        <v>2.6469907407407414E-3</v>
      </c>
    </row>
    <row r="685" spans="1:6">
      <c r="A685" s="68">
        <v>37445</v>
      </c>
      <c r="B685" s="12">
        <v>7</v>
      </c>
      <c r="C685" s="37">
        <v>1.8231481481481484E-2</v>
      </c>
      <c r="D685" s="32">
        <v>174</v>
      </c>
      <c r="E685" s="51">
        <f t="shared" si="57"/>
        <v>15.672616456247267</v>
      </c>
      <c r="F685" s="36">
        <f t="shared" si="58"/>
        <v>2.6585648148148167E-3</v>
      </c>
    </row>
    <row r="686" spans="1:6">
      <c r="A686" s="68">
        <v>37445</v>
      </c>
      <c r="B686" s="12">
        <v>8</v>
      </c>
      <c r="C686" s="37">
        <v>2.0993055555555556E-2</v>
      </c>
      <c r="D686" s="32">
        <v>173</v>
      </c>
      <c r="E686" s="51">
        <f t="shared" si="57"/>
        <v>15.088013411567486</v>
      </c>
      <c r="F686" s="36">
        <f t="shared" si="58"/>
        <v>2.7615740740740725E-3</v>
      </c>
    </row>
    <row r="687" spans="1:6">
      <c r="A687" s="68">
        <v>37445</v>
      </c>
      <c r="B687" s="12">
        <v>9</v>
      </c>
      <c r="C687" s="37">
        <v>2.3717592592592596E-2</v>
      </c>
      <c r="D687" s="32">
        <v>173</v>
      </c>
      <c r="E687" s="51">
        <f t="shared" si="57"/>
        <v>15.293118096856402</v>
      </c>
      <c r="F687" s="36">
        <f t="shared" si="58"/>
        <v>2.7245370370370396E-3</v>
      </c>
    </row>
    <row r="688" spans="1:6">
      <c r="A688" s="68">
        <v>37445</v>
      </c>
      <c r="B688" s="12">
        <v>10</v>
      </c>
      <c r="C688" s="37">
        <v>2.6317129629629631E-2</v>
      </c>
      <c r="D688" s="32">
        <v>175</v>
      </c>
      <c r="E688" s="51">
        <f t="shared" si="57"/>
        <v>16.028495102404282</v>
      </c>
      <c r="F688" s="36">
        <f t="shared" si="58"/>
        <v>2.5995370370370356E-3</v>
      </c>
    </row>
    <row r="689" spans="1:6">
      <c r="A689" s="68">
        <v>37445</v>
      </c>
      <c r="B689" s="12">
        <v>10.26</v>
      </c>
      <c r="C689" s="37">
        <v>2.715046296296296E-2</v>
      </c>
      <c r="D689" s="32">
        <v>170</v>
      </c>
      <c r="E689" s="51">
        <f t="shared" si="57"/>
        <v>13.000000000000068</v>
      </c>
      <c r="F689" s="36">
        <f t="shared" si="58"/>
        <v>3.205128205128189E-3</v>
      </c>
    </row>
    <row r="691" spans="1:6">
      <c r="A691" s="68">
        <v>37446</v>
      </c>
      <c r="B691" s="12">
        <v>1.35</v>
      </c>
      <c r="C691" s="37">
        <v>4.092592592592593E-3</v>
      </c>
      <c r="D691" s="32">
        <v>142</v>
      </c>
      <c r="E691" s="51">
        <f>(B691-B690)/((C691-C690)*24)</f>
        <v>13.744343891402714</v>
      </c>
      <c r="F691" s="36">
        <f t="shared" si="58"/>
        <v>3.0315500685871057E-3</v>
      </c>
    </row>
    <row r="692" spans="1:6">
      <c r="A692" s="68">
        <v>37446</v>
      </c>
      <c r="B692" s="12">
        <v>2.35</v>
      </c>
      <c r="C692" s="37">
        <v>7.386574074074074E-3</v>
      </c>
      <c r="D692" s="32">
        <v>143</v>
      </c>
      <c r="E692" s="51">
        <f t="shared" ref="E692:E707" si="59">(B692-B691)/((C692-C691)*24)</f>
        <v>12.64933239634575</v>
      </c>
      <c r="F692" s="36">
        <f t="shared" si="58"/>
        <v>3.2939814814814811E-3</v>
      </c>
    </row>
    <row r="693" spans="1:6">
      <c r="A693" s="68">
        <v>37446</v>
      </c>
      <c r="B693" s="12">
        <v>3.35</v>
      </c>
      <c r="C693" s="37">
        <v>1.0798611111111111E-2</v>
      </c>
      <c r="D693" s="32">
        <v>144</v>
      </c>
      <c r="E693" s="51">
        <f t="shared" si="59"/>
        <v>12.211668928086837</v>
      </c>
      <c r="F693" s="36">
        <f t="shared" si="58"/>
        <v>3.4120370370370376E-3</v>
      </c>
    </row>
    <row r="694" spans="1:6">
      <c r="A694" s="68">
        <v>37446</v>
      </c>
      <c r="B694" s="12">
        <v>4.3499999999999996</v>
      </c>
      <c r="C694" s="37">
        <v>1.4282407407407409E-2</v>
      </c>
      <c r="D694" s="32">
        <v>143</v>
      </c>
      <c r="E694" s="51">
        <f t="shared" si="59"/>
        <v>11.96013289036544</v>
      </c>
      <c r="F694" s="36">
        <f t="shared" si="58"/>
        <v>3.4837962962962991E-3</v>
      </c>
    </row>
    <row r="695" spans="1:6">
      <c r="A695" s="68">
        <v>37446</v>
      </c>
      <c r="B695" s="12">
        <v>5.35</v>
      </c>
      <c r="C695" s="37">
        <v>1.7745370370370373E-2</v>
      </c>
      <c r="D695" s="32">
        <v>144</v>
      </c>
      <c r="E695" s="51">
        <f t="shared" si="59"/>
        <v>12.03208556149732</v>
      </c>
      <c r="F695" s="36">
        <f t="shared" si="58"/>
        <v>3.4629629629629646E-3</v>
      </c>
    </row>
    <row r="696" spans="1:6">
      <c r="A696" s="68">
        <v>37446</v>
      </c>
      <c r="B696" s="12">
        <v>6.35</v>
      </c>
      <c r="C696" s="37">
        <v>2.1236111111111108E-2</v>
      </c>
      <c r="D696" s="32">
        <v>143</v>
      </c>
      <c r="E696" s="51">
        <f t="shared" si="59"/>
        <v>11.936339522546438</v>
      </c>
      <c r="F696" s="36">
        <f t="shared" si="58"/>
        <v>3.4907407407407352E-3</v>
      </c>
    </row>
    <row r="697" spans="1:6">
      <c r="A697" s="68">
        <v>37446</v>
      </c>
      <c r="B697" s="12">
        <v>7.35</v>
      </c>
      <c r="C697" s="37">
        <v>2.4777777777777777E-2</v>
      </c>
      <c r="D697" s="32">
        <v>143</v>
      </c>
      <c r="E697" s="51">
        <f t="shared" si="59"/>
        <v>11.764705882352935</v>
      </c>
      <c r="F697" s="36">
        <f t="shared" si="58"/>
        <v>3.5416666666666687E-3</v>
      </c>
    </row>
    <row r="698" spans="1:6">
      <c r="A698" s="68">
        <v>37446</v>
      </c>
      <c r="B698" s="12">
        <v>8.35</v>
      </c>
      <c r="C698" s="37">
        <v>2.8172453703703706E-2</v>
      </c>
      <c r="D698" s="32">
        <v>142</v>
      </c>
      <c r="E698" s="51">
        <f t="shared" si="59"/>
        <v>12.274122059324911</v>
      </c>
      <c r="F698" s="36">
        <f t="shared" si="58"/>
        <v>3.394675925925929E-3</v>
      </c>
    </row>
    <row r="699" spans="1:6">
      <c r="A699" s="68">
        <v>37446</v>
      </c>
      <c r="B699" s="12">
        <v>9.35</v>
      </c>
      <c r="C699" s="37">
        <v>3.1612268518518519E-2</v>
      </c>
      <c r="D699" s="32">
        <v>143</v>
      </c>
      <c r="E699" s="51">
        <f t="shared" si="59"/>
        <v>12.113055181695836</v>
      </c>
      <c r="F699" s="36">
        <f t="shared" si="58"/>
        <v>3.4398148148148122E-3</v>
      </c>
    </row>
    <row r="700" spans="1:6">
      <c r="A700" s="68">
        <v>37446</v>
      </c>
      <c r="B700" s="12">
        <v>10.35</v>
      </c>
      <c r="C700" s="37">
        <v>3.5103009259259257E-2</v>
      </c>
      <c r="D700" s="32">
        <v>143</v>
      </c>
      <c r="E700" s="51">
        <f t="shared" si="59"/>
        <v>11.936339522546426</v>
      </c>
      <c r="F700" s="36">
        <f t="shared" si="58"/>
        <v>3.4907407407407387E-3</v>
      </c>
    </row>
    <row r="701" spans="1:6">
      <c r="A701" s="68">
        <v>37446</v>
      </c>
      <c r="B701" s="12">
        <v>11.35</v>
      </c>
      <c r="C701" s="37">
        <v>3.8561342592592592E-2</v>
      </c>
      <c r="D701" s="32">
        <v>140</v>
      </c>
      <c r="E701" s="51">
        <f t="shared" si="59"/>
        <v>12.048192771084334</v>
      </c>
      <c r="F701" s="36">
        <f t="shared" si="58"/>
        <v>3.4583333333333337E-3</v>
      </c>
    </row>
    <row r="702" spans="1:6">
      <c r="A702" s="68">
        <v>37446</v>
      </c>
      <c r="B702" s="12">
        <v>12.35</v>
      </c>
      <c r="C702" s="37">
        <v>4.2141203703703702E-2</v>
      </c>
      <c r="D702" s="32">
        <v>144</v>
      </c>
      <c r="E702" s="51">
        <f t="shared" si="59"/>
        <v>11.639185257032011</v>
      </c>
      <c r="F702" s="36">
        <f t="shared" si="58"/>
        <v>3.5798611111111101E-3</v>
      </c>
    </row>
    <row r="703" spans="1:6">
      <c r="A703" s="68">
        <v>37446</v>
      </c>
      <c r="B703" s="12">
        <v>13.35</v>
      </c>
      <c r="C703" s="37">
        <v>4.5671296296296293E-2</v>
      </c>
      <c r="D703" s="32">
        <v>143</v>
      </c>
      <c r="E703" s="51">
        <f t="shared" si="59"/>
        <v>11.803278688524593</v>
      </c>
      <c r="F703" s="36">
        <f t="shared" si="58"/>
        <v>3.530092592592592E-3</v>
      </c>
    </row>
    <row r="704" spans="1:6">
      <c r="A704" s="68">
        <v>37446</v>
      </c>
      <c r="B704" s="12">
        <v>14.35</v>
      </c>
      <c r="C704" s="37">
        <v>4.9097222222222216E-2</v>
      </c>
      <c r="D704" s="32">
        <v>145</v>
      </c>
      <c r="E704" s="51">
        <f t="shared" si="59"/>
        <v>12.162162162162174</v>
      </c>
      <c r="F704" s="36">
        <f t="shared" si="58"/>
        <v>3.425925925925923E-3</v>
      </c>
    </row>
    <row r="705" spans="1:6">
      <c r="A705" s="68">
        <v>37446</v>
      </c>
      <c r="B705" s="12">
        <v>15.35</v>
      </c>
      <c r="C705" s="37">
        <v>5.2511574074074079E-2</v>
      </c>
      <c r="D705" s="32">
        <v>145</v>
      </c>
      <c r="E705" s="51">
        <f t="shared" si="59"/>
        <v>12.203389830508435</v>
      </c>
      <c r="F705" s="36">
        <f t="shared" si="58"/>
        <v>3.4143518518518629E-3</v>
      </c>
    </row>
    <row r="706" spans="1:6">
      <c r="A706" s="68">
        <v>37446</v>
      </c>
      <c r="B706" s="12">
        <v>16.350000000000001</v>
      </c>
      <c r="C706" s="37">
        <v>5.5810185185185185E-2</v>
      </c>
      <c r="D706" s="32">
        <v>145</v>
      </c>
      <c r="E706" s="51">
        <f t="shared" si="59"/>
        <v>12.631578947368462</v>
      </c>
      <c r="F706" s="36">
        <f t="shared" si="58"/>
        <v>3.2986111111111003E-3</v>
      </c>
    </row>
    <row r="707" spans="1:6">
      <c r="A707" s="68">
        <v>37446</v>
      </c>
      <c r="B707" s="12">
        <v>16.600000000000001</v>
      </c>
      <c r="C707" s="37">
        <v>5.6759259259259259E-2</v>
      </c>
      <c r="D707" s="32">
        <v>146</v>
      </c>
      <c r="E707" s="51">
        <f t="shared" si="59"/>
        <v>10.975609756097557</v>
      </c>
      <c r="F707" s="36">
        <f t="shared" si="58"/>
        <v>3.7962962962962976E-3</v>
      </c>
    </row>
    <row r="709" spans="1:6">
      <c r="A709" s="68">
        <v>37459</v>
      </c>
      <c r="B709" s="12">
        <v>1</v>
      </c>
      <c r="C709" s="37">
        <v>2.3587962962962959E-3</v>
      </c>
      <c r="D709" s="32">
        <v>151</v>
      </c>
      <c r="E709" s="51">
        <f>(B709-B708)/((C709-C708)*24)</f>
        <v>17.664376840039257</v>
      </c>
      <c r="F709" s="36">
        <f t="shared" si="58"/>
        <v>2.3587962962962959E-3</v>
      </c>
    </row>
    <row r="710" spans="1:6">
      <c r="A710" s="68">
        <v>37459</v>
      </c>
      <c r="B710" s="12">
        <v>2</v>
      </c>
      <c r="C710" s="37">
        <v>4.7858796296296295E-3</v>
      </c>
      <c r="D710" s="32">
        <v>164</v>
      </c>
      <c r="E710" s="51">
        <f>(B710-B709)/((C710-C709)*24)</f>
        <v>17.167381974248926</v>
      </c>
      <c r="F710" s="36">
        <f t="shared" si="58"/>
        <v>2.4270833333333336E-3</v>
      </c>
    </row>
    <row r="711" spans="1:6">
      <c r="A711" s="68">
        <v>37459</v>
      </c>
      <c r="B711" s="12">
        <v>3</v>
      </c>
      <c r="C711" s="37">
        <v>7.2662037037037027E-3</v>
      </c>
      <c r="D711" s="32">
        <v>166</v>
      </c>
      <c r="E711" s="51">
        <f>(B711-B710)/((C711-C710)*24)</f>
        <v>16.798880074661696</v>
      </c>
      <c r="F711" s="36">
        <f t="shared" si="58"/>
        <v>2.4803240740740732E-3</v>
      </c>
    </row>
    <row r="712" spans="1:6">
      <c r="A712" s="68">
        <v>37459</v>
      </c>
      <c r="B712" s="12">
        <v>3</v>
      </c>
      <c r="C712" s="37">
        <v>1.0744212962962964E-2</v>
      </c>
      <c r="D712" s="32">
        <v>121</v>
      </c>
      <c r="E712" s="51" t="s">
        <v>111</v>
      </c>
      <c r="F712" s="36">
        <f>C712-C711</f>
        <v>3.4780092592592614E-3</v>
      </c>
    </row>
    <row r="713" spans="1:6">
      <c r="A713" s="68">
        <v>37459</v>
      </c>
      <c r="B713" s="12">
        <v>4</v>
      </c>
      <c r="C713" s="37">
        <v>1.3087962962962963E-2</v>
      </c>
      <c r="D713" s="32">
        <v>158</v>
      </c>
      <c r="E713" s="51">
        <f>(B713-B712)/((C713-C712)*24)</f>
        <v>17.777777777777789</v>
      </c>
      <c r="F713" s="36">
        <f t="shared" si="58"/>
        <v>2.3437499999999982E-3</v>
      </c>
    </row>
    <row r="714" spans="1:6">
      <c r="A714" s="68">
        <v>37459</v>
      </c>
      <c r="B714" s="12">
        <v>5</v>
      </c>
      <c r="C714" s="37">
        <v>1.546875E-2</v>
      </c>
      <c r="D714" s="32">
        <v>170</v>
      </c>
      <c r="E714" s="51">
        <f>(B714-B713)/((C714-C713)*24)</f>
        <v>17.501215362177927</v>
      </c>
      <c r="F714" s="36">
        <f t="shared" si="58"/>
        <v>2.3807870370370376E-3</v>
      </c>
    </row>
    <row r="715" spans="1:6">
      <c r="A715" s="68">
        <v>37459</v>
      </c>
      <c r="B715" s="12">
        <v>6</v>
      </c>
      <c r="C715" s="37">
        <v>1.7918981481481484E-2</v>
      </c>
      <c r="D715" s="32">
        <v>173</v>
      </c>
      <c r="E715" s="51">
        <f>(B715-B714)/((C715-C714)*24)</f>
        <v>17.00519603212091</v>
      </c>
      <c r="F715" s="36">
        <f t="shared" si="58"/>
        <v>2.4502314814814838E-3</v>
      </c>
    </row>
    <row r="716" spans="1:6">
      <c r="A716" s="68">
        <v>37459</v>
      </c>
      <c r="B716" s="12">
        <v>6</v>
      </c>
      <c r="C716" s="37">
        <v>2.1400462962962965E-2</v>
      </c>
      <c r="D716" s="32">
        <v>118</v>
      </c>
      <c r="E716" s="51" t="s">
        <v>111</v>
      </c>
      <c r="F716" s="36">
        <f>C716-C715</f>
        <v>3.4814814814814812E-3</v>
      </c>
    </row>
    <row r="717" spans="1:6">
      <c r="A717" s="68">
        <v>37459</v>
      </c>
      <c r="B717" s="12">
        <v>7</v>
      </c>
      <c r="C717" s="37">
        <v>2.4230324074074074E-2</v>
      </c>
      <c r="D717" s="32">
        <v>151</v>
      </c>
      <c r="E717" s="51">
        <f>(B717-B716)/((C717-C716)*24)</f>
        <v>14.723926380368107</v>
      </c>
      <c r="F717" s="36">
        <f t="shared" si="58"/>
        <v>2.8298611111111094E-3</v>
      </c>
    </row>
    <row r="718" spans="1:6">
      <c r="A718" s="68">
        <v>37459</v>
      </c>
      <c r="B718" s="12">
        <v>8</v>
      </c>
      <c r="C718" s="37">
        <v>2.6643518518518521E-2</v>
      </c>
      <c r="D718" s="32">
        <v>163</v>
      </c>
      <c r="E718" s="51">
        <f>(B718-B717)/((C718-C717)*24)</f>
        <v>17.266187050359694</v>
      </c>
      <c r="F718" s="36">
        <f t="shared" si="58"/>
        <v>2.413194444444447E-3</v>
      </c>
    </row>
    <row r="719" spans="1:6">
      <c r="A719" s="68">
        <v>37459</v>
      </c>
      <c r="B719" s="12">
        <v>9</v>
      </c>
      <c r="C719" s="37">
        <v>2.898726851851852E-2</v>
      </c>
      <c r="D719" s="32">
        <v>174</v>
      </c>
      <c r="E719" s="51">
        <f>(B719-B718)/((C719-C718)*24)</f>
        <v>17.777777777777789</v>
      </c>
      <c r="F719" s="36">
        <f t="shared" si="58"/>
        <v>2.3437499999999982E-3</v>
      </c>
    </row>
    <row r="720" spans="1:6">
      <c r="E720" s="51"/>
    </row>
    <row r="721" spans="1:6">
      <c r="A721" s="68">
        <v>37597</v>
      </c>
      <c r="B721" s="12">
        <v>2</v>
      </c>
      <c r="C721" s="37">
        <v>4.6261574074074078E-3</v>
      </c>
      <c r="D721" s="32">
        <v>171</v>
      </c>
      <c r="E721" s="51">
        <f>(B721-B720)/((C721-C720)*24)</f>
        <v>18.01351013259945</v>
      </c>
      <c r="F721" s="36">
        <f t="shared" si="58"/>
        <v>2.3130787037037035E-3</v>
      </c>
    </row>
    <row r="722" spans="1:6">
      <c r="A722" s="68">
        <v>37597</v>
      </c>
      <c r="B722" s="12">
        <v>3</v>
      </c>
      <c r="C722" s="37">
        <v>6.9675925925925921E-3</v>
      </c>
      <c r="D722" s="32">
        <v>179</v>
      </c>
      <c r="E722" s="51">
        <f>(B722-B721)/((C722-C721)*24)</f>
        <v>17.795353435491851</v>
      </c>
      <c r="F722" s="36">
        <f t="shared" si="58"/>
        <v>2.3414351851851842E-3</v>
      </c>
    </row>
    <row r="723" spans="1:6">
      <c r="A723" s="68">
        <v>37597</v>
      </c>
      <c r="B723" s="12">
        <v>4</v>
      </c>
      <c r="C723" s="37">
        <v>9.2951388888888892E-3</v>
      </c>
      <c r="D723" s="32">
        <v>182</v>
      </c>
      <c r="E723" s="51">
        <f>(B723-B722)/((C723-C722)*24)</f>
        <v>17.901541521631021</v>
      </c>
      <c r="F723" s="36">
        <f t="shared" si="58"/>
        <v>2.3275462962962972E-3</v>
      </c>
    </row>
    <row r="724" spans="1:6">
      <c r="A724" s="68">
        <v>37597</v>
      </c>
      <c r="B724" s="12">
        <v>5</v>
      </c>
      <c r="C724" s="37">
        <v>1.1490740740740741E-2</v>
      </c>
      <c r="D724" s="32">
        <v>186</v>
      </c>
      <c r="E724" s="51">
        <f>(B724-B723)/((C724-C723)*24)</f>
        <v>18.977332630469167</v>
      </c>
      <c r="F724" s="36">
        <f t="shared" si="58"/>
        <v>2.1956018518518509E-3</v>
      </c>
    </row>
    <row r="725" spans="1:6">
      <c r="A725" s="68">
        <v>37597</v>
      </c>
      <c r="B725" s="12">
        <v>6</v>
      </c>
      <c r="C725" s="37">
        <v>1.3754629629629629E-2</v>
      </c>
      <c r="D725" s="32">
        <v>190</v>
      </c>
      <c r="E725" s="51">
        <f>(B725-B724)/((C725-C724)*24)</f>
        <v>18.404907975460127</v>
      </c>
      <c r="F725" s="36">
        <f t="shared" si="58"/>
        <v>2.2638888888888882E-3</v>
      </c>
    </row>
    <row r="727" spans="1:6">
      <c r="A727" s="68">
        <v>37710</v>
      </c>
      <c r="B727" s="12">
        <v>2</v>
      </c>
      <c r="C727" s="37">
        <v>5.0868055555555554E-3</v>
      </c>
      <c r="D727" s="32">
        <v>168</v>
      </c>
      <c r="E727" s="51">
        <f>(B727-B726)/((C727-C726)*24)</f>
        <v>16.382252559726965</v>
      </c>
      <c r="F727" s="36">
        <f t="shared" si="58"/>
        <v>2.5434027777777772E-3</v>
      </c>
    </row>
    <row r="728" spans="1:6">
      <c r="A728" s="68">
        <v>37710</v>
      </c>
      <c r="B728" s="12">
        <v>3</v>
      </c>
      <c r="C728" s="37">
        <v>7.6840277777777766E-3</v>
      </c>
      <c r="D728" s="32">
        <v>171</v>
      </c>
      <c r="E728" s="51">
        <f>(B728-B727)/((C728-C727)*24)</f>
        <v>16.042780748663109</v>
      </c>
      <c r="F728" s="36">
        <f t="shared" si="58"/>
        <v>2.5972222222222208E-3</v>
      </c>
    </row>
    <row r="729" spans="1:6">
      <c r="A729" s="68">
        <v>37710</v>
      </c>
      <c r="B729" s="12">
        <v>4</v>
      </c>
      <c r="C729" s="37">
        <v>1.0260416666666666E-2</v>
      </c>
      <c r="D729" s="32">
        <v>170</v>
      </c>
      <c r="E729" s="51">
        <f>(B729-B728)/((C729-C728)*24)</f>
        <v>16.17250673854447</v>
      </c>
      <c r="F729" s="36">
        <f t="shared" si="58"/>
        <v>2.5763888888888893E-3</v>
      </c>
    </row>
    <row r="730" spans="1:6">
      <c r="A730" s="68">
        <v>37710</v>
      </c>
      <c r="B730" s="12">
        <v>5</v>
      </c>
      <c r="C730" s="37">
        <v>1.2814814814814814E-2</v>
      </c>
      <c r="D730" s="32">
        <v>173</v>
      </c>
      <c r="E730" s="51">
        <f>(B730-B729)/((C730-C729)*24)</f>
        <v>16.311735387403719</v>
      </c>
      <c r="F730" s="36">
        <f t="shared" si="58"/>
        <v>2.5543981481481477E-3</v>
      </c>
    </row>
    <row r="731" spans="1:6">
      <c r="A731" s="68">
        <v>37710</v>
      </c>
      <c r="B731" s="12">
        <v>6</v>
      </c>
      <c r="C731" s="37">
        <v>1.5396990740740741E-2</v>
      </c>
      <c r="D731" s="32">
        <v>173</v>
      </c>
      <c r="E731" s="51">
        <f>(B731-B730)/((C731-C730)*24)</f>
        <v>16.136261766024198</v>
      </c>
      <c r="F731" s="36">
        <f t="shared" si="58"/>
        <v>2.582175925925927E-3</v>
      </c>
    </row>
    <row r="732" spans="1:6">
      <c r="A732" s="68">
        <v>37710</v>
      </c>
      <c r="B732" s="12">
        <v>9</v>
      </c>
      <c r="C732" s="37">
        <v>2.3306712962962963E-2</v>
      </c>
      <c r="D732" s="32">
        <v>172</v>
      </c>
      <c r="E732" s="51">
        <f t="shared" ref="E732:E739" si="60">(B732-B731)/((C732-C731)*24)</f>
        <v>15.803336259877083</v>
      </c>
      <c r="F732" s="36">
        <f t="shared" si="58"/>
        <v>2.6365740740740746E-3</v>
      </c>
    </row>
    <row r="733" spans="1:6">
      <c r="A733" s="68">
        <v>37710</v>
      </c>
      <c r="B733" s="12">
        <v>10</v>
      </c>
      <c r="C733" s="37">
        <v>2.5918981481481477E-2</v>
      </c>
      <c r="D733" s="32">
        <v>174</v>
      </c>
      <c r="E733" s="51">
        <f t="shared" si="60"/>
        <v>15.950376606114339</v>
      </c>
      <c r="F733" s="36">
        <f t="shared" si="58"/>
        <v>2.6122685185185138E-3</v>
      </c>
    </row>
    <row r="734" spans="1:6">
      <c r="A734" s="68">
        <v>37710</v>
      </c>
      <c r="B734" s="12">
        <v>11</v>
      </c>
      <c r="C734" s="37">
        <v>2.8586805555555553E-2</v>
      </c>
      <c r="D734" s="32">
        <v>174</v>
      </c>
      <c r="E734" s="51">
        <f t="shared" si="60"/>
        <v>15.618221258134479</v>
      </c>
      <c r="F734" s="36">
        <f t="shared" si="58"/>
        <v>2.6678240740740764E-3</v>
      </c>
    </row>
    <row r="735" spans="1:6">
      <c r="A735" s="68">
        <v>37710</v>
      </c>
      <c r="B735" s="12">
        <v>14</v>
      </c>
      <c r="C735" s="37">
        <v>3.6458333333333336E-2</v>
      </c>
      <c r="D735" s="32">
        <v>176</v>
      </c>
      <c r="E735" s="51">
        <f t="shared" si="60"/>
        <v>15.88001764446404</v>
      </c>
      <c r="F735" s="36">
        <f t="shared" si="58"/>
        <v>2.6238425925925943E-3</v>
      </c>
    </row>
    <row r="736" spans="1:6">
      <c r="A736" s="68">
        <v>37710</v>
      </c>
      <c r="B736" s="12">
        <v>16</v>
      </c>
      <c r="C736" s="37">
        <v>4.1689814814814818E-2</v>
      </c>
      <c r="D736" s="32">
        <v>177</v>
      </c>
      <c r="E736" s="51">
        <f t="shared" si="60"/>
        <v>15.929203539823005</v>
      </c>
      <c r="F736" s="36">
        <f t="shared" si="58"/>
        <v>2.6157407407407414E-3</v>
      </c>
    </row>
    <row r="737" spans="1:7">
      <c r="A737" s="68">
        <v>37710</v>
      </c>
      <c r="B737" s="12">
        <v>17</v>
      </c>
      <c r="C737" s="37">
        <v>4.4201388888888887E-2</v>
      </c>
      <c r="D737" s="32">
        <v>179</v>
      </c>
      <c r="E737" s="51">
        <f t="shared" si="60"/>
        <v>16.589861751152107</v>
      </c>
      <c r="F737" s="36">
        <f t="shared" si="58"/>
        <v>2.5115740740740693E-3</v>
      </c>
    </row>
    <row r="738" spans="1:7">
      <c r="A738" s="68">
        <v>37710</v>
      </c>
      <c r="B738" s="12">
        <v>18</v>
      </c>
      <c r="C738" s="37">
        <v>4.6724537037037044E-2</v>
      </c>
      <c r="D738" s="32">
        <v>182</v>
      </c>
      <c r="E738" s="51">
        <f t="shared" si="60"/>
        <v>16.513761467889854</v>
      </c>
      <c r="F738" s="36">
        <f t="shared" si="58"/>
        <v>2.5231481481481563E-3</v>
      </c>
    </row>
    <row r="739" spans="1:7">
      <c r="A739" s="68">
        <v>37710</v>
      </c>
      <c r="B739" s="12">
        <v>20</v>
      </c>
      <c r="C739" s="37">
        <v>5.1805555555555556E-2</v>
      </c>
      <c r="D739" s="32">
        <v>183</v>
      </c>
      <c r="E739" s="51">
        <f t="shared" si="60"/>
        <v>16.400911161731226</v>
      </c>
      <c r="F739" s="36">
        <f t="shared" si="58"/>
        <v>2.5405092592592567E-3</v>
      </c>
    </row>
    <row r="740" spans="1:7">
      <c r="A740" s="68">
        <v>37710</v>
      </c>
      <c r="B740" s="12">
        <v>21.1</v>
      </c>
      <c r="C740" s="37">
        <v>5.4525462962962963E-2</v>
      </c>
      <c r="D740" s="32">
        <v>184</v>
      </c>
      <c r="E740" s="51">
        <f>(B740-B739)/((C740-C739)*24)</f>
        <v>16.851063829787257</v>
      </c>
      <c r="F740" s="36">
        <f t="shared" si="58"/>
        <v>2.4726430976430942E-3</v>
      </c>
    </row>
    <row r="742" spans="1:7">
      <c r="A742" s="68">
        <v>37732</v>
      </c>
      <c r="B742" s="12">
        <v>1</v>
      </c>
      <c r="C742" s="37">
        <v>2.0023148148148148E-3</v>
      </c>
      <c r="D742" s="32">
        <v>165</v>
      </c>
      <c r="E742" s="51">
        <f t="shared" ref="E742:E752" si="61">(B742-B741)/((C742-C741)*24)</f>
        <v>20.809248554913292</v>
      </c>
      <c r="F742" s="36">
        <f t="shared" si="58"/>
        <v>2.0023148148148153E-3</v>
      </c>
    </row>
    <row r="743" spans="1:7">
      <c r="A743" s="68">
        <v>37732</v>
      </c>
      <c r="B743" s="12">
        <v>2</v>
      </c>
      <c r="C743" s="37">
        <v>4.4432870370370373E-3</v>
      </c>
      <c r="D743" s="32">
        <v>175</v>
      </c>
      <c r="E743" s="51">
        <f t="shared" si="61"/>
        <v>17.069701280227594</v>
      </c>
      <c r="F743" s="36">
        <f t="shared" si="58"/>
        <v>2.4409722222222224E-3</v>
      </c>
    </row>
    <row r="744" spans="1:7">
      <c r="A744" s="68">
        <v>37732</v>
      </c>
      <c r="B744" s="12">
        <v>3</v>
      </c>
      <c r="C744" s="37">
        <v>6.9351851851851857E-3</v>
      </c>
      <c r="D744" s="32">
        <v>175</v>
      </c>
      <c r="E744" s="51">
        <f t="shared" si="61"/>
        <v>16.720854621458429</v>
      </c>
      <c r="F744" s="36">
        <f t="shared" ref="F744:F807" si="62">1/(E744*24)</f>
        <v>2.4918981481481485E-3</v>
      </c>
      <c r="G744" s="36">
        <f>AVERAGE(F743:F744)</f>
        <v>2.4664351851851852E-3</v>
      </c>
    </row>
    <row r="745" spans="1:7">
      <c r="A745" s="68">
        <v>37732</v>
      </c>
      <c r="B745" s="12">
        <v>5</v>
      </c>
      <c r="C745" s="37">
        <v>1.1600694444444443E-2</v>
      </c>
      <c r="D745" s="32">
        <v>174</v>
      </c>
      <c r="E745" s="51">
        <f t="shared" si="61"/>
        <v>17.861572810716954</v>
      </c>
      <c r="F745" s="36">
        <f t="shared" si="62"/>
        <v>2.3327546296296282E-3</v>
      </c>
    </row>
    <row r="746" spans="1:7">
      <c r="A746" s="68">
        <v>37732</v>
      </c>
      <c r="B746" s="12">
        <v>7</v>
      </c>
      <c r="C746" s="37">
        <v>1.6715277777777777E-2</v>
      </c>
      <c r="D746" s="32">
        <v>174</v>
      </c>
      <c r="E746" s="51">
        <f t="shared" si="61"/>
        <v>16.293279022403258</v>
      </c>
      <c r="F746" s="36">
        <f t="shared" si="62"/>
        <v>2.5572916666666665E-3</v>
      </c>
      <c r="G746" s="36">
        <f>F746</f>
        <v>2.5572916666666665E-3</v>
      </c>
    </row>
    <row r="747" spans="1:7">
      <c r="A747" s="68">
        <v>37732</v>
      </c>
      <c r="B747" s="12">
        <v>9</v>
      </c>
      <c r="C747" s="37">
        <v>2.1350694444444443E-2</v>
      </c>
      <c r="D747" s="32">
        <v>176</v>
      </c>
      <c r="E747" s="51">
        <f t="shared" si="61"/>
        <v>17.977528089887642</v>
      </c>
      <c r="F747" s="36">
        <f t="shared" si="62"/>
        <v>2.3177083333333331E-3</v>
      </c>
    </row>
    <row r="748" spans="1:7">
      <c r="A748" s="68">
        <v>37732</v>
      </c>
      <c r="B748" s="12">
        <v>11</v>
      </c>
      <c r="C748" s="37">
        <v>2.6460648148148146E-2</v>
      </c>
      <c r="D748" s="32">
        <v>176</v>
      </c>
      <c r="E748" s="51">
        <f t="shared" si="61"/>
        <v>16.308040770101925</v>
      </c>
      <c r="F748" s="36">
        <f t="shared" si="62"/>
        <v>2.5549768518518517E-3</v>
      </c>
      <c r="G748" s="36">
        <f>F748</f>
        <v>2.5549768518518517E-3</v>
      </c>
    </row>
    <row r="749" spans="1:7">
      <c r="A749" s="68">
        <v>37732</v>
      </c>
      <c r="B749" s="12">
        <v>13</v>
      </c>
      <c r="C749" s="37">
        <v>3.126388888888889E-2</v>
      </c>
      <c r="D749" s="32">
        <v>177</v>
      </c>
      <c r="E749" s="51">
        <f t="shared" si="61"/>
        <v>17.349397590361438</v>
      </c>
      <c r="F749" s="36">
        <f t="shared" si="62"/>
        <v>2.4016203703703712E-3</v>
      </c>
    </row>
    <row r="750" spans="1:7">
      <c r="A750" s="68">
        <v>37732</v>
      </c>
      <c r="B750" s="12">
        <v>15</v>
      </c>
      <c r="C750" s="37">
        <v>3.6339120370370369E-2</v>
      </c>
      <c r="D750" s="32">
        <v>178</v>
      </c>
      <c r="E750" s="51">
        <f t="shared" si="61"/>
        <v>16.419612314709244</v>
      </c>
      <c r="F750" s="36">
        <f t="shared" si="62"/>
        <v>2.5376157407407392E-3</v>
      </c>
      <c r="G750" s="36">
        <f>F750</f>
        <v>2.5376157407407392E-3</v>
      </c>
    </row>
    <row r="751" spans="1:7">
      <c r="A751" s="68">
        <v>37732</v>
      </c>
      <c r="B751" s="12">
        <v>17</v>
      </c>
      <c r="C751" s="37">
        <v>4.1032407407407406E-2</v>
      </c>
      <c r="D751" s="32">
        <v>179</v>
      </c>
      <c r="E751" s="51">
        <f t="shared" si="61"/>
        <v>17.755856966707768</v>
      </c>
      <c r="F751" s="36">
        <f t="shared" si="62"/>
        <v>2.3466435185185187E-3</v>
      </c>
    </row>
    <row r="752" spans="1:7">
      <c r="B752" s="12">
        <v>19</v>
      </c>
      <c r="C752" s="37">
        <v>4.6180555555555558E-2</v>
      </c>
      <c r="D752" s="32">
        <v>180</v>
      </c>
      <c r="E752" s="51">
        <f t="shared" si="61"/>
        <v>16.18705035971222</v>
      </c>
      <c r="F752" s="36">
        <f t="shared" si="62"/>
        <v>2.5740740740740754E-3</v>
      </c>
      <c r="G752" s="36">
        <f>F752</f>
        <v>2.5740740740740754E-3</v>
      </c>
    </row>
    <row r="754" spans="1:6">
      <c r="A754" s="68">
        <v>37742</v>
      </c>
      <c r="B754" s="12">
        <v>1</v>
      </c>
      <c r="C754" s="37">
        <v>2.9247685185185188E-3</v>
      </c>
      <c r="D754" s="32">
        <v>146</v>
      </c>
      <c r="E754" s="51">
        <f t="shared" ref="E754:E763" si="63">(B754-B753)/((C754-C753)*24)</f>
        <v>14.246141669964384</v>
      </c>
      <c r="F754" s="36">
        <f t="shared" si="62"/>
        <v>2.9247685185185188E-3</v>
      </c>
    </row>
    <row r="755" spans="1:6">
      <c r="A755" s="68">
        <v>37742</v>
      </c>
      <c r="B755" s="12">
        <v>3</v>
      </c>
      <c r="C755" s="37">
        <v>8.9710648148148154E-3</v>
      </c>
      <c r="D755" s="32">
        <v>164</v>
      </c>
      <c r="E755" s="51">
        <f t="shared" si="63"/>
        <v>13.782542113323125</v>
      </c>
      <c r="F755" s="36">
        <f t="shared" si="62"/>
        <v>3.0231481481481481E-3</v>
      </c>
    </row>
    <row r="756" spans="1:6">
      <c r="A756" s="68">
        <v>37742</v>
      </c>
      <c r="B756" s="12">
        <v>5</v>
      </c>
      <c r="C756" s="37">
        <v>1.5449074074074073E-2</v>
      </c>
      <c r="D756" s="32">
        <v>166</v>
      </c>
      <c r="E756" s="51">
        <f t="shared" si="63"/>
        <v>12.864034304091481</v>
      </c>
      <c r="F756" s="36">
        <f t="shared" si="62"/>
        <v>3.239004629629629E-3</v>
      </c>
    </row>
    <row r="757" spans="1:6">
      <c r="A757" s="68">
        <v>37742</v>
      </c>
      <c r="B757" s="12">
        <v>6</v>
      </c>
      <c r="C757" s="37">
        <v>1.841550925925926E-2</v>
      </c>
      <c r="D757" s="32">
        <v>167</v>
      </c>
      <c r="E757" s="51">
        <f t="shared" si="63"/>
        <v>14.046039797112751</v>
      </c>
      <c r="F757" s="36">
        <f t="shared" si="62"/>
        <v>2.966435185185187E-3</v>
      </c>
    </row>
    <row r="758" spans="1:6">
      <c r="A758" s="68">
        <v>37742</v>
      </c>
      <c r="B758" s="12">
        <v>7</v>
      </c>
      <c r="C758" s="37">
        <v>2.1750000000000002E-2</v>
      </c>
      <c r="D758" s="32">
        <v>169</v>
      </c>
      <c r="E758" s="51">
        <f t="shared" si="63"/>
        <v>12.495661228740016</v>
      </c>
      <c r="F758" s="36">
        <f t="shared" si="62"/>
        <v>3.3344907407407425E-3</v>
      </c>
    </row>
    <row r="759" spans="1:6">
      <c r="A759" s="68">
        <v>37742</v>
      </c>
      <c r="B759" s="12">
        <v>9</v>
      </c>
      <c r="C759" s="37">
        <v>3.0031249999999999E-2</v>
      </c>
      <c r="D759" s="32">
        <v>169</v>
      </c>
      <c r="E759" s="51">
        <f t="shared" si="63"/>
        <v>10.062893081761009</v>
      </c>
      <c r="F759" s="36">
        <f t="shared" si="62"/>
        <v>4.1406249999999993E-3</v>
      </c>
    </row>
    <row r="760" spans="1:6">
      <c r="A760" s="68">
        <v>37742</v>
      </c>
      <c r="B760" s="12">
        <v>10</v>
      </c>
      <c r="C760" s="37">
        <v>3.3776620370370374E-2</v>
      </c>
      <c r="D760" s="32">
        <v>169</v>
      </c>
      <c r="E760" s="51">
        <f t="shared" si="63"/>
        <v>11.124845488257096</v>
      </c>
      <c r="F760" s="36">
        <f t="shared" si="62"/>
        <v>3.7453703703703742E-3</v>
      </c>
    </row>
    <row r="761" spans="1:6">
      <c r="A761" s="68">
        <v>37742</v>
      </c>
      <c r="B761" s="12">
        <v>11</v>
      </c>
      <c r="C761" s="37">
        <v>3.7609953703703701E-2</v>
      </c>
      <c r="D761" s="32">
        <v>169</v>
      </c>
      <c r="E761" s="51">
        <f t="shared" si="63"/>
        <v>10.869565217391321</v>
      </c>
      <c r="F761" s="36">
        <f t="shared" si="62"/>
        <v>3.8333333333333275E-3</v>
      </c>
    </row>
    <row r="762" spans="1:6">
      <c r="A762" s="68">
        <v>37742</v>
      </c>
      <c r="B762" s="12">
        <v>12</v>
      </c>
      <c r="C762" s="37">
        <v>4.1598379629629624E-2</v>
      </c>
      <c r="D762" s="32">
        <v>168</v>
      </c>
      <c r="E762" s="51">
        <f t="shared" si="63"/>
        <v>10.446894950667447</v>
      </c>
      <c r="F762" s="36">
        <f t="shared" si="62"/>
        <v>3.9884259259259239E-3</v>
      </c>
    </row>
    <row r="763" spans="1:6">
      <c r="A763" s="68">
        <v>37742</v>
      </c>
      <c r="B763" s="12">
        <v>13</v>
      </c>
      <c r="C763" s="37">
        <v>4.5439814814814815E-2</v>
      </c>
      <c r="D763" s="32">
        <v>168</v>
      </c>
      <c r="E763" s="51">
        <f t="shared" si="63"/>
        <v>10.846640554383836</v>
      </c>
      <c r="F763" s="36">
        <f t="shared" si="62"/>
        <v>3.8414351851851908E-3</v>
      </c>
    </row>
    <row r="764" spans="1:6">
      <c r="A764" s="68">
        <v>37742</v>
      </c>
      <c r="B764" s="12">
        <v>15</v>
      </c>
      <c r="C764" s="37">
        <v>5.2928240740740741E-2</v>
      </c>
      <c r="D764" s="32">
        <v>169</v>
      </c>
      <c r="E764" s="51">
        <f t="shared" ref="E764:E769" si="64">(B764-B763)/((C764-C763)*24)</f>
        <v>11.128284389489954</v>
      </c>
      <c r="F764" s="36">
        <f t="shared" si="62"/>
        <v>3.7442129629629631E-3</v>
      </c>
    </row>
    <row r="765" spans="1:6">
      <c r="A765" s="68">
        <v>37742</v>
      </c>
      <c r="B765" s="12">
        <v>16</v>
      </c>
      <c r="C765" s="37">
        <v>5.6331018518518516E-2</v>
      </c>
      <c r="D765" s="32">
        <v>169</v>
      </c>
      <c r="E765" s="51">
        <f t="shared" si="64"/>
        <v>12.244897959183682</v>
      </c>
      <c r="F765" s="36">
        <f t="shared" si="62"/>
        <v>3.4027777777777754E-3</v>
      </c>
    </row>
    <row r="766" spans="1:6">
      <c r="A766" s="68">
        <v>37742</v>
      </c>
      <c r="B766" s="12">
        <v>17</v>
      </c>
      <c r="C766" s="37">
        <v>5.9687499999999998E-2</v>
      </c>
      <c r="D766" s="32">
        <v>170</v>
      </c>
      <c r="E766" s="51">
        <f t="shared" si="64"/>
        <v>12.413793103448278</v>
      </c>
      <c r="F766" s="36">
        <f t="shared" si="62"/>
        <v>3.3564814814814811E-3</v>
      </c>
    </row>
    <row r="767" spans="1:6">
      <c r="A767" s="68">
        <v>37742</v>
      </c>
      <c r="B767" s="12">
        <v>18</v>
      </c>
      <c r="C767" s="37">
        <v>6.3148148148148148E-2</v>
      </c>
      <c r="D767" s="32">
        <v>170</v>
      </c>
      <c r="E767" s="51">
        <f t="shared" si="64"/>
        <v>12.040133779264208</v>
      </c>
      <c r="F767" s="36">
        <f t="shared" si="62"/>
        <v>3.4606481481481502E-3</v>
      </c>
    </row>
    <row r="768" spans="1:6">
      <c r="A768" s="68">
        <v>37742</v>
      </c>
      <c r="B768" s="12">
        <v>19</v>
      </c>
      <c r="C768" s="37">
        <v>6.6493055555555555E-2</v>
      </c>
      <c r="D768" s="32">
        <v>171</v>
      </c>
      <c r="E768" s="51">
        <f t="shared" si="64"/>
        <v>12.45674740484429</v>
      </c>
      <c r="F768" s="36">
        <f t="shared" si="62"/>
        <v>3.344907407407408E-3</v>
      </c>
    </row>
    <row r="769" spans="1:6">
      <c r="A769" s="68">
        <v>37742</v>
      </c>
      <c r="B769" s="12">
        <v>20</v>
      </c>
      <c r="C769" s="37">
        <v>7.0381944444444441E-2</v>
      </c>
      <c r="D769" s="32">
        <v>169</v>
      </c>
      <c r="E769" s="51">
        <f t="shared" si="64"/>
        <v>10.714285714285722</v>
      </c>
      <c r="F769" s="36">
        <f t="shared" si="62"/>
        <v>3.8888888888888857E-3</v>
      </c>
    </row>
    <row r="770" spans="1:6">
      <c r="A770" s="68">
        <v>37742</v>
      </c>
      <c r="B770" s="12">
        <v>21</v>
      </c>
      <c r="C770" s="37">
        <v>7.4166666666666659E-2</v>
      </c>
      <c r="D770" s="32">
        <v>168</v>
      </c>
      <c r="E770" s="51">
        <f>(B770-B769)/((C770-C769)*24)</f>
        <v>11.009174311926621</v>
      </c>
      <c r="F770" s="36">
        <f t="shared" si="62"/>
        <v>3.7847222222222167E-3</v>
      </c>
    </row>
    <row r="771" spans="1:6">
      <c r="A771" s="68">
        <v>37742</v>
      </c>
      <c r="B771" s="12">
        <v>22</v>
      </c>
      <c r="C771" s="37">
        <v>7.8217592592592589E-2</v>
      </c>
      <c r="D771" s="32">
        <v>171</v>
      </c>
      <c r="E771" s="51">
        <f>(B771-B770)/((C771-C770)*24)</f>
        <v>10.285714285714276</v>
      </c>
      <c r="F771" s="36">
        <f t="shared" si="62"/>
        <v>4.05092592592593E-3</v>
      </c>
    </row>
    <row r="773" spans="1:6">
      <c r="A773" s="68">
        <v>37834</v>
      </c>
      <c r="B773" s="12">
        <v>1</v>
      </c>
      <c r="C773" s="37">
        <v>2.8171296296296295E-3</v>
      </c>
      <c r="D773" s="32">
        <v>161</v>
      </c>
      <c r="E773" s="51">
        <f>(B773-B772)/((C773-C772)*24)</f>
        <v>14.790468364831554</v>
      </c>
      <c r="F773" s="36">
        <f t="shared" si="62"/>
        <v>2.8171296296296295E-3</v>
      </c>
    </row>
    <row r="774" spans="1:6">
      <c r="A774" s="68">
        <v>37834</v>
      </c>
      <c r="B774" s="12">
        <v>2</v>
      </c>
      <c r="C774" s="37">
        <v>5.3969907407407404E-3</v>
      </c>
      <c r="D774" s="32">
        <v>175</v>
      </c>
      <c r="E774" s="51">
        <f t="shared" ref="E774:E780" si="65">(B774-B773)/((C774-C773)*24)</f>
        <v>16.150740242261104</v>
      </c>
      <c r="F774" s="36">
        <f t="shared" si="62"/>
        <v>2.5798611111111113E-3</v>
      </c>
    </row>
    <row r="775" spans="1:6">
      <c r="A775" s="68">
        <v>37834</v>
      </c>
      <c r="B775" s="12">
        <v>3</v>
      </c>
      <c r="C775" s="37">
        <v>7.920138888888888E-3</v>
      </c>
      <c r="D775" s="32">
        <v>175</v>
      </c>
      <c r="E775" s="51">
        <f t="shared" si="65"/>
        <v>16.513761467889911</v>
      </c>
      <c r="F775" s="36">
        <f t="shared" si="62"/>
        <v>2.5231481481481476E-3</v>
      </c>
    </row>
    <row r="776" spans="1:6">
      <c r="A776" s="68">
        <v>37834</v>
      </c>
      <c r="B776" s="12">
        <v>4</v>
      </c>
      <c r="C776" s="37">
        <v>1.0552083333333335E-2</v>
      </c>
      <c r="D776" s="32">
        <v>175</v>
      </c>
      <c r="E776" s="51">
        <f t="shared" si="65"/>
        <v>15.831134564643783</v>
      </c>
      <c r="F776" s="36">
        <f t="shared" si="62"/>
        <v>2.6319444444444472E-3</v>
      </c>
    </row>
    <row r="777" spans="1:6">
      <c r="A777" s="68">
        <v>37834</v>
      </c>
      <c r="B777" s="12">
        <v>7</v>
      </c>
      <c r="C777" s="37">
        <v>1.8488425925925926E-2</v>
      </c>
      <c r="D777" s="32">
        <v>177</v>
      </c>
      <c r="E777" s="51">
        <f t="shared" si="65"/>
        <v>15.750328131836085</v>
      </c>
      <c r="F777" s="36">
        <f t="shared" si="62"/>
        <v>2.6454475308641968E-3</v>
      </c>
    </row>
    <row r="778" spans="1:6">
      <c r="A778" s="68">
        <v>37834</v>
      </c>
      <c r="B778" s="12">
        <v>8</v>
      </c>
      <c r="C778" s="37">
        <v>2.1040509259259255E-2</v>
      </c>
      <c r="D778" s="32">
        <v>179</v>
      </c>
      <c r="E778" s="51">
        <f t="shared" si="65"/>
        <v>16.32653061224492</v>
      </c>
      <c r="F778" s="36">
        <f t="shared" si="62"/>
        <v>2.5520833333333303E-3</v>
      </c>
    </row>
    <row r="779" spans="1:6">
      <c r="A779" s="68">
        <v>37834</v>
      </c>
      <c r="B779" s="12">
        <v>9</v>
      </c>
      <c r="C779" s="37">
        <v>2.3622685185185188E-2</v>
      </c>
      <c r="D779" s="32">
        <v>182</v>
      </c>
      <c r="E779" s="51">
        <f t="shared" si="65"/>
        <v>16.136261766024166</v>
      </c>
      <c r="F779" s="36">
        <f t="shared" si="62"/>
        <v>2.5821759259259318E-3</v>
      </c>
    </row>
    <row r="780" spans="1:6">
      <c r="A780" s="68">
        <v>37834</v>
      </c>
      <c r="B780" s="12">
        <v>11</v>
      </c>
      <c r="C780" s="37">
        <v>2.875462962962963E-2</v>
      </c>
      <c r="D780" s="32">
        <v>181</v>
      </c>
      <c r="E780" s="51">
        <f t="shared" si="65"/>
        <v>16.238159675236812</v>
      </c>
      <c r="F780" s="36">
        <f t="shared" si="62"/>
        <v>2.5659722222222217E-3</v>
      </c>
    </row>
    <row r="781" spans="1:6">
      <c r="A781" s="68">
        <v>37834</v>
      </c>
      <c r="B781" s="12">
        <v>12</v>
      </c>
      <c r="C781" s="37">
        <v>3.1420138888888886E-2</v>
      </c>
      <c r="D781" s="32">
        <v>181</v>
      </c>
      <c r="E781" s="51">
        <f>(B781-B780)/((C781-C780)*24)</f>
        <v>15.631784628745132</v>
      </c>
      <c r="F781" s="36">
        <f t="shared" si="62"/>
        <v>2.6655092592592564E-3</v>
      </c>
    </row>
    <row r="782" spans="1:6">
      <c r="A782" s="68">
        <v>37834</v>
      </c>
      <c r="B782" s="12">
        <v>13</v>
      </c>
      <c r="C782" s="37">
        <v>3.3987268518518521E-2</v>
      </c>
      <c r="D782" s="32">
        <v>181</v>
      </c>
      <c r="E782" s="51">
        <f>(B782-B781)/((C782-C781)*24)</f>
        <v>16.230838593327292</v>
      </c>
      <c r="F782" s="36">
        <f t="shared" si="62"/>
        <v>2.5671296296296345E-3</v>
      </c>
    </row>
    <row r="783" spans="1:6">
      <c r="A783" s="68">
        <v>37834</v>
      </c>
      <c r="B783" s="12">
        <v>14</v>
      </c>
      <c r="C783" s="37">
        <v>3.6644675925925928E-2</v>
      </c>
      <c r="D783" s="32">
        <v>182</v>
      </c>
      <c r="E783" s="51">
        <f>(B783-B782)/((C783-C782)*24)</f>
        <v>15.679442508710805</v>
      </c>
      <c r="F783" s="36">
        <f t="shared" si="62"/>
        <v>2.6574074074074069E-3</v>
      </c>
    </row>
    <row r="784" spans="1:6">
      <c r="A784" s="68">
        <v>37834</v>
      </c>
      <c r="B784" s="12">
        <v>15</v>
      </c>
      <c r="C784" s="37">
        <v>3.9327546296296298E-2</v>
      </c>
      <c r="D784" s="32">
        <v>188</v>
      </c>
      <c r="E784" s="51">
        <f>(B784-B783)/((C784-C783)*24)</f>
        <v>15.53062985332183</v>
      </c>
      <c r="F784" s="36">
        <f t="shared" si="62"/>
        <v>2.6828703703703697E-3</v>
      </c>
    </row>
    <row r="786" spans="1:6">
      <c r="A786" s="68">
        <v>37872</v>
      </c>
      <c r="B786" s="12">
        <v>1</v>
      </c>
      <c r="C786" s="37">
        <v>3.4085648148148144E-3</v>
      </c>
      <c r="D786" s="32">
        <v>134</v>
      </c>
      <c r="E786" s="51">
        <f>(B786-B785)/((C786-C785)*24)</f>
        <v>12.224108658743635</v>
      </c>
      <c r="F786" s="36">
        <f t="shared" si="62"/>
        <v>3.4085648148148139E-3</v>
      </c>
    </row>
    <row r="787" spans="1:6">
      <c r="A787" s="68">
        <v>37872</v>
      </c>
      <c r="B787" s="12">
        <v>2</v>
      </c>
      <c r="C787" s="37">
        <v>6.5219907407407414E-3</v>
      </c>
      <c r="D787" s="32">
        <v>142</v>
      </c>
      <c r="E787" s="51">
        <f t="shared" ref="E787:E792" si="66">(B787-B786)/((C787-C786)*24)</f>
        <v>13.382899628252783</v>
      </c>
      <c r="F787" s="36">
        <f t="shared" si="62"/>
        <v>3.1134259259259275E-3</v>
      </c>
    </row>
    <row r="788" spans="1:6">
      <c r="A788" s="68">
        <v>37872</v>
      </c>
      <c r="B788" s="12">
        <v>4</v>
      </c>
      <c r="C788" s="37">
        <v>1.2700231481481481E-2</v>
      </c>
      <c r="D788" s="32">
        <v>146</v>
      </c>
      <c r="E788" s="51">
        <f t="shared" si="66"/>
        <v>13.488197826901466</v>
      </c>
      <c r="F788" s="36">
        <f t="shared" si="62"/>
        <v>3.0891203703703697E-3</v>
      </c>
    </row>
    <row r="789" spans="1:6">
      <c r="A789" s="68">
        <v>37872</v>
      </c>
      <c r="B789" s="12">
        <v>5</v>
      </c>
      <c r="C789" s="37">
        <v>1.5738425925925927E-2</v>
      </c>
      <c r="D789" s="32">
        <v>147</v>
      </c>
      <c r="E789" s="51">
        <f t="shared" si="66"/>
        <v>13.714285714285708</v>
      </c>
      <c r="F789" s="36">
        <f t="shared" si="62"/>
        <v>3.0381944444444458E-3</v>
      </c>
    </row>
    <row r="790" spans="1:6">
      <c r="A790" s="68">
        <v>37872</v>
      </c>
      <c r="B790" s="12">
        <v>6</v>
      </c>
      <c r="C790" s="37">
        <v>1.8846064814814812E-2</v>
      </c>
      <c r="D790" s="32">
        <v>147</v>
      </c>
      <c r="E790" s="51">
        <f t="shared" si="66"/>
        <v>13.407821229050294</v>
      </c>
      <c r="F790" s="36">
        <f t="shared" si="62"/>
        <v>3.1076388888888855E-3</v>
      </c>
    </row>
    <row r="791" spans="1:6">
      <c r="A791" s="68">
        <v>37872</v>
      </c>
      <c r="B791" s="12">
        <v>7</v>
      </c>
      <c r="C791" s="37">
        <v>2.1942129629629631E-2</v>
      </c>
      <c r="D791" s="32">
        <v>147</v>
      </c>
      <c r="E791" s="51">
        <f t="shared" si="66"/>
        <v>13.457943925233627</v>
      </c>
      <c r="F791" s="36">
        <f t="shared" si="62"/>
        <v>3.0960648148148193E-3</v>
      </c>
    </row>
    <row r="792" spans="1:6">
      <c r="A792" s="68">
        <v>37872</v>
      </c>
      <c r="B792" s="12">
        <v>8</v>
      </c>
      <c r="C792" s="37">
        <v>2.501273148148148E-2</v>
      </c>
      <c r="D792" s="32">
        <v>147</v>
      </c>
      <c r="E792" s="51">
        <f t="shared" si="66"/>
        <v>13.569543912551842</v>
      </c>
      <c r="F792" s="36">
        <f t="shared" si="62"/>
        <v>3.0706018518518491E-3</v>
      </c>
    </row>
    <row r="793" spans="1:6">
      <c r="A793" s="68">
        <v>37872</v>
      </c>
      <c r="B793" s="12">
        <v>9</v>
      </c>
      <c r="C793" s="37">
        <v>2.8079861111111114E-2</v>
      </c>
      <c r="D793" s="32">
        <v>147</v>
      </c>
      <c r="E793" s="51">
        <f t="shared" ref="E793:E799" si="67">(B793-B792)/((C793-C792)*24)</f>
        <v>13.584905660377334</v>
      </c>
      <c r="F793" s="36">
        <f t="shared" si="62"/>
        <v>3.0671296296296349E-3</v>
      </c>
    </row>
    <row r="794" spans="1:6">
      <c r="A794" s="68">
        <v>37872</v>
      </c>
      <c r="B794" s="12">
        <v>10</v>
      </c>
      <c r="C794" s="37">
        <v>3.1128472222222228E-2</v>
      </c>
      <c r="D794" s="32">
        <v>148</v>
      </c>
      <c r="E794" s="51">
        <f t="shared" si="67"/>
        <v>13.667425968109331</v>
      </c>
      <c r="F794" s="36">
        <f t="shared" si="62"/>
        <v>3.0486111111111126E-3</v>
      </c>
    </row>
    <row r="795" spans="1:6">
      <c r="A795" s="68">
        <v>37872</v>
      </c>
      <c r="B795" s="12">
        <v>12.67</v>
      </c>
      <c r="C795" s="37">
        <v>3.9114583333333335E-2</v>
      </c>
      <c r="D795" s="32">
        <v>146</v>
      </c>
      <c r="E795" s="51">
        <f t="shared" si="67"/>
        <v>13.930434782608703</v>
      </c>
      <c r="F795" s="36">
        <f t="shared" si="62"/>
        <v>2.9910528506034107E-3</v>
      </c>
    </row>
    <row r="796" spans="1:6">
      <c r="A796" s="68">
        <v>37872</v>
      </c>
      <c r="B796" s="12">
        <v>13.67</v>
      </c>
      <c r="C796" s="37">
        <v>4.2129629629629628E-2</v>
      </c>
      <c r="D796" s="32">
        <v>147</v>
      </c>
      <c r="E796" s="51">
        <f t="shared" si="67"/>
        <v>13.819577735124772</v>
      </c>
      <c r="F796" s="36">
        <f t="shared" si="62"/>
        <v>3.0150462962962939E-3</v>
      </c>
    </row>
    <row r="797" spans="1:6">
      <c r="A797" s="68">
        <v>37872</v>
      </c>
      <c r="B797" s="12">
        <v>14.67</v>
      </c>
      <c r="C797" s="37">
        <v>4.5185185185185189E-2</v>
      </c>
      <c r="D797" s="32">
        <v>148</v>
      </c>
      <c r="E797" s="51">
        <f t="shared" si="67"/>
        <v>13.63636363636361</v>
      </c>
      <c r="F797" s="36">
        <f t="shared" si="62"/>
        <v>3.0555555555555618E-3</v>
      </c>
    </row>
    <row r="798" spans="1:6">
      <c r="A798" s="68">
        <v>37872</v>
      </c>
      <c r="B798" s="12">
        <v>15.67</v>
      </c>
      <c r="C798" s="37">
        <v>4.821759259259259E-2</v>
      </c>
      <c r="D798" s="32">
        <v>147</v>
      </c>
      <c r="E798" s="51">
        <f t="shared" si="67"/>
        <v>13.740458015267208</v>
      </c>
      <c r="F798" s="36">
        <f t="shared" si="62"/>
        <v>3.0324074074074003E-3</v>
      </c>
    </row>
    <row r="799" spans="1:6">
      <c r="A799" s="68">
        <v>37872</v>
      </c>
      <c r="B799" s="12">
        <v>16.670000000000002</v>
      </c>
      <c r="C799" s="37">
        <v>5.0474537037037033E-2</v>
      </c>
      <c r="D799" s="32">
        <v>177</v>
      </c>
      <c r="E799" s="51">
        <f t="shared" si="67"/>
        <v>18.461538461538503</v>
      </c>
      <c r="F799" s="36">
        <f t="shared" si="62"/>
        <v>2.2569444444444395E-3</v>
      </c>
    </row>
    <row r="801" spans="1:6">
      <c r="A801" s="68">
        <v>37876</v>
      </c>
      <c r="B801" s="12">
        <v>0.27</v>
      </c>
      <c r="C801" s="37">
        <v>6.5972222222222213E-4</v>
      </c>
      <c r="D801" s="32">
        <v>152</v>
      </c>
      <c r="E801" s="51">
        <f>(B801-B800)/((C801-C800)*24)</f>
        <v>17.052631578947373</v>
      </c>
      <c r="F801" s="36">
        <f t="shared" si="62"/>
        <v>2.4434156378600816E-3</v>
      </c>
    </row>
    <row r="802" spans="1:6">
      <c r="A802" s="68">
        <v>37876</v>
      </c>
      <c r="B802" s="12">
        <v>1.27</v>
      </c>
      <c r="C802" s="37">
        <v>3.0868055555555557E-3</v>
      </c>
      <c r="D802" s="32">
        <v>164</v>
      </c>
      <c r="E802" s="51">
        <f t="shared" ref="E802:E807" si="68">(B802-B801)/((C802-C801)*24)</f>
        <v>17.167381974248926</v>
      </c>
      <c r="F802" s="36">
        <f t="shared" si="62"/>
        <v>2.4270833333333336E-3</v>
      </c>
    </row>
    <row r="803" spans="1:6">
      <c r="A803" s="68">
        <v>37876</v>
      </c>
      <c r="B803" s="12">
        <v>2.27</v>
      </c>
      <c r="C803" s="37">
        <v>5.4340277777777781E-3</v>
      </c>
      <c r="D803" s="32">
        <v>172</v>
      </c>
      <c r="E803" s="51">
        <f t="shared" si="68"/>
        <v>17.751479289940828</v>
      </c>
      <c r="F803" s="36">
        <f t="shared" si="62"/>
        <v>2.3472222222222223E-3</v>
      </c>
    </row>
    <row r="804" spans="1:6">
      <c r="A804" s="68">
        <v>37876</v>
      </c>
      <c r="B804" s="12">
        <v>3.27</v>
      </c>
      <c r="C804" s="37">
        <v>7.7951388888888888E-3</v>
      </c>
      <c r="D804" s="32">
        <v>174</v>
      </c>
      <c r="E804" s="51">
        <f t="shared" si="68"/>
        <v>17.647058823529417</v>
      </c>
      <c r="F804" s="36">
        <f t="shared" si="62"/>
        <v>2.3611111111111107E-3</v>
      </c>
    </row>
    <row r="805" spans="1:6">
      <c r="A805" s="68">
        <v>37876</v>
      </c>
      <c r="B805" s="12">
        <v>4.2699999999999996</v>
      </c>
      <c r="C805" s="37">
        <v>1.01875E-2</v>
      </c>
      <c r="D805" s="32">
        <v>175</v>
      </c>
      <c r="E805" s="51">
        <f t="shared" si="68"/>
        <v>17.416545718432499</v>
      </c>
      <c r="F805" s="36">
        <f t="shared" si="62"/>
        <v>2.3923611111111129E-3</v>
      </c>
    </row>
    <row r="806" spans="1:6">
      <c r="A806" s="68">
        <v>37876</v>
      </c>
      <c r="B806" s="12">
        <v>5.27</v>
      </c>
      <c r="C806" s="37">
        <v>1.262962962962963E-2</v>
      </c>
      <c r="D806" s="32">
        <v>174</v>
      </c>
      <c r="E806" s="51">
        <f t="shared" si="68"/>
        <v>17.061611374407587</v>
      </c>
      <c r="F806" s="36">
        <f t="shared" si="62"/>
        <v>2.4421296296296292E-3</v>
      </c>
    </row>
    <row r="807" spans="1:6">
      <c r="A807" s="68">
        <v>37876</v>
      </c>
      <c r="B807" s="12">
        <v>6.27</v>
      </c>
      <c r="C807" s="37">
        <v>1.506712962962963E-2</v>
      </c>
      <c r="D807" s="32">
        <v>173</v>
      </c>
      <c r="E807" s="51">
        <f t="shared" si="68"/>
        <v>17.09401709401709</v>
      </c>
      <c r="F807" s="36">
        <f t="shared" si="62"/>
        <v>2.4375000000000004E-3</v>
      </c>
    </row>
    <row r="808" spans="1:6">
      <c r="A808" s="68">
        <v>37876</v>
      </c>
      <c r="B808" s="12">
        <v>8.27</v>
      </c>
      <c r="C808" s="37">
        <v>1.9871527777777776E-2</v>
      </c>
      <c r="D808" s="32">
        <v>177</v>
      </c>
      <c r="E808" s="51">
        <f>(B808-B807)/((C808-C807)*24)</f>
        <v>17.345218019754284</v>
      </c>
      <c r="F808" s="36">
        <f>1/(E808*24)</f>
        <v>2.4021990740740731E-3</v>
      </c>
    </row>
    <row r="809" spans="1:6">
      <c r="A809" s="68">
        <v>37876</v>
      </c>
      <c r="B809" s="12">
        <v>9.27</v>
      </c>
      <c r="C809" s="37">
        <v>2.2328703703703708E-2</v>
      </c>
      <c r="D809" s="32">
        <v>177</v>
      </c>
      <c r="E809" s="51">
        <f>(B809-B808)/((C809-C808)*24)</f>
        <v>16.957136128120542</v>
      </c>
      <c r="F809" s="36">
        <f>1/(E809*24)</f>
        <v>2.4571759259259317E-3</v>
      </c>
    </row>
    <row r="810" spans="1:6">
      <c r="A810" s="68">
        <v>37876</v>
      </c>
      <c r="B810" s="12">
        <v>10.27</v>
      </c>
      <c r="C810" s="37">
        <v>2.4763888888888887E-2</v>
      </c>
      <c r="D810" s="32">
        <v>181</v>
      </c>
      <c r="E810" s="51">
        <f>(B810-B809)/((C810-C809)*24)</f>
        <v>17.110266159695861</v>
      </c>
      <c r="F810" s="36">
        <f>1/(E810*24)</f>
        <v>2.4351851851851791E-3</v>
      </c>
    </row>
    <row r="812" spans="1:6">
      <c r="A812" s="68">
        <v>37894</v>
      </c>
      <c r="B812" s="12">
        <v>1</v>
      </c>
      <c r="C812" s="37">
        <v>2.4618055555555556E-3</v>
      </c>
      <c r="D812" s="32">
        <v>162</v>
      </c>
      <c r="E812" s="51">
        <f>(B812-B811)/((C812-C811)*24)</f>
        <v>16.925246826516219</v>
      </c>
      <c r="F812" s="36">
        <f>1/(E812*24)</f>
        <v>2.4618055555555556E-3</v>
      </c>
    </row>
    <row r="813" spans="1:6">
      <c r="A813" s="68">
        <v>37894</v>
      </c>
      <c r="B813" s="12">
        <v>2</v>
      </c>
      <c r="C813" s="37">
        <v>5.0011574074074073E-3</v>
      </c>
      <c r="D813" s="32">
        <v>169</v>
      </c>
      <c r="E813" s="51">
        <f t="shared" ref="E813:E821" si="69">(B813-B812)/((C813-C812)*24)</f>
        <v>16.408386508659984</v>
      </c>
      <c r="F813" s="36">
        <f t="shared" ref="F813:F821" si="70">1/(E813*24)</f>
        <v>2.5393518518518517E-3</v>
      </c>
    </row>
    <row r="814" spans="1:6">
      <c r="A814" s="68">
        <v>37894</v>
      </c>
      <c r="B814" s="12">
        <v>3</v>
      </c>
      <c r="C814" s="37">
        <v>7.4328703703703701E-3</v>
      </c>
      <c r="D814" s="32">
        <v>174</v>
      </c>
      <c r="E814" s="51">
        <f t="shared" si="69"/>
        <v>17.134697762970017</v>
      </c>
      <c r="F814" s="36">
        <f t="shared" si="70"/>
        <v>2.4317129629629628E-3</v>
      </c>
    </row>
    <row r="815" spans="1:6">
      <c r="A815" s="68">
        <v>37894</v>
      </c>
      <c r="B815" s="12">
        <v>4</v>
      </c>
      <c r="C815" s="37">
        <v>9.8321759259259265E-3</v>
      </c>
      <c r="D815" s="32">
        <v>177</v>
      </c>
      <c r="E815" s="51">
        <f t="shared" si="69"/>
        <v>17.366136034732264</v>
      </c>
      <c r="F815" s="36">
        <f t="shared" si="70"/>
        <v>2.3993055555555564E-3</v>
      </c>
    </row>
    <row r="816" spans="1:6">
      <c r="A816" s="68">
        <v>37894</v>
      </c>
      <c r="B816" s="12">
        <v>5</v>
      </c>
      <c r="C816" s="37">
        <v>1.2241898148148148E-2</v>
      </c>
      <c r="D816" s="32">
        <v>180</v>
      </c>
      <c r="E816" s="51">
        <f t="shared" si="69"/>
        <v>17.291066282420758</v>
      </c>
      <c r="F816" s="36">
        <f t="shared" si="70"/>
        <v>2.4097222222222211E-3</v>
      </c>
    </row>
    <row r="817" spans="1:6">
      <c r="A817" s="68">
        <v>37894</v>
      </c>
      <c r="B817" s="12">
        <v>6</v>
      </c>
      <c r="C817" s="37">
        <v>1.4716435185185185E-2</v>
      </c>
      <c r="D817" s="32">
        <v>179</v>
      </c>
      <c r="E817" s="51">
        <f t="shared" si="69"/>
        <v>16.838166510757716</v>
      </c>
      <c r="F817" s="36">
        <f t="shared" si="70"/>
        <v>2.4745370370370372E-3</v>
      </c>
    </row>
    <row r="818" spans="1:6">
      <c r="A818" s="68">
        <v>37894</v>
      </c>
      <c r="B818" s="12">
        <v>7</v>
      </c>
      <c r="C818" s="37">
        <v>1.7166666666666667E-2</v>
      </c>
      <c r="D818" s="32">
        <v>180</v>
      </c>
      <c r="E818" s="51">
        <f t="shared" si="69"/>
        <v>17.005196032120921</v>
      </c>
      <c r="F818" s="36">
        <f t="shared" si="70"/>
        <v>2.4502314814814821E-3</v>
      </c>
    </row>
    <row r="819" spans="1:6">
      <c r="A819" s="68">
        <v>37894</v>
      </c>
      <c r="B819" s="12">
        <v>8</v>
      </c>
      <c r="C819" s="37">
        <v>1.9620370370370371E-2</v>
      </c>
      <c r="D819" s="32">
        <v>181</v>
      </c>
      <c r="E819" s="51">
        <f t="shared" si="69"/>
        <v>16.981132075471692</v>
      </c>
      <c r="F819" s="36">
        <f t="shared" si="70"/>
        <v>2.4537037037037045E-3</v>
      </c>
    </row>
    <row r="820" spans="1:6">
      <c r="A820" s="68">
        <v>37894</v>
      </c>
      <c r="B820" s="12">
        <v>9</v>
      </c>
      <c r="C820" s="37">
        <v>2.2055555555555554E-2</v>
      </c>
      <c r="D820" s="32">
        <v>182</v>
      </c>
      <c r="E820" s="51">
        <f t="shared" si="69"/>
        <v>17.110266159695836</v>
      </c>
      <c r="F820" s="36">
        <f t="shared" si="70"/>
        <v>2.4351851851851826E-3</v>
      </c>
    </row>
    <row r="821" spans="1:6">
      <c r="A821" s="68">
        <v>37894</v>
      </c>
      <c r="B821" s="12">
        <v>10</v>
      </c>
      <c r="C821" s="37">
        <v>2.4467592592592593E-2</v>
      </c>
      <c r="D821" s="32">
        <v>186</v>
      </c>
      <c r="E821" s="51">
        <f t="shared" si="69"/>
        <v>17.274472168905938</v>
      </c>
      <c r="F821" s="36">
        <f t="shared" si="70"/>
        <v>2.4120370370370389E-3</v>
      </c>
    </row>
    <row r="823" spans="1:6">
      <c r="A823" s="68">
        <v>37903</v>
      </c>
    </row>
    <row r="825" spans="1:6">
      <c r="A825" s="68">
        <v>37904</v>
      </c>
      <c r="B825" s="12">
        <v>1</v>
      </c>
      <c r="C825" s="37">
        <v>3.0474537037037037E-3</v>
      </c>
      <c r="D825" s="32">
        <v>137</v>
      </c>
      <c r="E825" s="51">
        <f>(B825-B824)/((C825-C824)*24)</f>
        <v>13.672616786935054</v>
      </c>
      <c r="F825" s="36">
        <f t="shared" ref="F825:F888" si="71">1/(E825*24)</f>
        <v>3.0474537037037037E-3</v>
      </c>
    </row>
    <row r="826" spans="1:6">
      <c r="A826" s="68">
        <v>37904</v>
      </c>
      <c r="B826" s="12">
        <v>2</v>
      </c>
      <c r="C826" s="37">
        <v>6.1053240740740729E-3</v>
      </c>
      <c r="D826" s="32">
        <v>141</v>
      </c>
      <c r="E826" s="51">
        <f t="shared" ref="E826:E841" si="72">(B826-B825)/((C826-C825)*24)</f>
        <v>13.626040878122639</v>
      </c>
      <c r="F826" s="36">
        <f t="shared" si="71"/>
        <v>3.0578703703703692E-3</v>
      </c>
    </row>
    <row r="827" spans="1:6">
      <c r="A827" s="68">
        <v>37904</v>
      </c>
      <c r="B827" s="12">
        <v>3</v>
      </c>
      <c r="C827" s="37">
        <v>9.2372685185185179E-3</v>
      </c>
      <c r="D827" s="32">
        <v>140</v>
      </c>
      <c r="E827" s="51">
        <f t="shared" si="72"/>
        <v>13.303769401330372</v>
      </c>
      <c r="F827" s="36">
        <f t="shared" si="71"/>
        <v>3.1319444444444454E-3</v>
      </c>
    </row>
    <row r="828" spans="1:6">
      <c r="A828" s="68">
        <v>37904</v>
      </c>
      <c r="B828" s="12">
        <v>4</v>
      </c>
      <c r="C828" s="37">
        <v>1.2305555555555556E-2</v>
      </c>
      <c r="D828" s="32">
        <v>145</v>
      </c>
      <c r="E828" s="51">
        <f t="shared" si="72"/>
        <v>13.579781214635982</v>
      </c>
      <c r="F828" s="36">
        <f t="shared" si="71"/>
        <v>3.0682870370370382E-3</v>
      </c>
    </row>
    <row r="829" spans="1:6">
      <c r="A829" s="68">
        <v>37904</v>
      </c>
      <c r="B829" s="12">
        <v>5</v>
      </c>
      <c r="C829" s="37">
        <v>1.5445601851851851E-2</v>
      </c>
      <c r="D829" s="32">
        <v>146</v>
      </c>
      <c r="E829" s="51">
        <f t="shared" si="72"/>
        <v>13.269443420567642</v>
      </c>
      <c r="F829" s="36">
        <f t="shared" si="71"/>
        <v>3.1400462962962949E-3</v>
      </c>
    </row>
    <row r="830" spans="1:6">
      <c r="A830" s="68">
        <v>37904</v>
      </c>
      <c r="B830" s="12">
        <v>6</v>
      </c>
      <c r="C830" s="37">
        <v>1.8569444444444444E-2</v>
      </c>
      <c r="D830" s="32">
        <v>146</v>
      </c>
      <c r="E830" s="51">
        <f t="shared" si="72"/>
        <v>13.338273434605409</v>
      </c>
      <c r="F830" s="36">
        <f t="shared" si="71"/>
        <v>3.123842592592593E-3</v>
      </c>
    </row>
    <row r="831" spans="1:6">
      <c r="A831" s="68">
        <v>37904</v>
      </c>
      <c r="B831" s="12">
        <v>7</v>
      </c>
      <c r="C831" s="37">
        <v>2.1738425925925925E-2</v>
      </c>
      <c r="D831" s="32">
        <v>143</v>
      </c>
      <c r="E831" s="51">
        <f t="shared" si="72"/>
        <v>13.148283418553691</v>
      </c>
      <c r="F831" s="36">
        <f t="shared" si="71"/>
        <v>3.168981481481481E-3</v>
      </c>
    </row>
    <row r="832" spans="1:6">
      <c r="A832" s="68">
        <v>37904</v>
      </c>
      <c r="B832" s="12">
        <v>8</v>
      </c>
      <c r="C832" s="37">
        <v>2.4557870370370372E-2</v>
      </c>
      <c r="D832" s="32">
        <v>151</v>
      </c>
      <c r="E832" s="51">
        <f t="shared" si="72"/>
        <v>14.778325123152694</v>
      </c>
      <c r="F832" s="36">
        <f t="shared" si="71"/>
        <v>2.8194444444444478E-3</v>
      </c>
    </row>
    <row r="833" spans="1:6">
      <c r="A833" s="68">
        <v>37904</v>
      </c>
      <c r="B833" s="12">
        <v>9</v>
      </c>
      <c r="C833" s="37">
        <v>2.7346064814814813E-2</v>
      </c>
      <c r="D833" s="32">
        <v>154</v>
      </c>
      <c r="E833" s="51">
        <f t="shared" si="72"/>
        <v>14.943960149439624</v>
      </c>
      <c r="F833" s="36">
        <f t="shared" si="71"/>
        <v>2.7881944444444404E-3</v>
      </c>
    </row>
    <row r="834" spans="1:6">
      <c r="A834" s="68">
        <v>37904</v>
      </c>
      <c r="B834" s="12">
        <v>10</v>
      </c>
      <c r="C834" s="37">
        <v>3.0146990740740742E-2</v>
      </c>
      <c r="D834" s="32">
        <v>155</v>
      </c>
      <c r="E834" s="51">
        <f t="shared" si="72"/>
        <v>14.876033057851224</v>
      </c>
      <c r="F834" s="36">
        <f t="shared" si="71"/>
        <v>2.8009259259259289E-3</v>
      </c>
    </row>
    <row r="835" spans="1:6">
      <c r="A835" s="68">
        <v>37904</v>
      </c>
      <c r="B835" s="12">
        <v>10.61</v>
      </c>
      <c r="C835" s="37">
        <v>3.1950231481481482E-2</v>
      </c>
      <c r="D835" s="32">
        <v>155</v>
      </c>
      <c r="E835" s="51">
        <f t="shared" si="72"/>
        <v>14.09499358151475</v>
      </c>
      <c r="F835" s="36">
        <f t="shared" si="71"/>
        <v>2.9561323618700693E-3</v>
      </c>
    </row>
    <row r="836" spans="1:6">
      <c r="A836" s="68">
        <v>37904</v>
      </c>
      <c r="B836" s="12">
        <v>11.61</v>
      </c>
      <c r="C836" s="37">
        <v>3.4769675925925926E-2</v>
      </c>
      <c r="D836" s="32">
        <v>152</v>
      </c>
      <c r="E836" s="51">
        <f t="shared" si="72"/>
        <v>14.778325123152712</v>
      </c>
      <c r="F836" s="36">
        <f t="shared" si="71"/>
        <v>2.8194444444444439E-3</v>
      </c>
    </row>
    <row r="837" spans="1:6">
      <c r="A837" s="68">
        <v>37904</v>
      </c>
      <c r="B837" s="12">
        <v>12.61</v>
      </c>
      <c r="C837" s="37">
        <v>3.7619212962962965E-2</v>
      </c>
      <c r="D837" s="32">
        <v>153</v>
      </c>
      <c r="E837" s="51">
        <f t="shared" si="72"/>
        <v>14.622258326563758</v>
      </c>
      <c r="F837" s="36">
        <f t="shared" si="71"/>
        <v>2.8495370370370393E-3</v>
      </c>
    </row>
    <row r="838" spans="1:6">
      <c r="A838" s="68">
        <v>37904</v>
      </c>
      <c r="B838" s="12">
        <v>13.61</v>
      </c>
      <c r="C838" s="37">
        <v>4.0393518518518516E-2</v>
      </c>
      <c r="D838" s="32">
        <v>155</v>
      </c>
      <c r="E838" s="51">
        <f t="shared" si="72"/>
        <v>15.018773466833569</v>
      </c>
      <c r="F838" s="36">
        <f t="shared" si="71"/>
        <v>2.7743055555555503E-3</v>
      </c>
    </row>
    <row r="839" spans="1:6">
      <c r="A839" s="68">
        <v>37904</v>
      </c>
      <c r="B839" s="12">
        <v>14.61</v>
      </c>
      <c r="C839" s="37">
        <v>4.3206018518518519E-2</v>
      </c>
      <c r="D839" s="32">
        <v>156</v>
      </c>
      <c r="E839" s="51">
        <f t="shared" si="72"/>
        <v>14.814814814814802</v>
      </c>
      <c r="F839" s="36">
        <f t="shared" si="71"/>
        <v>2.8125000000000025E-3</v>
      </c>
    </row>
    <row r="840" spans="1:6">
      <c r="A840" s="68">
        <v>37904</v>
      </c>
      <c r="B840" s="12">
        <v>15.61</v>
      </c>
      <c r="C840" s="37">
        <v>4.6064814814814815E-2</v>
      </c>
      <c r="D840" s="32">
        <v>152</v>
      </c>
      <c r="E840" s="51">
        <f t="shared" si="72"/>
        <v>14.574898785425098</v>
      </c>
      <c r="F840" s="36">
        <f t="shared" si="71"/>
        <v>2.8587962962962968E-3</v>
      </c>
    </row>
    <row r="841" spans="1:6">
      <c r="A841" s="68">
        <v>37904</v>
      </c>
      <c r="B841" s="12">
        <v>16.61</v>
      </c>
      <c r="C841" s="37">
        <v>4.8935185185185186E-2</v>
      </c>
      <c r="D841" s="32">
        <v>149</v>
      </c>
      <c r="E841" s="51">
        <f t="shared" si="72"/>
        <v>14.516129032258064</v>
      </c>
      <c r="F841" s="36">
        <f t="shared" si="71"/>
        <v>2.8703703703703703E-3</v>
      </c>
    </row>
    <row r="843" spans="1:6">
      <c r="A843" s="68">
        <v>37907</v>
      </c>
      <c r="B843" s="12">
        <v>1</v>
      </c>
      <c r="C843" s="37">
        <v>3.2175925925925926E-3</v>
      </c>
      <c r="D843" s="32">
        <v>137</v>
      </c>
      <c r="E843" s="51">
        <f>(B843-B842)/((C843-C842)*24)</f>
        <v>12.949640287769785</v>
      </c>
      <c r="F843" s="36">
        <f t="shared" si="71"/>
        <v>3.2175925925925922E-3</v>
      </c>
    </row>
    <row r="844" spans="1:6">
      <c r="A844" s="68">
        <v>37907</v>
      </c>
      <c r="B844" s="12">
        <v>2</v>
      </c>
      <c r="C844" s="37">
        <v>6.3553240740740749E-3</v>
      </c>
      <c r="D844" s="32">
        <v>135</v>
      </c>
      <c r="E844" s="51">
        <f t="shared" ref="E844:E856" si="73">(B844-B843)/((C844-C843)*24)</f>
        <v>13.279232755440795</v>
      </c>
      <c r="F844" s="36">
        <f t="shared" si="71"/>
        <v>3.1377314814814818E-3</v>
      </c>
    </row>
    <row r="845" spans="1:6">
      <c r="A845" s="68">
        <v>37907</v>
      </c>
      <c r="B845" s="12">
        <v>3</v>
      </c>
      <c r="C845" s="37">
        <v>9.5682870370370366E-3</v>
      </c>
      <c r="D845" s="32">
        <v>138</v>
      </c>
      <c r="E845" s="51">
        <f t="shared" si="73"/>
        <v>12.968299711815568</v>
      </c>
      <c r="F845" s="36">
        <f t="shared" si="71"/>
        <v>3.2129629629629613E-3</v>
      </c>
    </row>
    <row r="846" spans="1:6">
      <c r="A846" s="68">
        <v>37907</v>
      </c>
      <c r="B846" s="12">
        <v>4</v>
      </c>
      <c r="C846" s="37">
        <v>1.2700231481481481E-2</v>
      </c>
      <c r="D846" s="32">
        <v>139</v>
      </c>
      <c r="E846" s="51">
        <f t="shared" si="73"/>
        <v>13.303769401330378</v>
      </c>
      <c r="F846" s="36">
        <f t="shared" si="71"/>
        <v>3.1319444444444441E-3</v>
      </c>
    </row>
    <row r="847" spans="1:6">
      <c r="A847" s="68">
        <v>37907</v>
      </c>
      <c r="B847" s="12">
        <v>5</v>
      </c>
      <c r="C847" s="37">
        <v>1.5832175925925927E-2</v>
      </c>
      <c r="D847" s="32">
        <v>141</v>
      </c>
      <c r="E847" s="51">
        <f t="shared" si="73"/>
        <v>13.303769401330371</v>
      </c>
      <c r="F847" s="36">
        <f t="shared" si="71"/>
        <v>3.1319444444444459E-3</v>
      </c>
    </row>
    <row r="848" spans="1:6">
      <c r="A848" s="68">
        <v>37907</v>
      </c>
      <c r="B848" s="12">
        <v>6</v>
      </c>
      <c r="C848" s="37">
        <v>1.9037037037037036E-2</v>
      </c>
      <c r="D848" s="32">
        <v>139</v>
      </c>
      <c r="E848" s="51">
        <f t="shared" si="73"/>
        <v>13.00108342361864</v>
      </c>
      <c r="F848" s="36">
        <f t="shared" si="71"/>
        <v>3.2048611111111097E-3</v>
      </c>
    </row>
    <row r="849" spans="1:6">
      <c r="A849" s="68">
        <v>37907</v>
      </c>
      <c r="B849" s="12">
        <v>6.35</v>
      </c>
      <c r="C849" s="37">
        <v>2.0049768518518519E-2</v>
      </c>
      <c r="D849" s="32">
        <v>141</v>
      </c>
      <c r="E849" s="51">
        <f t="shared" si="73"/>
        <v>14.39999999999997</v>
      </c>
      <c r="F849" s="36">
        <f t="shared" si="71"/>
        <v>2.8935185185185244E-3</v>
      </c>
    </row>
    <row r="850" spans="1:6">
      <c r="A850" s="68">
        <v>37907</v>
      </c>
      <c r="B850" s="12">
        <v>7.35</v>
      </c>
      <c r="C850" s="37">
        <v>2.3045138888888889E-2</v>
      </c>
      <c r="D850" s="32">
        <v>147</v>
      </c>
      <c r="E850" s="51">
        <f t="shared" si="73"/>
        <v>13.910355486862441</v>
      </c>
      <c r="F850" s="36">
        <f t="shared" si="71"/>
        <v>2.9953703703703709E-3</v>
      </c>
    </row>
    <row r="851" spans="1:6">
      <c r="A851" s="68">
        <v>37907</v>
      </c>
      <c r="B851" s="12">
        <v>8.35</v>
      </c>
      <c r="C851" s="37">
        <v>2.5934027777777775E-2</v>
      </c>
      <c r="D851" s="32">
        <v>148</v>
      </c>
      <c r="E851" s="51">
        <f t="shared" si="73"/>
        <v>14.423076923076941</v>
      </c>
      <c r="F851" s="36">
        <f t="shared" si="71"/>
        <v>2.8888888888888853E-3</v>
      </c>
    </row>
    <row r="852" spans="1:6">
      <c r="A852" s="68">
        <v>37907</v>
      </c>
      <c r="B852" s="12">
        <v>9.35</v>
      </c>
      <c r="C852" s="37">
        <v>2.8809027777777777E-2</v>
      </c>
      <c r="D852" s="32">
        <v>147</v>
      </c>
      <c r="E852" s="51">
        <f t="shared" si="73"/>
        <v>14.492753623188394</v>
      </c>
      <c r="F852" s="36">
        <f t="shared" si="71"/>
        <v>2.8750000000000021E-3</v>
      </c>
    </row>
    <row r="853" spans="1:6">
      <c r="A853" s="68">
        <v>37907</v>
      </c>
      <c r="B853" s="12">
        <v>10.35</v>
      </c>
      <c r="C853" s="37">
        <v>3.1665509259259261E-2</v>
      </c>
      <c r="D853" s="32">
        <v>148</v>
      </c>
      <c r="E853" s="51">
        <f t="shared" si="73"/>
        <v>14.586709886547798</v>
      </c>
      <c r="F853" s="36">
        <f t="shared" si="71"/>
        <v>2.8564814814814841E-3</v>
      </c>
    </row>
    <row r="854" spans="1:6">
      <c r="A854" s="68">
        <v>37907</v>
      </c>
      <c r="B854" s="12">
        <v>11.35</v>
      </c>
      <c r="C854" s="37">
        <v>3.4535879629629632E-2</v>
      </c>
      <c r="D854" s="32">
        <v>148</v>
      </c>
      <c r="E854" s="51">
        <f t="shared" si="73"/>
        <v>14.516129032258064</v>
      </c>
      <c r="F854" s="36">
        <f t="shared" si="71"/>
        <v>2.8703703703703703E-3</v>
      </c>
    </row>
    <row r="855" spans="1:6">
      <c r="A855" s="68">
        <v>37907</v>
      </c>
      <c r="B855" s="12">
        <v>12.35</v>
      </c>
      <c r="C855" s="37">
        <v>3.7386574074074072E-2</v>
      </c>
      <c r="D855" s="32">
        <v>144</v>
      </c>
      <c r="E855" s="51">
        <f t="shared" si="73"/>
        <v>14.61632155907432</v>
      </c>
      <c r="F855" s="36">
        <f t="shared" si="71"/>
        <v>2.8506944444444404E-3</v>
      </c>
    </row>
    <row r="856" spans="1:6">
      <c r="A856" s="68">
        <v>37907</v>
      </c>
      <c r="B856" s="12">
        <v>12.7</v>
      </c>
      <c r="C856" s="37">
        <v>3.8358796296296294E-2</v>
      </c>
      <c r="D856" s="32">
        <v>144</v>
      </c>
      <c r="E856" s="51">
        <f t="shared" si="73"/>
        <v>14.999999999999995</v>
      </c>
      <c r="F856" s="36">
        <f t="shared" si="71"/>
        <v>2.7777777777777788E-3</v>
      </c>
    </row>
    <row r="858" spans="1:6">
      <c r="A858" s="68">
        <v>37933</v>
      </c>
      <c r="B858" s="12">
        <v>1</v>
      </c>
      <c r="C858" s="37">
        <v>2.259259259259259E-3</v>
      </c>
      <c r="D858" s="32">
        <v>165</v>
      </c>
      <c r="E858" s="51">
        <f>(B858-B857)/((C858-C857)*24)</f>
        <v>18.442622950819676</v>
      </c>
      <c r="F858" s="36">
        <f t="shared" si="71"/>
        <v>2.259259259259259E-3</v>
      </c>
    </row>
    <row r="859" spans="1:6">
      <c r="A859" s="68">
        <v>37933</v>
      </c>
      <c r="B859" s="12">
        <v>2</v>
      </c>
      <c r="C859" s="37">
        <v>4.6087962962962966E-3</v>
      </c>
      <c r="D859" s="32">
        <v>174</v>
      </c>
      <c r="E859" s="51">
        <f t="shared" ref="E859:E867" si="74">(B859-B858)/((C859-C858)*24)</f>
        <v>17.733990147783246</v>
      </c>
      <c r="F859" s="36">
        <f t="shared" si="71"/>
        <v>2.349537037037038E-3</v>
      </c>
    </row>
    <row r="860" spans="1:6">
      <c r="A860" s="68">
        <v>37933</v>
      </c>
      <c r="B860" s="12">
        <v>3</v>
      </c>
      <c r="C860" s="37">
        <v>6.9791666666666674E-3</v>
      </c>
      <c r="D860" s="32">
        <v>177</v>
      </c>
      <c r="E860" s="51">
        <f t="shared" si="74"/>
        <v>17.578124999999996</v>
      </c>
      <c r="F860" s="36">
        <f t="shared" si="71"/>
        <v>2.3703703703703712E-3</v>
      </c>
    </row>
    <row r="861" spans="1:6">
      <c r="A861" s="68">
        <v>37933</v>
      </c>
      <c r="B861" s="12">
        <v>4</v>
      </c>
      <c r="C861" s="37">
        <v>9.3657407407407404E-3</v>
      </c>
      <c r="D861" s="32">
        <v>178</v>
      </c>
      <c r="E861" s="51">
        <f t="shared" si="74"/>
        <v>17.45877788554802</v>
      </c>
      <c r="F861" s="36">
        <f t="shared" si="71"/>
        <v>2.3865740740740726E-3</v>
      </c>
    </row>
    <row r="862" spans="1:6">
      <c r="A862" s="68">
        <v>37933</v>
      </c>
      <c r="B862" s="12">
        <v>5</v>
      </c>
      <c r="C862" s="37">
        <v>1.1739583333333333E-2</v>
      </c>
      <c r="D862" s="32">
        <v>178</v>
      </c>
      <c r="E862" s="51">
        <f t="shared" si="74"/>
        <v>17.552413456850317</v>
      </c>
      <c r="F862" s="36">
        <f t="shared" si="71"/>
        <v>2.3738425925925928E-3</v>
      </c>
    </row>
    <row r="863" spans="1:6">
      <c r="A863" s="68">
        <v>37933</v>
      </c>
      <c r="B863" s="12">
        <v>6</v>
      </c>
      <c r="C863" s="37">
        <v>1.4138888888888888E-2</v>
      </c>
      <c r="D863" s="32">
        <v>177</v>
      </c>
      <c r="E863" s="51">
        <f t="shared" si="74"/>
        <v>17.366136034732271</v>
      </c>
      <c r="F863" s="36">
        <f t="shared" si="71"/>
        <v>2.3993055555555556E-3</v>
      </c>
    </row>
    <row r="864" spans="1:6">
      <c r="A864" s="68">
        <v>37933</v>
      </c>
      <c r="B864" s="12">
        <v>7</v>
      </c>
      <c r="C864" s="37">
        <v>1.6163194444444442E-2</v>
      </c>
      <c r="D864" s="32">
        <v>181</v>
      </c>
      <c r="E864" s="51">
        <f t="shared" si="74"/>
        <v>20.58319039451117</v>
      </c>
      <c r="F864" s="36">
        <f t="shared" si="71"/>
        <v>2.0243055555555535E-3</v>
      </c>
    </row>
    <row r="865" spans="1:6">
      <c r="A865" s="68">
        <v>37933</v>
      </c>
      <c r="B865" s="12">
        <v>8</v>
      </c>
      <c r="C865" s="37">
        <v>1.8240740740740741E-2</v>
      </c>
      <c r="D865" s="32">
        <v>183</v>
      </c>
      <c r="E865" s="51">
        <f t="shared" si="74"/>
        <v>20.055710306406652</v>
      </c>
      <c r="F865" s="36">
        <f t="shared" si="71"/>
        <v>2.0775462962962996E-3</v>
      </c>
    </row>
    <row r="866" spans="1:6">
      <c r="A866" s="68">
        <v>37933</v>
      </c>
      <c r="B866" s="12">
        <v>9</v>
      </c>
      <c r="C866" s="37">
        <v>2.027199074074074E-2</v>
      </c>
      <c r="D866" s="32">
        <v>185</v>
      </c>
      <c r="E866" s="51">
        <f t="shared" si="74"/>
        <v>20.512820512820529</v>
      </c>
      <c r="F866" s="36">
        <f t="shared" si="71"/>
        <v>2.0312499999999983E-3</v>
      </c>
    </row>
    <row r="867" spans="1:6">
      <c r="A867" s="68">
        <v>37933</v>
      </c>
      <c r="B867" s="12">
        <v>10</v>
      </c>
      <c r="C867" s="37">
        <v>2.2525462962962966E-2</v>
      </c>
      <c r="D867" s="32">
        <v>185</v>
      </c>
      <c r="E867" s="51">
        <f t="shared" si="74"/>
        <v>18.489984591679473</v>
      </c>
      <c r="F867" s="36">
        <f t="shared" si="71"/>
        <v>2.2534722222222262E-3</v>
      </c>
    </row>
    <row r="869" spans="1:6">
      <c r="A869" s="68">
        <v>38143</v>
      </c>
      <c r="B869" s="12">
        <v>1</v>
      </c>
      <c r="C869" s="37">
        <v>2.3321759259259259E-3</v>
      </c>
      <c r="D869" s="32">
        <v>164</v>
      </c>
      <c r="E869" s="51">
        <f>(B869-B868)/((C869-C868)*24)</f>
        <v>17.866004962779158</v>
      </c>
      <c r="F869" s="36">
        <f t="shared" si="71"/>
        <v>2.3321759259259259E-3</v>
      </c>
    </row>
    <row r="870" spans="1:6">
      <c r="A870" s="68">
        <v>38144</v>
      </c>
      <c r="B870" s="12">
        <v>2</v>
      </c>
      <c r="C870" s="37">
        <v>4.6724537037037038E-3</v>
      </c>
      <c r="D870" s="32">
        <v>173</v>
      </c>
      <c r="E870" s="51">
        <f t="shared" ref="E870:E878" si="75">(B870-B869)/((C870-C869)*24)</f>
        <v>17.804154302670621</v>
      </c>
      <c r="F870" s="36">
        <f t="shared" si="71"/>
        <v>2.3402777777777784E-3</v>
      </c>
    </row>
    <row r="871" spans="1:6">
      <c r="A871" s="68">
        <v>38145</v>
      </c>
      <c r="B871" s="12">
        <v>3</v>
      </c>
      <c r="C871" s="37">
        <v>7.0196759259259257E-3</v>
      </c>
      <c r="D871" s="32">
        <v>176</v>
      </c>
      <c r="E871" s="51">
        <f t="shared" si="75"/>
        <v>17.751479289940832</v>
      </c>
      <c r="F871" s="36">
        <f t="shared" si="71"/>
        <v>2.3472222222222219E-3</v>
      </c>
    </row>
    <row r="872" spans="1:6">
      <c r="A872" s="68">
        <v>38146</v>
      </c>
      <c r="B872" s="12">
        <v>4</v>
      </c>
      <c r="C872" s="37">
        <v>9.3229166666666669E-3</v>
      </c>
      <c r="D872" s="32">
        <v>179</v>
      </c>
      <c r="E872" s="51">
        <f t="shared" si="75"/>
        <v>18.090452261306531</v>
      </c>
      <c r="F872" s="36">
        <f t="shared" si="71"/>
        <v>2.3032407407407411E-3</v>
      </c>
    </row>
    <row r="873" spans="1:6">
      <c r="A873" s="68">
        <v>38147</v>
      </c>
      <c r="B873" s="12">
        <v>5</v>
      </c>
      <c r="C873" s="37">
        <v>1.1802083333333333E-2</v>
      </c>
      <c r="D873" s="32">
        <v>180</v>
      </c>
      <c r="E873" s="51">
        <f t="shared" si="75"/>
        <v>16.806722689075634</v>
      </c>
      <c r="F873" s="36">
        <f t="shared" si="71"/>
        <v>2.479166666666666E-3</v>
      </c>
    </row>
    <row r="874" spans="1:6">
      <c r="A874" s="68">
        <v>38148</v>
      </c>
      <c r="B874" s="12">
        <v>6</v>
      </c>
      <c r="C874" s="37">
        <v>1.4162037037037037E-2</v>
      </c>
      <c r="D874" s="32">
        <v>178</v>
      </c>
      <c r="E874" s="51">
        <f t="shared" si="75"/>
        <v>17.655713585090727</v>
      </c>
      <c r="F874" s="36">
        <f t="shared" si="71"/>
        <v>2.359953703703704E-3</v>
      </c>
    </row>
    <row r="875" spans="1:6">
      <c r="A875" s="68">
        <v>38149</v>
      </c>
      <c r="B875" s="12">
        <v>8</v>
      </c>
      <c r="C875" s="37">
        <v>1.8901620370370371E-2</v>
      </c>
      <c r="D875" s="32">
        <v>179</v>
      </c>
      <c r="E875" s="51">
        <f t="shared" si="75"/>
        <v>17.58241758241758</v>
      </c>
      <c r="F875" s="36">
        <f t="shared" si="71"/>
        <v>2.3697916666666667E-3</v>
      </c>
    </row>
    <row r="876" spans="1:6">
      <c r="A876" s="68">
        <v>38150</v>
      </c>
      <c r="B876" s="12">
        <v>9</v>
      </c>
      <c r="C876" s="37">
        <v>2.1334490740740741E-2</v>
      </c>
      <c r="D876" s="32">
        <v>175</v>
      </c>
      <c r="E876" s="51">
        <f t="shared" si="75"/>
        <v>17.126546146527119</v>
      </c>
      <c r="F876" s="36">
        <f t="shared" si="71"/>
        <v>2.43287037037037E-3</v>
      </c>
    </row>
    <row r="877" spans="1:6">
      <c r="A877" s="68">
        <v>38151</v>
      </c>
      <c r="B877" s="12">
        <v>10</v>
      </c>
      <c r="C877" s="37">
        <v>2.3793981481481482E-2</v>
      </c>
      <c r="D877" s="32">
        <v>174</v>
      </c>
      <c r="E877" s="51">
        <f t="shared" si="75"/>
        <v>16.941176470588232</v>
      </c>
      <c r="F877" s="36">
        <f t="shared" si="71"/>
        <v>2.4594907407407413E-3</v>
      </c>
    </row>
    <row r="878" spans="1:6">
      <c r="A878" s="68">
        <v>38152</v>
      </c>
      <c r="B878" s="12">
        <v>11</v>
      </c>
      <c r="C878" s="37">
        <v>2.6313657407407407E-2</v>
      </c>
      <c r="D878" s="32">
        <v>173</v>
      </c>
      <c r="E878" s="51">
        <f t="shared" si="75"/>
        <v>16.536518144235192</v>
      </c>
      <c r="F878" s="36">
        <f t="shared" si="71"/>
        <v>2.5196759259259248E-3</v>
      </c>
    </row>
    <row r="880" spans="1:6">
      <c r="A880" s="68">
        <v>38150</v>
      </c>
      <c r="B880" s="12">
        <v>1</v>
      </c>
      <c r="C880" s="37">
        <v>2.4513888888888888E-3</v>
      </c>
      <c r="D880" s="32">
        <v>163</v>
      </c>
      <c r="E880" s="51">
        <f>(B880-B879)/((C880-C879)*24)</f>
        <v>16.997167138810198</v>
      </c>
      <c r="F880" s="36">
        <f t="shared" si="71"/>
        <v>2.4513888888888888E-3</v>
      </c>
    </row>
    <row r="881" spans="1:6">
      <c r="A881" s="68">
        <v>38150</v>
      </c>
      <c r="B881" s="12">
        <v>2</v>
      </c>
      <c r="C881" s="37">
        <v>4.8321759259259255E-3</v>
      </c>
      <c r="D881" s="32">
        <v>170</v>
      </c>
      <c r="E881" s="51">
        <f t="shared" ref="E881:E895" si="76">(B881-B880)/((C881-C880)*24)</f>
        <v>17.501215362177934</v>
      </c>
      <c r="F881" s="36">
        <f t="shared" si="71"/>
        <v>2.3807870370370363E-3</v>
      </c>
    </row>
    <row r="882" spans="1:6">
      <c r="A882" s="68">
        <v>38150</v>
      </c>
      <c r="B882" s="12">
        <v>3</v>
      </c>
      <c r="C882" s="37">
        <v>7.2916666666666659E-3</v>
      </c>
      <c r="D882" s="32">
        <v>171</v>
      </c>
      <c r="E882" s="51">
        <f t="shared" si="76"/>
        <v>16.941176470588239</v>
      </c>
      <c r="F882" s="36">
        <f t="shared" si="71"/>
        <v>2.4594907407407404E-3</v>
      </c>
    </row>
    <row r="883" spans="1:6">
      <c r="A883" s="68">
        <v>38150</v>
      </c>
      <c r="B883" s="12">
        <v>5</v>
      </c>
      <c r="C883" s="37">
        <v>1.2152777777777778E-2</v>
      </c>
      <c r="D883" s="32">
        <v>170</v>
      </c>
      <c r="E883" s="51">
        <f t="shared" si="76"/>
        <v>17.142857142857139</v>
      </c>
      <c r="F883" s="36">
        <f t="shared" si="71"/>
        <v>2.430555555555556E-3</v>
      </c>
    </row>
    <row r="884" spans="1:6">
      <c r="A884" s="68">
        <v>38150</v>
      </c>
      <c r="B884" s="12">
        <v>6</v>
      </c>
      <c r="C884" s="37">
        <v>1.4475694444444444E-2</v>
      </c>
      <c r="D884" s="32">
        <v>168</v>
      </c>
      <c r="E884" s="51">
        <f t="shared" si="76"/>
        <v>17.93721973094171</v>
      </c>
      <c r="F884" s="36">
        <f t="shared" si="71"/>
        <v>2.3229166666666658E-3</v>
      </c>
    </row>
    <row r="885" spans="1:6">
      <c r="A885" s="68">
        <v>38150</v>
      </c>
      <c r="B885" s="12">
        <v>7</v>
      </c>
      <c r="C885" s="37">
        <v>1.6795138888888887E-2</v>
      </c>
      <c r="D885" s="32">
        <v>173</v>
      </c>
      <c r="E885" s="51">
        <f t="shared" si="76"/>
        <v>17.964071856287433</v>
      </c>
      <c r="F885" s="36">
        <f t="shared" si="71"/>
        <v>2.3194444444444434E-3</v>
      </c>
    </row>
    <row r="886" spans="1:6">
      <c r="A886" s="68">
        <v>38150</v>
      </c>
      <c r="B886" s="12">
        <v>9</v>
      </c>
      <c r="C886" s="37">
        <v>2.1562499999999998E-2</v>
      </c>
      <c r="D886" s="32">
        <v>172</v>
      </c>
      <c r="E886" s="51">
        <f t="shared" si="76"/>
        <v>17.479970866715224</v>
      </c>
      <c r="F886" s="36">
        <f t="shared" si="71"/>
        <v>2.3836805555555551E-3</v>
      </c>
    </row>
    <row r="887" spans="1:6">
      <c r="A887" s="68">
        <v>38150</v>
      </c>
      <c r="B887" s="12">
        <v>10</v>
      </c>
      <c r="C887" s="37">
        <v>2.3935185185185184E-2</v>
      </c>
      <c r="D887" s="32">
        <v>173</v>
      </c>
      <c r="E887" s="51">
        <f t="shared" si="76"/>
        <v>17.560975609756092</v>
      </c>
      <c r="F887" s="36">
        <f t="shared" si="71"/>
        <v>2.372685185185186E-3</v>
      </c>
    </row>
    <row r="888" spans="1:6">
      <c r="A888" s="68">
        <v>38150</v>
      </c>
      <c r="B888" s="12">
        <v>11</v>
      </c>
      <c r="C888" s="37">
        <v>2.6275462962962962E-2</v>
      </c>
      <c r="D888" s="32">
        <v>172</v>
      </c>
      <c r="E888" s="51">
        <f t="shared" si="76"/>
        <v>17.804154302670621</v>
      </c>
      <c r="F888" s="36">
        <f t="shared" si="71"/>
        <v>2.3402777777777784E-3</v>
      </c>
    </row>
    <row r="889" spans="1:6">
      <c r="A889" s="68">
        <v>38150</v>
      </c>
      <c r="B889" s="12">
        <v>13</v>
      </c>
      <c r="C889" s="37">
        <v>3.1155092592592592E-2</v>
      </c>
      <c r="D889" s="32">
        <v>173</v>
      </c>
      <c r="E889" s="51">
        <f t="shared" si="76"/>
        <v>17.077798861480076</v>
      </c>
      <c r="F889" s="36">
        <f t="shared" ref="F889:F932" si="77">1/(E889*24)</f>
        <v>2.4398148148148148E-3</v>
      </c>
    </row>
    <row r="890" spans="1:6">
      <c r="A890" s="68">
        <v>38150</v>
      </c>
      <c r="B890" s="12">
        <v>14</v>
      </c>
      <c r="C890" s="37">
        <v>3.3420138888888888E-2</v>
      </c>
      <c r="D890" s="32">
        <v>174</v>
      </c>
      <c r="E890" s="51">
        <f t="shared" si="76"/>
        <v>18.395503321410324</v>
      </c>
      <c r="F890" s="36">
        <f t="shared" si="77"/>
        <v>2.2650462962962963E-3</v>
      </c>
    </row>
    <row r="891" spans="1:6">
      <c r="A891" s="68">
        <v>38150</v>
      </c>
      <c r="B891" s="12">
        <v>15</v>
      </c>
      <c r="C891" s="37">
        <v>3.5777777777777776E-2</v>
      </c>
      <c r="D891" s="32">
        <v>175</v>
      </c>
      <c r="E891" s="51">
        <f t="shared" si="76"/>
        <v>17.673048600883657</v>
      </c>
      <c r="F891" s="36">
        <f t="shared" si="77"/>
        <v>2.3576388888888883E-3</v>
      </c>
    </row>
    <row r="892" spans="1:6">
      <c r="A892" s="68">
        <v>38150</v>
      </c>
      <c r="B892" s="12">
        <v>16</v>
      </c>
      <c r="C892" s="37">
        <v>3.8150462962962962E-2</v>
      </c>
      <c r="D892" s="32">
        <v>175</v>
      </c>
      <c r="E892" s="51">
        <f t="shared" si="76"/>
        <v>17.560975609756092</v>
      </c>
      <c r="F892" s="36">
        <f t="shared" si="77"/>
        <v>2.372685185185186E-3</v>
      </c>
    </row>
    <row r="893" spans="1:6">
      <c r="A893" s="68">
        <v>38150</v>
      </c>
      <c r="B893" s="12">
        <v>17</v>
      </c>
      <c r="C893" s="37">
        <v>4.0616898148148152E-2</v>
      </c>
      <c r="D893" s="32">
        <v>175</v>
      </c>
      <c r="E893" s="51">
        <f t="shared" si="76"/>
        <v>16.893477240732022</v>
      </c>
      <c r="F893" s="36">
        <f t="shared" si="77"/>
        <v>2.4664351851851896E-3</v>
      </c>
    </row>
    <row r="894" spans="1:6">
      <c r="A894" s="68">
        <v>38150</v>
      </c>
      <c r="B894" s="12">
        <v>18</v>
      </c>
      <c r="C894" s="37">
        <v>4.2928240740740746E-2</v>
      </c>
      <c r="D894" s="32">
        <v>178</v>
      </c>
      <c r="E894" s="51">
        <f t="shared" si="76"/>
        <v>18.02704056084125</v>
      </c>
      <c r="F894" s="36">
        <f t="shared" si="77"/>
        <v>2.311342592592594E-3</v>
      </c>
    </row>
    <row r="895" spans="1:6">
      <c r="A895" s="68">
        <v>38150</v>
      </c>
      <c r="B895" s="12">
        <v>21.1</v>
      </c>
      <c r="C895" s="37">
        <v>5.0381944444444444E-2</v>
      </c>
      <c r="D895" s="32">
        <v>172</v>
      </c>
      <c r="E895" s="51">
        <f t="shared" si="76"/>
        <v>17.329192546583872</v>
      </c>
      <c r="F895" s="36">
        <f t="shared" si="77"/>
        <v>2.4044205495818366E-3</v>
      </c>
    </row>
    <row r="897" spans="1:6">
      <c r="A897" s="68">
        <v>38156</v>
      </c>
      <c r="B897" s="12">
        <v>1</v>
      </c>
      <c r="C897" s="37">
        <v>3.1597222222222222E-3</v>
      </c>
      <c r="D897" s="32">
        <v>148</v>
      </c>
      <c r="E897" s="51">
        <f>(B897-B896)/((C897-C896)*24)</f>
        <v>13.186813186813186</v>
      </c>
      <c r="F897" s="36">
        <f t="shared" si="77"/>
        <v>3.1597222222222222E-3</v>
      </c>
    </row>
    <row r="898" spans="1:6">
      <c r="A898" s="68">
        <v>38156</v>
      </c>
      <c r="B898" s="12">
        <v>2</v>
      </c>
      <c r="C898" s="37">
        <v>6.1631944444444442E-3</v>
      </c>
      <c r="D898" s="32">
        <v>139</v>
      </c>
      <c r="E898" s="51">
        <f t="shared" ref="E898:E907" si="78">(B898-B897)/((C898-C897)*24)</f>
        <v>13.872832369942197</v>
      </c>
      <c r="F898" s="36">
        <f t="shared" si="77"/>
        <v>3.003472222222222E-3</v>
      </c>
    </row>
    <row r="899" spans="1:6">
      <c r="A899" s="68">
        <v>38156</v>
      </c>
      <c r="B899" s="12">
        <v>3</v>
      </c>
      <c r="C899" s="37">
        <v>9.3969907407407405E-3</v>
      </c>
      <c r="D899" s="32">
        <v>139</v>
      </c>
      <c r="E899" s="51">
        <f t="shared" si="78"/>
        <v>12.884753042233358</v>
      </c>
      <c r="F899" s="36">
        <f t="shared" si="77"/>
        <v>3.2337962962962958E-3</v>
      </c>
    </row>
    <row r="900" spans="1:6">
      <c r="A900" s="68">
        <v>38156</v>
      </c>
      <c r="B900" s="12">
        <v>4</v>
      </c>
      <c r="C900" s="37">
        <v>1.2410879629629628E-2</v>
      </c>
      <c r="D900" s="32">
        <v>139</v>
      </c>
      <c r="E900" s="51">
        <f t="shared" si="78"/>
        <v>13.824884792626737</v>
      </c>
      <c r="F900" s="36">
        <f t="shared" si="77"/>
        <v>3.0138888888888867E-3</v>
      </c>
    </row>
    <row r="901" spans="1:6">
      <c r="A901" s="68">
        <v>38156</v>
      </c>
      <c r="B901" s="12">
        <v>5</v>
      </c>
      <c r="C901" s="37">
        <v>1.5549768518518518E-2</v>
      </c>
      <c r="D901" s="32">
        <v>141</v>
      </c>
      <c r="E901" s="51">
        <f t="shared" si="78"/>
        <v>13.274336283185834</v>
      </c>
      <c r="F901" s="36">
        <f t="shared" si="77"/>
        <v>3.1388888888888903E-3</v>
      </c>
    </row>
    <row r="902" spans="1:6">
      <c r="A902" s="68">
        <v>38156</v>
      </c>
      <c r="B902" s="12">
        <v>6</v>
      </c>
      <c r="C902" s="37">
        <v>1.8854166666666665E-2</v>
      </c>
      <c r="D902" s="32">
        <v>142</v>
      </c>
      <c r="E902" s="51">
        <f t="shared" si="78"/>
        <v>12.609457092819621</v>
      </c>
      <c r="F902" s="36">
        <f t="shared" si="77"/>
        <v>3.3043981481481466E-3</v>
      </c>
    </row>
    <row r="903" spans="1:6">
      <c r="A903" s="68">
        <v>38156</v>
      </c>
      <c r="B903" s="12">
        <v>7</v>
      </c>
      <c r="C903" s="37">
        <v>2.2104166666666664E-2</v>
      </c>
      <c r="D903" s="32">
        <v>141</v>
      </c>
      <c r="E903" s="51">
        <f t="shared" si="78"/>
        <v>12.820512820512823</v>
      </c>
      <c r="F903" s="36">
        <f t="shared" si="77"/>
        <v>3.2499999999999994E-3</v>
      </c>
    </row>
    <row r="904" spans="1:6">
      <c r="A904" s="68">
        <v>38156</v>
      </c>
      <c r="B904" s="12">
        <v>8</v>
      </c>
      <c r="C904" s="37">
        <v>2.5289351851851851E-2</v>
      </c>
      <c r="D904" s="32">
        <v>141</v>
      </c>
      <c r="E904" s="51">
        <f t="shared" si="78"/>
        <v>13.081395348837203</v>
      </c>
      <c r="F904" s="36">
        <f t="shared" si="77"/>
        <v>3.1851851851851867E-3</v>
      </c>
    </row>
    <row r="905" spans="1:6">
      <c r="A905" s="68">
        <v>38156</v>
      </c>
      <c r="B905" s="12">
        <v>9</v>
      </c>
      <c r="C905" s="37">
        <v>2.8547453703703703E-2</v>
      </c>
      <c r="D905" s="32">
        <v>139</v>
      </c>
      <c r="E905" s="51">
        <f t="shared" si="78"/>
        <v>12.788632326820602</v>
      </c>
      <c r="F905" s="36">
        <f t="shared" si="77"/>
        <v>3.2581018518518523E-3</v>
      </c>
    </row>
    <row r="906" spans="1:6">
      <c r="A906" s="68">
        <v>38156</v>
      </c>
      <c r="B906" s="12">
        <v>10</v>
      </c>
      <c r="C906" s="37">
        <v>3.1924768518518519E-2</v>
      </c>
      <c r="D906" s="32">
        <v>137</v>
      </c>
      <c r="E906" s="51">
        <f t="shared" si="78"/>
        <v>12.337217272104178</v>
      </c>
      <c r="F906" s="36">
        <f t="shared" si="77"/>
        <v>3.3773148148148152E-3</v>
      </c>
    </row>
    <row r="907" spans="1:6">
      <c r="B907" s="12">
        <v>10.26</v>
      </c>
      <c r="C907" s="37">
        <v>3.2850694444444446E-2</v>
      </c>
      <c r="D907" s="32">
        <v>137</v>
      </c>
      <c r="E907" s="51">
        <f t="shared" si="78"/>
        <v>11.699999999999973</v>
      </c>
      <c r="F907" s="36">
        <f t="shared" si="77"/>
        <v>3.5612535612535696E-3</v>
      </c>
    </row>
    <row r="909" spans="1:6">
      <c r="A909" s="68">
        <v>38189</v>
      </c>
      <c r="B909" s="12">
        <v>3</v>
      </c>
      <c r="C909" s="37">
        <v>5.7222222222222223E-3</v>
      </c>
      <c r="D909" s="32">
        <v>168</v>
      </c>
      <c r="E909" s="51">
        <f>(B909-B908)/((C909-C908)*24)</f>
        <v>21.844660194174757</v>
      </c>
      <c r="F909" s="36">
        <f t="shared" si="77"/>
        <v>1.9074074074074076E-3</v>
      </c>
    </row>
    <row r="910" spans="1:6">
      <c r="A910" s="68">
        <v>38189</v>
      </c>
      <c r="B910" s="12">
        <v>5</v>
      </c>
      <c r="C910" s="37">
        <v>1.0530092592592593E-2</v>
      </c>
      <c r="D910" s="32">
        <v>177</v>
      </c>
      <c r="E910" s="51">
        <f t="shared" ref="E910:E920" si="79">(B910-B909)/((C910-C909)*24)</f>
        <v>17.332691381800675</v>
      </c>
      <c r="F910" s="36">
        <f t="shared" si="77"/>
        <v>2.4039351851851847E-3</v>
      </c>
    </row>
    <row r="911" spans="1:6">
      <c r="A911" s="68">
        <v>38189</v>
      </c>
      <c r="B911" s="12">
        <v>6</v>
      </c>
      <c r="C911" s="37">
        <v>1.289814814814815E-2</v>
      </c>
      <c r="D911" s="32">
        <v>180</v>
      </c>
      <c r="E911" s="51">
        <f t="shared" si="79"/>
        <v>17.595307917888551</v>
      </c>
      <c r="F911" s="36">
        <f t="shared" si="77"/>
        <v>2.3680555555555568E-3</v>
      </c>
    </row>
    <row r="912" spans="1:6">
      <c r="A912" s="68">
        <v>38189</v>
      </c>
      <c r="B912" s="12">
        <v>7</v>
      </c>
      <c r="C912" s="37">
        <v>1.5281249999999998E-2</v>
      </c>
      <c r="D912" s="32">
        <v>179</v>
      </c>
      <c r="E912" s="51">
        <f t="shared" si="79"/>
        <v>17.48421563865957</v>
      </c>
      <c r="F912" s="36">
        <f t="shared" si="77"/>
        <v>2.3831018518518481E-3</v>
      </c>
    </row>
    <row r="913" spans="1:10">
      <c r="A913" s="68">
        <v>38189</v>
      </c>
      <c r="B913" s="12">
        <v>8</v>
      </c>
      <c r="C913" s="37">
        <v>1.7656249999999998E-2</v>
      </c>
      <c r="D913" s="32">
        <v>180</v>
      </c>
      <c r="E913" s="51">
        <f t="shared" si="79"/>
        <v>17.543859649122805</v>
      </c>
      <c r="F913" s="36">
        <f t="shared" si="77"/>
        <v>2.3750000000000004E-3</v>
      </c>
    </row>
    <row r="914" spans="1:10">
      <c r="A914" s="68">
        <v>38189</v>
      </c>
      <c r="B914" s="12">
        <v>9</v>
      </c>
      <c r="C914" s="37">
        <v>2.0125000000000001E-2</v>
      </c>
      <c r="D914" s="32">
        <v>182</v>
      </c>
      <c r="E914" s="51">
        <f t="shared" si="79"/>
        <v>16.877637130801673</v>
      </c>
      <c r="F914" s="36">
        <f t="shared" si="77"/>
        <v>2.4687500000000022E-3</v>
      </c>
    </row>
    <row r="915" spans="1:10">
      <c r="A915" s="68">
        <v>38189</v>
      </c>
      <c r="B915" s="12">
        <v>10</v>
      </c>
      <c r="C915" s="37">
        <v>2.2491898148148146E-2</v>
      </c>
      <c r="D915" s="32">
        <v>181</v>
      </c>
      <c r="E915" s="51">
        <f t="shared" si="79"/>
        <v>17.603911980440117</v>
      </c>
      <c r="F915" s="36">
        <f t="shared" si="77"/>
        <v>2.3668981481481458E-3</v>
      </c>
    </row>
    <row r="916" spans="1:10">
      <c r="A916" s="68">
        <v>38189</v>
      </c>
      <c r="B916" s="12">
        <v>11</v>
      </c>
      <c r="C916" s="37">
        <v>2.4870370370370373E-2</v>
      </c>
      <c r="D916" s="32">
        <v>181</v>
      </c>
      <c r="E916" s="51">
        <f t="shared" si="79"/>
        <v>17.518248175182453</v>
      </c>
      <c r="F916" s="36">
        <f t="shared" si="77"/>
        <v>2.3784722222222258E-3</v>
      </c>
    </row>
    <row r="917" spans="1:10">
      <c r="A917" s="68">
        <v>38189</v>
      </c>
      <c r="B917" s="12">
        <v>13</v>
      </c>
      <c r="C917" s="37">
        <v>2.9723379629629631E-2</v>
      </c>
      <c r="D917" s="32">
        <v>182</v>
      </c>
      <c r="E917" s="51">
        <f t="shared" si="79"/>
        <v>17.17147626997377</v>
      </c>
      <c r="F917" s="36">
        <f t="shared" si="77"/>
        <v>2.4265046296296287E-3</v>
      </c>
    </row>
    <row r="918" spans="1:10">
      <c r="A918" s="68">
        <v>38189</v>
      </c>
      <c r="B918" s="12">
        <v>14</v>
      </c>
      <c r="C918" s="37">
        <v>3.2098379629629629E-2</v>
      </c>
      <c r="D918" s="32">
        <v>183</v>
      </c>
      <c r="E918" s="51">
        <f t="shared" si="79"/>
        <v>17.543859649122815</v>
      </c>
      <c r="F918" s="36">
        <f t="shared" si="77"/>
        <v>2.3749999999999991E-3</v>
      </c>
    </row>
    <row r="919" spans="1:10">
      <c r="A919" s="68">
        <v>38189</v>
      </c>
      <c r="B919" s="12">
        <v>15</v>
      </c>
      <c r="C919" s="37">
        <v>3.4421296296296297E-2</v>
      </c>
      <c r="D919" s="32">
        <v>185</v>
      </c>
      <c r="E919" s="51">
        <f t="shared" si="79"/>
        <v>17.937219730941695</v>
      </c>
      <c r="F919" s="36">
        <f t="shared" si="77"/>
        <v>2.3229166666666676E-3</v>
      </c>
    </row>
    <row r="920" spans="1:10">
      <c r="A920" s="68">
        <v>38189</v>
      </c>
      <c r="B920" s="12">
        <v>16</v>
      </c>
      <c r="C920" s="37">
        <v>3.6802083333333332E-2</v>
      </c>
      <c r="D920" s="32">
        <v>185</v>
      </c>
      <c r="E920" s="51">
        <f t="shared" si="79"/>
        <v>17.501215362177941</v>
      </c>
      <c r="F920" s="36">
        <f t="shared" si="77"/>
        <v>2.3807870370370354E-3</v>
      </c>
    </row>
    <row r="921" spans="1:10">
      <c r="E921" s="51"/>
      <c r="F921" s="36"/>
    </row>
    <row r="922" spans="1:10">
      <c r="B922" s="12">
        <v>1</v>
      </c>
      <c r="C922" s="37">
        <v>3.0474537037037037E-3</v>
      </c>
      <c r="D922" s="32">
        <v>138</v>
      </c>
      <c r="E922" s="51">
        <f t="shared" ref="E922:E932" si="80">(B922-B921)/((C922-C921)*24)</f>
        <v>13.672616786935054</v>
      </c>
      <c r="F922" s="36">
        <f t="shared" si="77"/>
        <v>3.0474537037037037E-3</v>
      </c>
      <c r="G922" s="36"/>
      <c r="I922">
        <v>138</v>
      </c>
      <c r="J922" s="36">
        <v>3.0474537037037037E-3</v>
      </c>
    </row>
    <row r="923" spans="1:10">
      <c r="B923" s="12">
        <v>2</v>
      </c>
      <c r="C923" s="37">
        <v>5.8171296296296296E-3</v>
      </c>
      <c r="D923" s="32">
        <v>150</v>
      </c>
      <c r="E923" s="51">
        <f t="shared" si="80"/>
        <v>15.043877977434182</v>
      </c>
      <c r="F923" s="36">
        <f t="shared" si="77"/>
        <v>2.7696759259259259E-3</v>
      </c>
      <c r="G923" s="36"/>
      <c r="I923">
        <v>150</v>
      </c>
      <c r="J923" s="36">
        <v>2.7696759259259259E-3</v>
      </c>
    </row>
    <row r="924" spans="1:10">
      <c r="B924" s="12">
        <v>4</v>
      </c>
      <c r="C924" s="37">
        <v>1.1417824074074073E-2</v>
      </c>
      <c r="D924" s="32">
        <v>154</v>
      </c>
      <c r="E924" s="51">
        <f t="shared" si="80"/>
        <v>14.879107253564786</v>
      </c>
      <c r="F924" s="36">
        <f t="shared" si="77"/>
        <v>2.8003472222222219E-3</v>
      </c>
      <c r="G924" s="36"/>
      <c r="I924">
        <v>154</v>
      </c>
      <c r="J924" s="36">
        <v>2.8003472222222219E-3</v>
      </c>
    </row>
    <row r="925" spans="1:10">
      <c r="B925" s="12">
        <v>6</v>
      </c>
      <c r="C925" s="37">
        <v>1.6984953703703703E-2</v>
      </c>
      <c r="D925" s="32">
        <v>154</v>
      </c>
      <c r="E925" s="51">
        <f t="shared" si="80"/>
        <v>14.968814968814968</v>
      </c>
      <c r="F925" s="36">
        <f t="shared" si="77"/>
        <v>2.7835648148148151E-3</v>
      </c>
      <c r="I925">
        <v>154</v>
      </c>
      <c r="J925" s="36">
        <v>2.8003472222222219E-3</v>
      </c>
    </row>
    <row r="926" spans="1:10">
      <c r="E926" s="51">
        <f t="shared" si="80"/>
        <v>14.718909710391824</v>
      </c>
      <c r="F926" s="36">
        <f t="shared" si="77"/>
        <v>2.8308256172839509E-3</v>
      </c>
      <c r="I926">
        <v>154</v>
      </c>
      <c r="J926" s="36">
        <v>2.7835648148148151E-3</v>
      </c>
    </row>
    <row r="927" spans="1:10">
      <c r="C927" s="37">
        <v>4.1817129629629626E-3</v>
      </c>
      <c r="D927" s="32">
        <v>160</v>
      </c>
      <c r="E927" s="51"/>
      <c r="F927" s="36"/>
      <c r="I927">
        <v>154</v>
      </c>
      <c r="J927" s="36">
        <v>2.7893518518518519E-3</v>
      </c>
    </row>
    <row r="928" spans="1:10">
      <c r="C928" s="37">
        <v>2.1166666666666667E-2</v>
      </c>
      <c r="E928" s="51"/>
      <c r="F928" s="36"/>
      <c r="I928">
        <v>159</v>
      </c>
      <c r="J928" s="36">
        <v>2.7696759259259285E-3</v>
      </c>
    </row>
    <row r="929" spans="2:10">
      <c r="B929" s="12">
        <v>1</v>
      </c>
      <c r="C929" s="37">
        <v>2.3936342592592596E-2</v>
      </c>
      <c r="D929" s="32">
        <v>159</v>
      </c>
      <c r="E929" s="51">
        <f t="shared" si="80"/>
        <v>15.043877977434168</v>
      </c>
      <c r="F929" s="36">
        <f t="shared" si="77"/>
        <v>2.7696759259259285E-3</v>
      </c>
      <c r="I929">
        <v>158</v>
      </c>
      <c r="J929" s="36">
        <v>2.7754629629629587E-3</v>
      </c>
    </row>
    <row r="930" spans="2:10">
      <c r="B930" s="12">
        <v>2</v>
      </c>
      <c r="C930" s="37">
        <v>2.6711805555555555E-2</v>
      </c>
      <c r="D930" s="32">
        <v>158</v>
      </c>
      <c r="E930" s="51">
        <f t="shared" si="80"/>
        <v>15.012510425354485</v>
      </c>
      <c r="F930" s="36">
        <f t="shared" si="77"/>
        <v>2.7754629629629587E-3</v>
      </c>
      <c r="I930">
        <v>155</v>
      </c>
      <c r="J930" s="36">
        <v>2.8234953703703703E-3</v>
      </c>
    </row>
    <row r="931" spans="2:10">
      <c r="B931" s="12">
        <v>4</v>
      </c>
      <c r="C931" s="37">
        <v>3.2358796296296295E-2</v>
      </c>
      <c r="D931" s="32">
        <v>155</v>
      </c>
      <c r="E931" s="51">
        <f t="shared" si="80"/>
        <v>14.757122361139578</v>
      </c>
      <c r="F931" s="36">
        <f t="shared" si="77"/>
        <v>2.8234953703703703E-3</v>
      </c>
      <c r="I931">
        <v>155</v>
      </c>
      <c r="J931" s="36">
        <v>2.8240740740740739E-3</v>
      </c>
    </row>
    <row r="932" spans="2:10">
      <c r="B932" s="12">
        <v>5</v>
      </c>
      <c r="C932" s="37">
        <v>3.5042824074074073E-2</v>
      </c>
      <c r="D932" s="32">
        <v>153</v>
      </c>
      <c r="E932" s="51">
        <f t="shared" si="80"/>
        <v>15.523932729624836</v>
      </c>
      <c r="F932" s="36">
        <f t="shared" si="77"/>
        <v>2.6840277777777782E-3</v>
      </c>
      <c r="I932">
        <v>153</v>
      </c>
      <c r="J932" s="36">
        <v>2.6840277777777782E-3</v>
      </c>
    </row>
    <row r="935" spans="2:10">
      <c r="F935" s="36">
        <f>SUM(F922:F925,F929:F932)</f>
        <v>2.2453703703703705E-2</v>
      </c>
      <c r="I935">
        <f>AVERAGE(I922:I932)</f>
        <v>153.09090909090909</v>
      </c>
      <c r="J935" s="36">
        <f>AVERAGE(J922:J932)</f>
        <v>2.8061342592592587E-3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F716 F7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6431"/>
  <sheetViews>
    <sheetView workbookViewId="0">
      <pane ySplit="1" topLeftCell="A6232" activePane="bottomLeft" state="frozen"/>
      <selection pane="bottomLeft" activeCell="C6369" sqref="C6369"/>
    </sheetView>
  </sheetViews>
  <sheetFormatPr defaultRowHeight="12.75"/>
  <cols>
    <col min="1" max="1" width="19.7109375" style="68" customWidth="1"/>
    <col min="2" max="2" width="11.5703125" style="6" bestFit="1" customWidth="1"/>
    <col min="3" max="3" width="10.140625" style="5" customWidth="1"/>
    <col min="4" max="4" width="15.5703125" style="4" customWidth="1"/>
    <col min="5" max="16384" width="9.140625" style="4"/>
  </cols>
  <sheetData>
    <row r="1" spans="1:3">
      <c r="A1" s="3" t="s">
        <v>68</v>
      </c>
      <c r="B1" s="3" t="s">
        <v>69</v>
      </c>
      <c r="C1" s="2" t="s">
        <v>70</v>
      </c>
    </row>
    <row r="2" spans="1:3">
      <c r="A2" s="68">
        <v>36926.76871527778</v>
      </c>
      <c r="B2" s="9">
        <v>0</v>
      </c>
      <c r="C2" s="10">
        <v>115</v>
      </c>
    </row>
    <row r="3" spans="1:3">
      <c r="A3" s="68">
        <v>36926.76871527778</v>
      </c>
      <c r="B3" s="9">
        <v>6.9444444444444447E-4</v>
      </c>
      <c r="C3" s="10">
        <v>159</v>
      </c>
    </row>
    <row r="4" spans="1:3">
      <c r="A4" s="68">
        <v>36926.76871527778</v>
      </c>
      <c r="B4" s="9">
        <v>1.3888888888888889E-3</v>
      </c>
      <c r="C4" s="10">
        <v>170</v>
      </c>
    </row>
    <row r="5" spans="1:3">
      <c r="A5" s="68">
        <v>36926.76871527778</v>
      </c>
      <c r="B5" s="9">
        <v>2.0833333333333333E-3</v>
      </c>
      <c r="C5" s="10">
        <v>177</v>
      </c>
    </row>
    <row r="6" spans="1:3">
      <c r="A6" s="68">
        <v>36926.76871527778</v>
      </c>
      <c r="B6" s="9">
        <v>2.7777777777777779E-3</v>
      </c>
      <c r="C6" s="10">
        <v>177</v>
      </c>
    </row>
    <row r="7" spans="1:3">
      <c r="A7" s="68">
        <v>36926.76871527778</v>
      </c>
      <c r="B7" s="9">
        <v>3.472222222222222E-3</v>
      </c>
      <c r="C7" s="10">
        <v>179</v>
      </c>
    </row>
    <row r="8" spans="1:3">
      <c r="A8" s="68">
        <v>36926.76871527778</v>
      </c>
      <c r="B8" s="9">
        <v>4.1666666666666666E-3</v>
      </c>
      <c r="C8" s="10">
        <v>178</v>
      </c>
    </row>
    <row r="9" spans="1:3">
      <c r="A9" s="68">
        <v>36926.76871527778</v>
      </c>
      <c r="B9" s="9">
        <v>4.8611111111111112E-3</v>
      </c>
      <c r="C9" s="10">
        <v>181</v>
      </c>
    </row>
    <row r="10" spans="1:3">
      <c r="A10" s="68">
        <v>36926.76871527778</v>
      </c>
      <c r="B10" s="9">
        <v>5.5555555555555558E-3</v>
      </c>
      <c r="C10" s="10">
        <v>183</v>
      </c>
    </row>
    <row r="11" spans="1:3">
      <c r="A11" s="68">
        <v>36926.76871527778</v>
      </c>
      <c r="B11" s="9">
        <v>6.2500000000000003E-3</v>
      </c>
      <c r="C11" s="10">
        <v>184</v>
      </c>
    </row>
    <row r="12" spans="1:3">
      <c r="A12" s="68">
        <v>36926.76871527778</v>
      </c>
      <c r="B12" s="9">
        <v>6.9444444444444441E-3</v>
      </c>
      <c r="C12" s="10">
        <v>183</v>
      </c>
    </row>
    <row r="13" spans="1:3">
      <c r="A13" s="68">
        <v>36926.76871527778</v>
      </c>
      <c r="B13" s="9">
        <v>7.6388888888888886E-3</v>
      </c>
      <c r="C13" s="10">
        <v>184</v>
      </c>
    </row>
    <row r="14" spans="1:3">
      <c r="A14" s="68">
        <v>36926.76871527778</v>
      </c>
      <c r="B14" s="9">
        <v>8.3333333333333332E-3</v>
      </c>
      <c r="C14" s="10">
        <v>185</v>
      </c>
    </row>
    <row r="15" spans="1:3">
      <c r="A15" s="68">
        <v>36926.76871527778</v>
      </c>
      <c r="B15" s="9">
        <v>9.0277777777777769E-3</v>
      </c>
      <c r="C15" s="10">
        <v>184</v>
      </c>
    </row>
    <row r="16" spans="1:3">
      <c r="A16" s="68">
        <v>36926.76871527778</v>
      </c>
      <c r="B16" s="9">
        <v>9.7222222222222224E-3</v>
      </c>
      <c r="C16" s="10">
        <v>185</v>
      </c>
    </row>
    <row r="17" spans="1:3">
      <c r="A17" s="68">
        <v>36926.76871527778</v>
      </c>
      <c r="B17" s="9">
        <v>1.0416666666666666E-2</v>
      </c>
      <c r="C17" s="10">
        <v>184</v>
      </c>
    </row>
    <row r="18" spans="1:3">
      <c r="A18" s="68">
        <v>36926.76871527778</v>
      </c>
      <c r="B18" s="9">
        <v>1.1111111111111112E-2</v>
      </c>
      <c r="C18" s="10">
        <v>183</v>
      </c>
    </row>
    <row r="19" spans="1:3">
      <c r="A19" s="68">
        <v>36926.76871527778</v>
      </c>
      <c r="B19" s="9">
        <v>1.1805555555555555E-2</v>
      </c>
      <c r="C19" s="10">
        <v>187</v>
      </c>
    </row>
    <row r="20" spans="1:3">
      <c r="A20" s="68">
        <v>36926.76871527778</v>
      </c>
      <c r="B20" s="9">
        <v>1.2500000000000001E-2</v>
      </c>
      <c r="C20" s="10">
        <v>186</v>
      </c>
    </row>
    <row r="21" spans="1:3">
      <c r="A21" s="68">
        <v>36926.76871527778</v>
      </c>
      <c r="B21" s="9">
        <v>1.3194444444444444E-2</v>
      </c>
      <c r="C21" s="10">
        <v>185</v>
      </c>
    </row>
    <row r="22" spans="1:3">
      <c r="A22" s="68">
        <v>36926.76871527778</v>
      </c>
      <c r="B22" s="9">
        <v>1.3888888888888888E-2</v>
      </c>
      <c r="C22" s="10">
        <v>187</v>
      </c>
    </row>
    <row r="23" spans="1:3">
      <c r="A23" s="68">
        <v>36926.76871527778</v>
      </c>
      <c r="B23" s="9">
        <v>1.4583333333333334E-2</v>
      </c>
      <c r="C23" s="10">
        <v>188</v>
      </c>
    </row>
    <row r="24" spans="1:3">
      <c r="A24" s="68">
        <v>36926.76871527778</v>
      </c>
      <c r="B24" s="9">
        <v>1.5277777777777777E-2</v>
      </c>
      <c r="C24" s="10">
        <v>188</v>
      </c>
    </row>
    <row r="25" spans="1:3">
      <c r="A25" s="68">
        <v>36926.76871527778</v>
      </c>
      <c r="B25" s="9">
        <v>1.5972222222222221E-2</v>
      </c>
      <c r="C25" s="10">
        <v>189</v>
      </c>
    </row>
    <row r="26" spans="1:3">
      <c r="A26" s="68">
        <v>36926.76871527778</v>
      </c>
      <c r="B26" s="9">
        <v>1.6666666666666666E-2</v>
      </c>
      <c r="C26" s="10">
        <v>190</v>
      </c>
    </row>
    <row r="27" spans="1:3">
      <c r="A27" s="68">
        <v>36926.76871527778</v>
      </c>
      <c r="B27" s="9">
        <v>1.7361111111111112E-2</v>
      </c>
      <c r="C27" s="10">
        <v>192</v>
      </c>
    </row>
    <row r="28" spans="1:3">
      <c r="A28" s="68">
        <v>36926.76871527778</v>
      </c>
      <c r="B28" s="9">
        <v>1.8055555555555554E-2</v>
      </c>
      <c r="C28" s="10">
        <v>196</v>
      </c>
    </row>
    <row r="29" spans="1:3">
      <c r="A29" s="68">
        <v>36926.76871527778</v>
      </c>
      <c r="B29" s="9">
        <v>1.8749999999999999E-2</v>
      </c>
      <c r="C29" s="10">
        <v>198</v>
      </c>
    </row>
    <row r="30" spans="1:3">
      <c r="A30" s="68">
        <v>36929.879861111112</v>
      </c>
      <c r="B30" s="9">
        <v>0</v>
      </c>
      <c r="C30" s="10">
        <v>100</v>
      </c>
    </row>
    <row r="31" spans="1:3">
      <c r="A31" s="68">
        <v>36929.879861111112</v>
      </c>
      <c r="B31" s="9">
        <v>6.9444444444444447E-4</v>
      </c>
      <c r="C31" s="10">
        <v>153</v>
      </c>
    </row>
    <row r="32" spans="1:3">
      <c r="A32" s="68">
        <v>36929.879861111112</v>
      </c>
      <c r="B32" s="9">
        <v>1.3888888888888889E-3</v>
      </c>
      <c r="C32" s="10">
        <v>161</v>
      </c>
    </row>
    <row r="33" spans="1:3">
      <c r="A33" s="68">
        <v>36929.879861111112</v>
      </c>
      <c r="B33" s="9">
        <v>2.0833333333333333E-3</v>
      </c>
      <c r="C33" s="10">
        <v>164</v>
      </c>
    </row>
    <row r="34" spans="1:3">
      <c r="A34" s="68">
        <v>36929.879861111112</v>
      </c>
      <c r="B34" s="9">
        <v>2.7777777777777779E-3</v>
      </c>
      <c r="C34" s="10">
        <v>171</v>
      </c>
    </row>
    <row r="35" spans="1:3">
      <c r="A35" s="68">
        <v>36929.879861111112</v>
      </c>
      <c r="B35" s="9">
        <v>3.472222222222222E-3</v>
      </c>
      <c r="C35" s="10">
        <v>173</v>
      </c>
    </row>
    <row r="36" spans="1:3">
      <c r="A36" s="68">
        <v>36929.879861111112</v>
      </c>
      <c r="B36" s="9">
        <v>4.1666666666666666E-3</v>
      </c>
      <c r="C36" s="10">
        <v>176</v>
      </c>
    </row>
    <row r="37" spans="1:3">
      <c r="A37" s="68">
        <v>36929.879861111112</v>
      </c>
      <c r="B37" s="9">
        <v>4.8611111111111112E-3</v>
      </c>
      <c r="C37" s="10">
        <v>177</v>
      </c>
    </row>
    <row r="38" spans="1:3">
      <c r="A38" s="68">
        <v>36929.879861111112</v>
      </c>
      <c r="B38" s="9">
        <v>5.5555555555555558E-3</v>
      </c>
      <c r="C38" s="10">
        <v>183</v>
      </c>
    </row>
    <row r="39" spans="1:3">
      <c r="A39" s="68">
        <v>36929.879861111112</v>
      </c>
      <c r="B39" s="9">
        <v>6.2500000000000003E-3</v>
      </c>
      <c r="C39" s="10">
        <v>181</v>
      </c>
    </row>
    <row r="40" spans="1:3">
      <c r="A40" s="68">
        <v>36929.879861111112</v>
      </c>
      <c r="B40" s="9">
        <v>6.9444444444444441E-3</v>
      </c>
      <c r="C40" s="10">
        <v>183</v>
      </c>
    </row>
    <row r="41" spans="1:3">
      <c r="A41" s="68">
        <v>36929.879861111112</v>
      </c>
      <c r="B41" s="9">
        <v>7.6388888888888886E-3</v>
      </c>
      <c r="C41" s="10">
        <v>178</v>
      </c>
    </row>
    <row r="42" spans="1:3">
      <c r="A42" s="68">
        <v>36929.879861111112</v>
      </c>
      <c r="B42" s="9">
        <v>8.3333333333333332E-3</v>
      </c>
      <c r="C42" s="10">
        <v>185</v>
      </c>
    </row>
    <row r="43" spans="1:3">
      <c r="A43" s="68">
        <v>36929.879861111112</v>
      </c>
      <c r="B43" s="9">
        <v>9.0277777777777769E-3</v>
      </c>
      <c r="C43" s="10">
        <v>184</v>
      </c>
    </row>
    <row r="44" spans="1:3">
      <c r="A44" s="68">
        <v>36929.879861111112</v>
      </c>
      <c r="B44" s="9">
        <v>9.7222222222222224E-3</v>
      </c>
      <c r="C44" s="10">
        <v>186</v>
      </c>
    </row>
    <row r="45" spans="1:3">
      <c r="A45" s="68">
        <v>36929.879861111112</v>
      </c>
      <c r="B45" s="9">
        <v>1.0416666666666666E-2</v>
      </c>
      <c r="C45" s="10">
        <v>186</v>
      </c>
    </row>
    <row r="46" spans="1:3">
      <c r="A46" s="68">
        <v>36929.879861111112</v>
      </c>
      <c r="B46" s="9">
        <v>1.1111111111111112E-2</v>
      </c>
      <c r="C46" s="10">
        <v>184</v>
      </c>
    </row>
    <row r="47" spans="1:3">
      <c r="A47" s="68">
        <v>36929.879861111112</v>
      </c>
      <c r="B47" s="9">
        <v>1.1805555555555555E-2</v>
      </c>
      <c r="C47" s="10">
        <v>186</v>
      </c>
    </row>
    <row r="48" spans="1:3">
      <c r="A48" s="68">
        <v>36929.879861111112</v>
      </c>
      <c r="B48" s="9">
        <v>1.2500000000000001E-2</v>
      </c>
      <c r="C48" s="10">
        <v>188</v>
      </c>
    </row>
    <row r="49" spans="1:3">
      <c r="A49" s="68">
        <v>36929.879861111112</v>
      </c>
      <c r="B49" s="9">
        <v>1.3194444444444444E-2</v>
      </c>
      <c r="C49" s="10">
        <v>188</v>
      </c>
    </row>
    <row r="50" spans="1:3">
      <c r="A50" s="68">
        <v>36929.879861111112</v>
      </c>
      <c r="B50" s="9">
        <v>1.3888888888888888E-2</v>
      </c>
      <c r="C50" s="10">
        <v>189</v>
      </c>
    </row>
    <row r="51" spans="1:3">
      <c r="A51" s="68">
        <v>36929.879861111112</v>
      </c>
      <c r="B51" s="9">
        <v>1.4583333333333334E-2</v>
      </c>
      <c r="C51" s="10">
        <v>189</v>
      </c>
    </row>
    <row r="52" spans="1:3">
      <c r="A52" s="68">
        <v>36929.879861111112</v>
      </c>
      <c r="B52" s="9">
        <v>1.5277777777777777E-2</v>
      </c>
      <c r="C52" s="10">
        <v>191</v>
      </c>
    </row>
    <row r="53" spans="1:3">
      <c r="A53" s="68">
        <v>36929.879861111112</v>
      </c>
      <c r="B53" s="9">
        <v>1.5972222222222221E-2</v>
      </c>
      <c r="C53" s="10">
        <v>193</v>
      </c>
    </row>
    <row r="54" spans="1:3">
      <c r="A54" s="68">
        <v>36929.879861111112</v>
      </c>
      <c r="B54" s="9">
        <v>1.6666666666666666E-2</v>
      </c>
      <c r="C54" s="10">
        <v>193</v>
      </c>
    </row>
    <row r="55" spans="1:3">
      <c r="A55" s="68">
        <v>36929.879861111112</v>
      </c>
      <c r="B55" s="9">
        <v>1.7361111111111112E-2</v>
      </c>
      <c r="C55" s="10">
        <v>194</v>
      </c>
    </row>
    <row r="56" spans="1:3">
      <c r="A56" s="68">
        <v>36929.879861111112</v>
      </c>
      <c r="B56" s="9">
        <v>1.8055555555555554E-2</v>
      </c>
      <c r="C56" s="10">
        <v>195</v>
      </c>
    </row>
    <row r="57" spans="1:3">
      <c r="A57" s="68">
        <v>36937.474432870367</v>
      </c>
      <c r="B57" s="9">
        <v>0</v>
      </c>
      <c r="C57" s="10">
        <v>102</v>
      </c>
    </row>
    <row r="58" spans="1:3">
      <c r="A58" s="68">
        <v>36937.474432870367</v>
      </c>
      <c r="B58" s="9">
        <v>6.9444444444444447E-4</v>
      </c>
      <c r="C58" s="10">
        <v>151</v>
      </c>
    </row>
    <row r="59" spans="1:3">
      <c r="A59" s="68">
        <v>36937.474432870367</v>
      </c>
      <c r="B59" s="9">
        <v>1.3888888888888889E-3</v>
      </c>
      <c r="C59" s="10">
        <v>160</v>
      </c>
    </row>
    <row r="60" spans="1:3">
      <c r="A60" s="68">
        <v>36937.474432870367</v>
      </c>
      <c r="B60" s="9">
        <v>2.0833333333333333E-3</v>
      </c>
      <c r="C60" s="10">
        <v>163</v>
      </c>
    </row>
    <row r="61" spans="1:3">
      <c r="A61" s="68">
        <v>36937.474432870367</v>
      </c>
      <c r="B61" s="9">
        <v>2.7777777777777779E-3</v>
      </c>
      <c r="C61" s="10">
        <v>164</v>
      </c>
    </row>
    <row r="62" spans="1:3">
      <c r="A62" s="68">
        <v>36937.474432870367</v>
      </c>
      <c r="B62" s="9">
        <v>3.472222222222222E-3</v>
      </c>
      <c r="C62" s="10">
        <v>168</v>
      </c>
    </row>
    <row r="63" spans="1:3">
      <c r="A63" s="68">
        <v>36937.474432870367</v>
      </c>
      <c r="B63" s="9">
        <v>4.1666666666666666E-3</v>
      </c>
      <c r="C63" s="10">
        <v>172</v>
      </c>
    </row>
    <row r="64" spans="1:3">
      <c r="A64" s="68">
        <v>36937.474432870367</v>
      </c>
      <c r="B64" s="9">
        <v>4.8611111111111112E-3</v>
      </c>
      <c r="C64" s="10">
        <v>174</v>
      </c>
    </row>
    <row r="65" spans="1:3">
      <c r="A65" s="68">
        <v>36937.474432870367</v>
      </c>
      <c r="B65" s="9">
        <v>5.5555555555555558E-3</v>
      </c>
      <c r="C65" s="10">
        <v>176</v>
      </c>
    </row>
    <row r="66" spans="1:3">
      <c r="A66" s="68">
        <v>36937.474432870367</v>
      </c>
      <c r="B66" s="9">
        <v>6.2500000000000003E-3</v>
      </c>
      <c r="C66" s="10">
        <v>177</v>
      </c>
    </row>
    <row r="67" spans="1:3">
      <c r="A67" s="68">
        <v>36937.474432870367</v>
      </c>
      <c r="B67" s="9">
        <v>6.9444444444444441E-3</v>
      </c>
      <c r="C67" s="10">
        <v>179</v>
      </c>
    </row>
    <row r="68" spans="1:3">
      <c r="A68" s="68">
        <v>36937.474432870367</v>
      </c>
      <c r="B68" s="9">
        <v>7.6388888888888886E-3</v>
      </c>
      <c r="C68" s="10">
        <v>181</v>
      </c>
    </row>
    <row r="69" spans="1:3">
      <c r="A69" s="68">
        <v>36937.474432870367</v>
      </c>
      <c r="B69" s="9">
        <v>8.3333333333333332E-3</v>
      </c>
      <c r="C69" s="10">
        <v>182</v>
      </c>
    </row>
    <row r="70" spans="1:3">
      <c r="A70" s="68">
        <v>36937.474432870367</v>
      </c>
      <c r="B70" s="9">
        <v>9.0277777777777769E-3</v>
      </c>
      <c r="C70" s="10">
        <v>180</v>
      </c>
    </row>
    <row r="71" spans="1:3">
      <c r="A71" s="68">
        <v>36937.474432870367</v>
      </c>
      <c r="B71" s="9">
        <v>9.7222222222222224E-3</v>
      </c>
      <c r="C71" s="10">
        <v>183</v>
      </c>
    </row>
    <row r="72" spans="1:3">
      <c r="A72" s="68">
        <v>36937.474432870367</v>
      </c>
      <c r="B72" s="9">
        <v>1.0416666666666666E-2</v>
      </c>
      <c r="C72" s="10">
        <v>185</v>
      </c>
    </row>
    <row r="73" spans="1:3">
      <c r="A73" s="68">
        <v>36937.474432870367</v>
      </c>
      <c r="B73" s="9">
        <v>1.1111111111111112E-2</v>
      </c>
      <c r="C73" s="10">
        <v>185</v>
      </c>
    </row>
    <row r="74" spans="1:3">
      <c r="A74" s="68">
        <v>36937.474432870367</v>
      </c>
      <c r="B74" s="9">
        <v>1.1805555555555555E-2</v>
      </c>
      <c r="C74" s="10">
        <v>185</v>
      </c>
    </row>
    <row r="75" spans="1:3">
      <c r="A75" s="68">
        <v>36937.474432870367</v>
      </c>
      <c r="B75" s="9">
        <v>1.2500000000000001E-2</v>
      </c>
      <c r="C75" s="10">
        <v>185</v>
      </c>
    </row>
    <row r="76" spans="1:3">
      <c r="A76" s="68">
        <v>36937.474432870367</v>
      </c>
      <c r="B76" s="9">
        <v>1.3194444444444444E-2</v>
      </c>
      <c r="C76" s="10">
        <v>187</v>
      </c>
    </row>
    <row r="77" spans="1:3">
      <c r="A77" s="68">
        <v>36937.474432870367</v>
      </c>
      <c r="B77" s="9">
        <v>1.3888888888888888E-2</v>
      </c>
      <c r="C77" s="10">
        <v>189</v>
      </c>
    </row>
    <row r="78" spans="1:3">
      <c r="A78" s="68">
        <v>36937.474432870367</v>
      </c>
      <c r="B78" s="9">
        <v>1.4583333333333334E-2</v>
      </c>
      <c r="C78" s="10">
        <v>188</v>
      </c>
    </row>
    <row r="79" spans="1:3">
      <c r="A79" s="68">
        <v>36937.474432870367</v>
      </c>
      <c r="B79" s="9">
        <v>1.5277777777777777E-2</v>
      </c>
      <c r="C79" s="10">
        <v>191</v>
      </c>
    </row>
    <row r="80" spans="1:3">
      <c r="A80" s="68">
        <v>36937.474432870367</v>
      </c>
      <c r="B80" s="9">
        <v>1.5972222222222221E-2</v>
      </c>
      <c r="C80" s="10">
        <v>192</v>
      </c>
    </row>
    <row r="81" spans="1:3">
      <c r="A81" s="68">
        <v>36937.474432870367</v>
      </c>
      <c r="B81" s="9">
        <v>1.6666666666666666E-2</v>
      </c>
      <c r="C81" s="10">
        <v>191</v>
      </c>
    </row>
    <row r="82" spans="1:3">
      <c r="A82" s="68">
        <v>36937.474432870367</v>
      </c>
      <c r="B82" s="9">
        <v>1.7361111111111112E-2</v>
      </c>
      <c r="C82" s="10">
        <v>193</v>
      </c>
    </row>
    <row r="83" spans="1:3">
      <c r="A83" s="68">
        <v>36937.474432870367</v>
      </c>
      <c r="B83" s="9">
        <v>1.8055555555555554E-2</v>
      </c>
      <c r="C83" s="10">
        <v>194</v>
      </c>
    </row>
    <row r="84" spans="1:3">
      <c r="A84" s="68">
        <v>36939.443425925929</v>
      </c>
      <c r="B84" s="9">
        <v>0</v>
      </c>
      <c r="C84" s="10">
        <v>133</v>
      </c>
    </row>
    <row r="85" spans="1:3">
      <c r="A85" s="68">
        <v>36939.443425925929</v>
      </c>
      <c r="B85" s="9">
        <v>6.9444444444444447E-4</v>
      </c>
      <c r="C85" s="10">
        <v>156</v>
      </c>
    </row>
    <row r="86" spans="1:3">
      <c r="A86" s="68">
        <v>36939.443425925929</v>
      </c>
      <c r="B86" s="9">
        <v>1.3888888888888889E-3</v>
      </c>
      <c r="C86" s="10">
        <v>161</v>
      </c>
    </row>
    <row r="87" spans="1:3">
      <c r="A87" s="68">
        <v>36939.443425925929</v>
      </c>
      <c r="B87" s="9">
        <v>2.0833333333333333E-3</v>
      </c>
      <c r="C87" s="10">
        <v>164</v>
      </c>
    </row>
    <row r="88" spans="1:3">
      <c r="A88" s="68">
        <v>36939.443425925929</v>
      </c>
      <c r="B88" s="9">
        <v>2.7777777777777779E-3</v>
      </c>
      <c r="C88" s="10">
        <v>164</v>
      </c>
    </row>
    <row r="89" spans="1:3">
      <c r="A89" s="68">
        <v>36939.443425925929</v>
      </c>
      <c r="B89" s="9">
        <v>3.472222222222222E-3</v>
      </c>
      <c r="C89" s="10">
        <v>165</v>
      </c>
    </row>
    <row r="90" spans="1:3">
      <c r="A90" s="68">
        <v>36939.443425925929</v>
      </c>
      <c r="B90" s="9">
        <v>4.1666666666666666E-3</v>
      </c>
      <c r="C90" s="10">
        <v>160</v>
      </c>
    </row>
    <row r="91" spans="1:3">
      <c r="A91" s="68">
        <v>36939.443425925929</v>
      </c>
      <c r="B91" s="9">
        <v>4.8611111111111112E-3</v>
      </c>
      <c r="C91" s="10">
        <v>164</v>
      </c>
    </row>
    <row r="92" spans="1:3">
      <c r="A92" s="68">
        <v>36939.443425925929</v>
      </c>
      <c r="B92" s="9">
        <v>5.5555555555555558E-3</v>
      </c>
      <c r="C92" s="10">
        <v>164</v>
      </c>
    </row>
    <row r="93" spans="1:3">
      <c r="A93" s="68">
        <v>36939.443425925929</v>
      </c>
      <c r="B93" s="9">
        <v>6.2500000000000003E-3</v>
      </c>
      <c r="C93" s="10">
        <v>170</v>
      </c>
    </row>
    <row r="94" spans="1:3">
      <c r="A94" s="68">
        <v>36939.443425925929</v>
      </c>
      <c r="B94" s="9">
        <v>6.9444444444444441E-3</v>
      </c>
      <c r="C94" s="10">
        <v>169</v>
      </c>
    </row>
    <row r="95" spans="1:3">
      <c r="A95" s="68">
        <v>36939.443425925929</v>
      </c>
      <c r="B95" s="9">
        <v>7.6388888888888886E-3</v>
      </c>
      <c r="C95" s="10">
        <v>170</v>
      </c>
    </row>
    <row r="96" spans="1:3">
      <c r="A96" s="68">
        <v>36939.443425925929</v>
      </c>
      <c r="B96" s="9">
        <v>8.3333333333333332E-3</v>
      </c>
      <c r="C96" s="10">
        <v>170</v>
      </c>
    </row>
    <row r="97" spans="1:3">
      <c r="A97" s="68">
        <v>36939.443425925929</v>
      </c>
      <c r="B97" s="9">
        <v>9.0277777777777769E-3</v>
      </c>
      <c r="C97" s="10">
        <v>170</v>
      </c>
    </row>
    <row r="98" spans="1:3">
      <c r="A98" s="68">
        <v>36939.443425925929</v>
      </c>
      <c r="B98" s="9">
        <v>9.7222222222222224E-3</v>
      </c>
      <c r="C98" s="10">
        <v>167</v>
      </c>
    </row>
    <row r="99" spans="1:3">
      <c r="A99" s="68">
        <v>36939.443425925929</v>
      </c>
      <c r="B99" s="9">
        <v>1.0416666666666666E-2</v>
      </c>
      <c r="C99" s="10">
        <v>170</v>
      </c>
    </row>
    <row r="100" spans="1:3">
      <c r="A100" s="68">
        <v>36939.443425925929</v>
      </c>
      <c r="B100" s="9">
        <v>1.1111111111111112E-2</v>
      </c>
      <c r="C100" s="10">
        <v>169</v>
      </c>
    </row>
    <row r="101" spans="1:3">
      <c r="A101" s="68">
        <v>36939.443425925929</v>
      </c>
      <c r="B101" s="9">
        <v>1.1805555555555555E-2</v>
      </c>
      <c r="C101" s="10">
        <v>169</v>
      </c>
    </row>
    <row r="102" spans="1:3">
      <c r="A102" s="68">
        <v>36939.443425925929</v>
      </c>
      <c r="B102" s="9">
        <v>1.2500000000000001E-2</v>
      </c>
      <c r="C102" s="10">
        <v>171</v>
      </c>
    </row>
    <row r="103" spans="1:3">
      <c r="A103" s="68">
        <v>36939.443425925929</v>
      </c>
      <c r="B103" s="9">
        <v>1.3194444444444444E-2</v>
      </c>
      <c r="C103" s="10">
        <v>172</v>
      </c>
    </row>
    <row r="104" spans="1:3">
      <c r="A104" s="68">
        <v>36939.443425925929</v>
      </c>
      <c r="B104" s="9">
        <v>1.3888888888888888E-2</v>
      </c>
      <c r="C104" s="10">
        <v>174</v>
      </c>
    </row>
    <row r="105" spans="1:3">
      <c r="A105" s="68">
        <v>36939.443425925929</v>
      </c>
      <c r="B105" s="9">
        <v>1.4583333333333334E-2</v>
      </c>
      <c r="C105" s="10">
        <v>174</v>
      </c>
    </row>
    <row r="106" spans="1:3">
      <c r="A106" s="68">
        <v>36939.443425925929</v>
      </c>
      <c r="B106" s="9">
        <v>1.5277777777777777E-2</v>
      </c>
      <c r="C106" s="10">
        <v>176</v>
      </c>
    </row>
    <row r="107" spans="1:3">
      <c r="A107" s="68">
        <v>36939.443425925929</v>
      </c>
      <c r="B107" s="9">
        <v>1.5972222222222221E-2</v>
      </c>
      <c r="C107" s="10">
        <v>176</v>
      </c>
    </row>
    <row r="108" spans="1:3">
      <c r="A108" s="68">
        <v>36939.443425925929</v>
      </c>
      <c r="B108" s="9">
        <v>1.6666666666666666E-2</v>
      </c>
      <c r="C108" s="10">
        <v>178</v>
      </c>
    </row>
    <row r="109" spans="1:3">
      <c r="A109" s="68">
        <v>36939.443425925929</v>
      </c>
      <c r="B109" s="9">
        <v>1.7361111111111112E-2</v>
      </c>
      <c r="C109" s="10">
        <v>177</v>
      </c>
    </row>
    <row r="110" spans="1:3">
      <c r="A110" s="68">
        <v>36939.443425925929</v>
      </c>
      <c r="B110" s="9">
        <v>1.8055555555555554E-2</v>
      </c>
      <c r="C110" s="10">
        <v>181</v>
      </c>
    </row>
    <row r="111" spans="1:3">
      <c r="A111" s="68">
        <v>36939.443425925929</v>
      </c>
      <c r="B111" s="9">
        <v>1.8749999999999999E-2</v>
      </c>
      <c r="C111" s="10">
        <v>180</v>
      </c>
    </row>
    <row r="112" spans="1:3">
      <c r="A112" s="68">
        <v>36939.443425925929</v>
      </c>
      <c r="B112" s="9">
        <v>1.9444444444444445E-2</v>
      </c>
      <c r="C112" s="10">
        <v>181</v>
      </c>
    </row>
    <row r="113" spans="1:3">
      <c r="A113" s="68">
        <v>36939.443425925929</v>
      </c>
      <c r="B113" s="9">
        <v>2.013888888888889E-2</v>
      </c>
      <c r="C113" s="10">
        <v>183</v>
      </c>
    </row>
    <row r="114" spans="1:3">
      <c r="A114" s="68">
        <v>36939.443425925929</v>
      </c>
      <c r="B114" s="9">
        <v>2.0833333333333332E-2</v>
      </c>
      <c r="C114" s="10">
        <v>180</v>
      </c>
    </row>
    <row r="115" spans="1:3">
      <c r="A115" s="68">
        <v>36939.443425925929</v>
      </c>
      <c r="B115" s="9">
        <v>2.1527777777777778E-2</v>
      </c>
      <c r="C115" s="10">
        <v>181</v>
      </c>
    </row>
    <row r="116" spans="1:3">
      <c r="A116" s="68">
        <v>36939.443425925929</v>
      </c>
      <c r="B116" s="9">
        <v>2.2222222222222223E-2</v>
      </c>
      <c r="C116" s="10">
        <v>181</v>
      </c>
    </row>
    <row r="117" spans="1:3">
      <c r="A117" s="68">
        <v>36939.443425925929</v>
      </c>
      <c r="B117" s="9">
        <v>2.2916666666666665E-2</v>
      </c>
      <c r="C117" s="10">
        <v>178</v>
      </c>
    </row>
    <row r="118" spans="1:3">
      <c r="A118" s="68">
        <v>36939.443425925929</v>
      </c>
      <c r="B118" s="9">
        <v>2.361111111111111E-2</v>
      </c>
      <c r="C118" s="10">
        <v>180</v>
      </c>
    </row>
    <row r="119" spans="1:3">
      <c r="A119" s="68">
        <v>36939.443425925929</v>
      </c>
      <c r="B119" s="9">
        <v>2.4305555555555556E-2</v>
      </c>
      <c r="C119" s="10">
        <v>180</v>
      </c>
    </row>
    <row r="120" spans="1:3">
      <c r="A120" s="68">
        <v>36939.443425925929</v>
      </c>
      <c r="B120" s="9">
        <v>2.5000000000000001E-2</v>
      </c>
      <c r="C120" s="10">
        <v>182</v>
      </c>
    </row>
    <row r="121" spans="1:3">
      <c r="A121" s="68">
        <v>36939.443425925929</v>
      </c>
      <c r="B121" s="9">
        <v>2.5694444444444443E-2</v>
      </c>
      <c r="C121" s="10">
        <v>184</v>
      </c>
    </row>
    <row r="122" spans="1:3">
      <c r="A122" s="68">
        <v>36939.443425925929</v>
      </c>
      <c r="B122" s="9">
        <v>2.6388888888888889E-2</v>
      </c>
      <c r="C122" s="10">
        <v>185</v>
      </c>
    </row>
    <row r="123" spans="1:3">
      <c r="A123" s="68">
        <v>36939.443425925929</v>
      </c>
      <c r="B123" s="9">
        <v>2.7083333333333334E-2</v>
      </c>
      <c r="C123" s="10">
        <v>184</v>
      </c>
    </row>
    <row r="124" spans="1:3">
      <c r="A124" s="68">
        <v>36939.443425925929</v>
      </c>
      <c r="B124" s="9">
        <v>2.7777777777777776E-2</v>
      </c>
      <c r="C124" s="10">
        <v>184</v>
      </c>
    </row>
    <row r="125" spans="1:3">
      <c r="A125" s="68">
        <v>36939.443425925929</v>
      </c>
      <c r="B125" s="9">
        <v>2.8472222222222222E-2</v>
      </c>
      <c r="C125" s="10">
        <v>183</v>
      </c>
    </row>
    <row r="126" spans="1:3">
      <c r="A126" s="68">
        <v>36939.443425925929</v>
      </c>
      <c r="B126" s="9">
        <v>2.9166666666666667E-2</v>
      </c>
      <c r="C126" s="10">
        <v>182</v>
      </c>
    </row>
    <row r="127" spans="1:3">
      <c r="A127" s="68">
        <v>36939.443425925929</v>
      </c>
      <c r="B127" s="9">
        <v>2.9861111111111113E-2</v>
      </c>
      <c r="C127" s="10">
        <v>183</v>
      </c>
    </row>
    <row r="128" spans="1:3">
      <c r="A128" s="68">
        <v>36939.443425925929</v>
      </c>
      <c r="B128" s="9">
        <v>3.0555555555555555E-2</v>
      </c>
      <c r="C128" s="10">
        <v>183</v>
      </c>
    </row>
    <row r="129" spans="1:3">
      <c r="A129" s="68">
        <v>36939.443425925929</v>
      </c>
      <c r="B129" s="9">
        <v>3.125E-2</v>
      </c>
      <c r="C129" s="10">
        <v>184</v>
      </c>
    </row>
    <row r="130" spans="1:3">
      <c r="A130" s="68">
        <v>36939.443425925929</v>
      </c>
      <c r="B130" s="9">
        <v>3.1944444444444442E-2</v>
      </c>
      <c r="C130" s="10">
        <v>185</v>
      </c>
    </row>
    <row r="131" spans="1:3">
      <c r="A131" s="68">
        <v>36939.443425925929</v>
      </c>
      <c r="B131" s="9">
        <v>3.2638888888888891E-2</v>
      </c>
      <c r="C131" s="10">
        <v>186</v>
      </c>
    </row>
    <row r="132" spans="1:3">
      <c r="A132" s="68">
        <v>36939.443425925929</v>
      </c>
      <c r="B132" s="9">
        <v>3.3333333333333333E-2</v>
      </c>
      <c r="C132" s="10">
        <v>185</v>
      </c>
    </row>
    <row r="133" spans="1:3">
      <c r="A133" s="68">
        <v>36939.443425925929</v>
      </c>
      <c r="B133" s="9">
        <v>3.4027777777777775E-2</v>
      </c>
      <c r="C133" s="10">
        <v>185</v>
      </c>
    </row>
    <row r="134" spans="1:3">
      <c r="A134" s="68">
        <v>36940.710219907407</v>
      </c>
      <c r="B134" s="9">
        <v>0</v>
      </c>
      <c r="C134" s="10">
        <v>130</v>
      </c>
    </row>
    <row r="135" spans="1:3">
      <c r="A135" s="68">
        <v>36940.710219907407</v>
      </c>
      <c r="B135" s="9">
        <v>6.9444444444444447E-4</v>
      </c>
      <c r="C135" s="10">
        <v>158</v>
      </c>
    </row>
    <row r="136" spans="1:3">
      <c r="A136" s="68">
        <v>36940.710219907407</v>
      </c>
      <c r="B136" s="9">
        <v>1.3888888888888889E-3</v>
      </c>
      <c r="C136" s="10">
        <v>163</v>
      </c>
    </row>
    <row r="137" spans="1:3">
      <c r="A137" s="68">
        <v>36940.710219907407</v>
      </c>
      <c r="B137" s="9">
        <v>2.0833333333333333E-3</v>
      </c>
      <c r="C137" s="10">
        <v>169</v>
      </c>
    </row>
    <row r="138" spans="1:3">
      <c r="A138" s="68">
        <v>36940.710219907407</v>
      </c>
      <c r="B138" s="9">
        <v>2.7777777777777779E-3</v>
      </c>
      <c r="C138" s="10">
        <v>173</v>
      </c>
    </row>
    <row r="139" spans="1:3">
      <c r="A139" s="68">
        <v>36940.710219907407</v>
      </c>
      <c r="B139" s="9">
        <v>3.472222222222222E-3</v>
      </c>
      <c r="C139" s="10">
        <v>177</v>
      </c>
    </row>
    <row r="140" spans="1:3">
      <c r="A140" s="68">
        <v>36940.710219907407</v>
      </c>
      <c r="B140" s="9">
        <v>4.1666666666666666E-3</v>
      </c>
      <c r="C140" s="10">
        <v>177</v>
      </c>
    </row>
    <row r="141" spans="1:3">
      <c r="A141" s="68">
        <v>36940.710219907407</v>
      </c>
      <c r="B141" s="9">
        <v>4.8611111111111112E-3</v>
      </c>
      <c r="C141" s="10">
        <v>177</v>
      </c>
    </row>
    <row r="142" spans="1:3">
      <c r="A142" s="68">
        <v>36940.710219907407</v>
      </c>
      <c r="B142" s="9">
        <v>5.5555555555555558E-3</v>
      </c>
      <c r="C142" s="10">
        <v>171</v>
      </c>
    </row>
    <row r="143" spans="1:3">
      <c r="A143" s="68">
        <v>36940.710219907407</v>
      </c>
      <c r="B143" s="9">
        <v>6.2500000000000003E-3</v>
      </c>
      <c r="C143" s="10">
        <v>173</v>
      </c>
    </row>
    <row r="144" spans="1:3">
      <c r="A144" s="68">
        <v>36940.710219907407</v>
      </c>
      <c r="B144" s="9">
        <v>6.9444444444444441E-3</v>
      </c>
      <c r="C144" s="10">
        <v>174</v>
      </c>
    </row>
    <row r="145" spans="1:3">
      <c r="A145" s="68">
        <v>36940.710219907407</v>
      </c>
      <c r="B145" s="9">
        <v>7.6388888888888886E-3</v>
      </c>
      <c r="C145" s="10">
        <v>176</v>
      </c>
    </row>
    <row r="146" spans="1:3">
      <c r="A146" s="68">
        <v>36940.710219907407</v>
      </c>
      <c r="B146" s="9">
        <v>8.3333333333333332E-3</v>
      </c>
      <c r="C146" s="10">
        <v>170</v>
      </c>
    </row>
    <row r="147" spans="1:3">
      <c r="A147" s="68">
        <v>36940.710219907407</v>
      </c>
      <c r="B147" s="9">
        <v>9.0277777777777769E-3</v>
      </c>
      <c r="C147" s="10">
        <v>174</v>
      </c>
    </row>
    <row r="148" spans="1:3">
      <c r="A148" s="68">
        <v>36940.710219907407</v>
      </c>
      <c r="B148" s="9">
        <v>9.7222222222222224E-3</v>
      </c>
      <c r="C148" s="10">
        <v>175</v>
      </c>
    </row>
    <row r="149" spans="1:3">
      <c r="A149" s="68">
        <v>36940.710219907407</v>
      </c>
      <c r="B149" s="9">
        <v>1.0416666666666666E-2</v>
      </c>
      <c r="C149" s="10">
        <v>177</v>
      </c>
    </row>
    <row r="150" spans="1:3">
      <c r="A150" s="68">
        <v>36940.710219907407</v>
      </c>
      <c r="B150" s="9">
        <v>1.1111111111111112E-2</v>
      </c>
      <c r="C150" s="10">
        <v>175</v>
      </c>
    </row>
    <row r="151" spans="1:3">
      <c r="A151" s="68">
        <v>36940.710219907407</v>
      </c>
      <c r="B151" s="9">
        <v>1.1805555555555555E-2</v>
      </c>
      <c r="C151" s="10">
        <v>174</v>
      </c>
    </row>
    <row r="152" spans="1:3">
      <c r="A152" s="68">
        <v>36940.710219907407</v>
      </c>
      <c r="B152" s="9">
        <v>1.2500000000000001E-2</v>
      </c>
      <c r="C152" s="10">
        <v>176</v>
      </c>
    </row>
    <row r="153" spans="1:3">
      <c r="A153" s="68">
        <v>36940.710219907407</v>
      </c>
      <c r="B153" s="9">
        <v>1.3194444444444444E-2</v>
      </c>
      <c r="C153" s="10">
        <v>172</v>
      </c>
    </row>
    <row r="154" spans="1:3">
      <c r="A154" s="68">
        <v>36940.710219907407</v>
      </c>
      <c r="B154" s="9">
        <v>1.3888888888888888E-2</v>
      </c>
      <c r="C154" s="10">
        <v>175</v>
      </c>
    </row>
    <row r="155" spans="1:3">
      <c r="A155" s="68">
        <v>36940.710219907407</v>
      </c>
      <c r="B155" s="9">
        <v>1.4583333333333334E-2</v>
      </c>
      <c r="C155" s="10">
        <v>175</v>
      </c>
    </row>
    <row r="156" spans="1:3">
      <c r="A156" s="68">
        <v>36940.710219907407</v>
      </c>
      <c r="B156" s="9">
        <v>1.5277777777777777E-2</v>
      </c>
      <c r="C156" s="10">
        <v>176</v>
      </c>
    </row>
    <row r="157" spans="1:3">
      <c r="A157" s="68">
        <v>36940.710219907407</v>
      </c>
      <c r="B157" s="9">
        <v>1.5972222222222221E-2</v>
      </c>
      <c r="C157" s="10">
        <v>177</v>
      </c>
    </row>
    <row r="158" spans="1:3">
      <c r="A158" s="68">
        <v>36940.710219907407</v>
      </c>
      <c r="B158" s="9">
        <v>1.6666666666666666E-2</v>
      </c>
      <c r="C158" s="10">
        <v>173</v>
      </c>
    </row>
    <row r="159" spans="1:3">
      <c r="A159" s="68">
        <v>36940.710219907407</v>
      </c>
      <c r="B159" s="9">
        <v>1.7361111111111112E-2</v>
      </c>
      <c r="C159" s="10">
        <v>175</v>
      </c>
    </row>
    <row r="160" spans="1:3">
      <c r="A160" s="68">
        <v>36940.710219907407</v>
      </c>
      <c r="B160" s="9">
        <v>1.8055555555555554E-2</v>
      </c>
      <c r="C160" s="10">
        <v>174</v>
      </c>
    </row>
    <row r="161" spans="1:3">
      <c r="A161" s="68">
        <v>36940.710219907407</v>
      </c>
      <c r="B161" s="9">
        <v>1.8749999999999999E-2</v>
      </c>
      <c r="C161" s="10">
        <v>172</v>
      </c>
    </row>
    <row r="162" spans="1:3">
      <c r="A162" s="68">
        <v>36940.710219907407</v>
      </c>
      <c r="B162" s="9">
        <v>1.9444444444444445E-2</v>
      </c>
      <c r="C162" s="10">
        <v>171</v>
      </c>
    </row>
    <row r="163" spans="1:3">
      <c r="A163" s="68">
        <v>36940.710219907407</v>
      </c>
      <c r="B163" s="9">
        <v>2.013888888888889E-2</v>
      </c>
      <c r="C163" s="10">
        <v>176</v>
      </c>
    </row>
    <row r="164" spans="1:3">
      <c r="A164" s="68">
        <v>36940.710219907407</v>
      </c>
      <c r="B164" s="9">
        <v>2.0833333333333332E-2</v>
      </c>
      <c r="C164" s="10">
        <v>175</v>
      </c>
    </row>
    <row r="165" spans="1:3">
      <c r="A165" s="68">
        <v>36940.710219907407</v>
      </c>
      <c r="B165" s="9">
        <v>2.1527777777777778E-2</v>
      </c>
      <c r="C165" s="10">
        <v>174</v>
      </c>
    </row>
    <row r="166" spans="1:3">
      <c r="A166" s="68">
        <v>36940.710219907407</v>
      </c>
      <c r="B166" s="9">
        <v>2.2222222222222223E-2</v>
      </c>
      <c r="C166" s="10">
        <v>173</v>
      </c>
    </row>
    <row r="167" spans="1:3">
      <c r="A167" s="68">
        <v>36940.710219907407</v>
      </c>
      <c r="B167" s="9">
        <v>2.2916666666666665E-2</v>
      </c>
      <c r="C167" s="10">
        <v>172</v>
      </c>
    </row>
    <row r="168" spans="1:3">
      <c r="A168" s="68">
        <v>36940.710219907407</v>
      </c>
      <c r="B168" s="9">
        <v>2.361111111111111E-2</v>
      </c>
      <c r="C168" s="10">
        <v>175</v>
      </c>
    </row>
    <row r="169" spans="1:3">
      <c r="A169" s="68">
        <v>36940.710219907407</v>
      </c>
      <c r="B169" s="9">
        <v>2.4305555555555556E-2</v>
      </c>
      <c r="C169" s="10">
        <v>170</v>
      </c>
    </row>
    <row r="170" spans="1:3">
      <c r="A170" s="68">
        <v>36940.710219907407</v>
      </c>
      <c r="B170" s="9">
        <v>2.5000000000000001E-2</v>
      </c>
      <c r="C170" s="10">
        <v>173</v>
      </c>
    </row>
    <row r="171" spans="1:3">
      <c r="A171" s="68">
        <v>36940.710219907407</v>
      </c>
      <c r="B171" s="9">
        <v>2.5694444444444443E-2</v>
      </c>
      <c r="C171" s="10">
        <v>173</v>
      </c>
    </row>
    <row r="172" spans="1:3">
      <c r="A172" s="68">
        <v>36940.710219907407</v>
      </c>
      <c r="B172" s="9">
        <v>2.6388888888888889E-2</v>
      </c>
      <c r="C172" s="10">
        <v>175</v>
      </c>
    </row>
    <row r="173" spans="1:3">
      <c r="A173" s="68">
        <v>36940.710219907407</v>
      </c>
      <c r="B173" s="9">
        <v>2.7083333333333334E-2</v>
      </c>
      <c r="C173" s="10">
        <v>174</v>
      </c>
    </row>
    <row r="174" spans="1:3">
      <c r="A174" s="68">
        <v>36940.710219907407</v>
      </c>
      <c r="B174" s="9">
        <v>2.7777777777777776E-2</v>
      </c>
      <c r="C174" s="10">
        <v>174</v>
      </c>
    </row>
    <row r="175" spans="1:3">
      <c r="A175" s="68">
        <v>36940.710219907407</v>
      </c>
      <c r="B175" s="9">
        <v>2.8472222222222222E-2</v>
      </c>
      <c r="C175" s="10">
        <v>173</v>
      </c>
    </row>
    <row r="176" spans="1:3">
      <c r="A176" s="68">
        <v>36940.710219907407</v>
      </c>
      <c r="B176" s="9">
        <v>2.9166666666666667E-2</v>
      </c>
      <c r="C176" s="10">
        <v>175</v>
      </c>
    </row>
    <row r="177" spans="1:3">
      <c r="A177" s="68">
        <v>36940.710219907407</v>
      </c>
      <c r="B177" s="9">
        <v>2.9861111111111113E-2</v>
      </c>
      <c r="C177" s="10">
        <v>172</v>
      </c>
    </row>
    <row r="178" spans="1:3">
      <c r="A178" s="68">
        <v>36940.710219907407</v>
      </c>
      <c r="B178" s="9">
        <v>3.0555555555555555E-2</v>
      </c>
      <c r="C178" s="10">
        <v>175</v>
      </c>
    </row>
    <row r="179" spans="1:3">
      <c r="A179" s="68">
        <v>36940.710219907407</v>
      </c>
      <c r="B179" s="9">
        <v>3.125E-2</v>
      </c>
      <c r="C179" s="10">
        <v>175</v>
      </c>
    </row>
    <row r="180" spans="1:3">
      <c r="A180" s="68">
        <v>36940.710219907407</v>
      </c>
      <c r="B180" s="9">
        <v>3.1944444444444442E-2</v>
      </c>
      <c r="C180" s="10">
        <v>172</v>
      </c>
    </row>
    <row r="181" spans="1:3">
      <c r="A181" s="68">
        <v>36940.710219907407</v>
      </c>
      <c r="B181" s="9">
        <v>3.2638888888888891E-2</v>
      </c>
      <c r="C181" s="10">
        <v>174</v>
      </c>
    </row>
    <row r="182" spans="1:3">
      <c r="A182" s="68">
        <v>36944.873703703706</v>
      </c>
      <c r="B182" s="9">
        <v>0</v>
      </c>
      <c r="C182" s="10">
        <v>98</v>
      </c>
    </row>
    <row r="183" spans="1:3">
      <c r="A183" s="68">
        <v>36944.873703703706</v>
      </c>
      <c r="B183" s="9">
        <v>6.9444444444444447E-4</v>
      </c>
      <c r="C183" s="10">
        <v>153</v>
      </c>
    </row>
    <row r="184" spans="1:3">
      <c r="A184" s="68">
        <v>36944.873703703706</v>
      </c>
      <c r="B184" s="9">
        <v>1.3888888888888889E-3</v>
      </c>
      <c r="C184" s="10">
        <v>162</v>
      </c>
    </row>
    <row r="185" spans="1:3">
      <c r="A185" s="68">
        <v>36944.873703703706</v>
      </c>
      <c r="B185" s="9">
        <v>2.0833333333333333E-3</v>
      </c>
      <c r="C185" s="10">
        <v>161</v>
      </c>
    </row>
    <row r="186" spans="1:3">
      <c r="A186" s="68">
        <v>36944.873703703706</v>
      </c>
      <c r="B186" s="9">
        <v>2.7777777777777779E-3</v>
      </c>
      <c r="C186" s="10">
        <v>167</v>
      </c>
    </row>
    <row r="187" spans="1:3">
      <c r="A187" s="68">
        <v>36944.873703703706</v>
      </c>
      <c r="B187" s="9">
        <v>3.472222222222222E-3</v>
      </c>
      <c r="C187" s="10">
        <v>168</v>
      </c>
    </row>
    <row r="188" spans="1:3">
      <c r="A188" s="68">
        <v>36944.873703703706</v>
      </c>
      <c r="B188" s="9">
        <v>4.1666666666666666E-3</v>
      </c>
      <c r="C188" s="10">
        <v>173</v>
      </c>
    </row>
    <row r="189" spans="1:3">
      <c r="A189" s="68">
        <v>36944.873703703706</v>
      </c>
      <c r="B189" s="9">
        <v>4.8611111111111112E-3</v>
      </c>
      <c r="C189" s="10">
        <v>172</v>
      </c>
    </row>
    <row r="190" spans="1:3">
      <c r="A190" s="68">
        <v>36944.873703703706</v>
      </c>
      <c r="B190" s="9">
        <v>5.5555555555555558E-3</v>
      </c>
      <c r="C190" s="10">
        <v>176</v>
      </c>
    </row>
    <row r="191" spans="1:3">
      <c r="A191" s="68">
        <v>36944.873703703706</v>
      </c>
      <c r="B191" s="9">
        <v>6.2500000000000003E-3</v>
      </c>
      <c r="C191" s="10">
        <v>180</v>
      </c>
    </row>
    <row r="192" spans="1:3">
      <c r="A192" s="68">
        <v>36944.873703703706</v>
      </c>
      <c r="B192" s="9">
        <v>6.9444444444444441E-3</v>
      </c>
      <c r="C192" s="10">
        <v>180</v>
      </c>
    </row>
    <row r="193" spans="1:3">
      <c r="A193" s="68">
        <v>36944.873703703706</v>
      </c>
      <c r="B193" s="9">
        <v>7.6388888888888886E-3</v>
      </c>
      <c r="C193" s="10">
        <v>177</v>
      </c>
    </row>
    <row r="194" spans="1:3">
      <c r="A194" s="68">
        <v>36944.873703703706</v>
      </c>
      <c r="B194" s="9">
        <v>8.3333333333333332E-3</v>
      </c>
      <c r="C194" s="10">
        <v>174</v>
      </c>
    </row>
    <row r="195" spans="1:3">
      <c r="A195" s="68">
        <v>36944.873703703706</v>
      </c>
      <c r="B195" s="9">
        <v>9.0277777777777769E-3</v>
      </c>
      <c r="C195" s="10">
        <v>181</v>
      </c>
    </row>
    <row r="196" spans="1:3">
      <c r="A196" s="68">
        <v>36944.873703703706</v>
      </c>
      <c r="B196" s="9">
        <v>9.7222222222222224E-3</v>
      </c>
      <c r="C196" s="10">
        <v>181</v>
      </c>
    </row>
    <row r="197" spans="1:3">
      <c r="A197" s="68">
        <v>36944.873703703706</v>
      </c>
      <c r="B197" s="9">
        <v>1.0416666666666666E-2</v>
      </c>
      <c r="C197" s="10">
        <v>181</v>
      </c>
    </row>
    <row r="198" spans="1:3">
      <c r="A198" s="68">
        <v>36944.873703703706</v>
      </c>
      <c r="B198" s="9">
        <v>1.1111111111111112E-2</v>
      </c>
      <c r="C198" s="10">
        <v>183</v>
      </c>
    </row>
    <row r="199" spans="1:3">
      <c r="A199" s="68">
        <v>36944.873703703706</v>
      </c>
      <c r="B199" s="9">
        <v>1.1805555555555555E-2</v>
      </c>
      <c r="C199" s="10">
        <v>182</v>
      </c>
    </row>
    <row r="200" spans="1:3">
      <c r="A200" s="68">
        <v>36944.873703703706</v>
      </c>
      <c r="B200" s="9">
        <v>1.2500000000000001E-2</v>
      </c>
      <c r="C200" s="10">
        <v>185</v>
      </c>
    </row>
    <row r="201" spans="1:3">
      <c r="A201" s="68">
        <v>36944.873703703706</v>
      </c>
      <c r="B201" s="9">
        <v>1.3194444444444444E-2</v>
      </c>
      <c r="C201" s="10">
        <v>186</v>
      </c>
    </row>
    <row r="202" spans="1:3">
      <c r="A202" s="68">
        <v>36944.873703703706</v>
      </c>
      <c r="B202" s="9">
        <v>1.3888888888888888E-2</v>
      </c>
      <c r="C202" s="10">
        <v>182</v>
      </c>
    </row>
    <row r="203" spans="1:3">
      <c r="A203" s="68">
        <v>36944.873703703706</v>
      </c>
      <c r="B203" s="9">
        <v>1.4583333333333334E-2</v>
      </c>
      <c r="C203" s="10">
        <v>187</v>
      </c>
    </row>
    <row r="204" spans="1:3">
      <c r="A204" s="68">
        <v>36944.873703703706</v>
      </c>
      <c r="B204" s="9">
        <v>1.5277777777777777E-2</v>
      </c>
      <c r="C204" s="10">
        <v>188</v>
      </c>
    </row>
    <row r="205" spans="1:3">
      <c r="A205" s="68">
        <v>36944.873703703706</v>
      </c>
      <c r="B205" s="9">
        <v>1.5972222222222221E-2</v>
      </c>
      <c r="C205" s="10">
        <v>184</v>
      </c>
    </row>
    <row r="206" spans="1:3">
      <c r="A206" s="68">
        <v>36944.873703703706</v>
      </c>
      <c r="B206" s="9">
        <v>1.6666666666666666E-2</v>
      </c>
      <c r="C206" s="10">
        <v>189</v>
      </c>
    </row>
    <row r="207" spans="1:3">
      <c r="A207" s="68">
        <v>36944.873703703706</v>
      </c>
      <c r="B207" s="9">
        <v>1.7361111111111112E-2</v>
      </c>
      <c r="C207" s="10">
        <v>192</v>
      </c>
    </row>
    <row r="208" spans="1:3">
      <c r="A208" s="68">
        <v>36950.876481481479</v>
      </c>
      <c r="B208" s="15">
        <v>0</v>
      </c>
      <c r="C208" s="17">
        <v>125</v>
      </c>
    </row>
    <row r="209" spans="1:3">
      <c r="A209" s="68">
        <v>36950.876481481479</v>
      </c>
      <c r="B209" s="15">
        <v>6.9444444444444447E-4</v>
      </c>
      <c r="C209" s="17">
        <v>149</v>
      </c>
    </row>
    <row r="210" spans="1:3">
      <c r="A210" s="68">
        <v>36950.876481481479</v>
      </c>
      <c r="B210" s="15">
        <v>1.38888888888889E-3</v>
      </c>
      <c r="C210" s="17">
        <v>154</v>
      </c>
    </row>
    <row r="211" spans="1:3">
      <c r="A211" s="68">
        <v>36950.876481481479</v>
      </c>
      <c r="B211" s="15">
        <v>2.7777777777777801E-3</v>
      </c>
      <c r="C211" s="17">
        <v>160</v>
      </c>
    </row>
    <row r="212" spans="1:3">
      <c r="A212" s="68">
        <v>36950.876481481479</v>
      </c>
      <c r="B212" s="15">
        <v>3.4722222222222199E-3</v>
      </c>
      <c r="C212" s="17">
        <v>158</v>
      </c>
    </row>
    <row r="213" spans="1:3">
      <c r="A213" s="68">
        <v>36950.876481481479</v>
      </c>
      <c r="B213" s="15">
        <v>4.1666666666666701E-3</v>
      </c>
      <c r="C213" s="17">
        <v>158</v>
      </c>
    </row>
    <row r="214" spans="1:3">
      <c r="A214" s="68">
        <v>36950.876481481479</v>
      </c>
      <c r="B214" s="15">
        <v>4.8611111111111103E-3</v>
      </c>
      <c r="C214" s="17">
        <v>164</v>
      </c>
    </row>
    <row r="215" spans="1:3">
      <c r="A215" s="68">
        <v>36950.876481481479</v>
      </c>
      <c r="B215" s="15">
        <v>5.5555555555555601E-3</v>
      </c>
      <c r="C215" s="17">
        <v>162</v>
      </c>
    </row>
    <row r="216" spans="1:3">
      <c r="A216" s="68">
        <v>36950.876481481479</v>
      </c>
      <c r="B216" s="15">
        <v>6.2500000000000003E-3</v>
      </c>
      <c r="C216" s="17">
        <v>163</v>
      </c>
    </row>
    <row r="217" spans="1:3">
      <c r="A217" s="68">
        <v>36950.876481481479</v>
      </c>
      <c r="B217" s="15">
        <v>6.9444444444444397E-3</v>
      </c>
      <c r="C217" s="17">
        <v>168</v>
      </c>
    </row>
    <row r="218" spans="1:3">
      <c r="A218" s="68">
        <v>36950.876481481479</v>
      </c>
      <c r="B218" s="15">
        <v>7.6388888888888904E-3</v>
      </c>
      <c r="C218" s="17">
        <v>169</v>
      </c>
    </row>
    <row r="219" spans="1:3">
      <c r="A219" s="68">
        <v>36950.876481481479</v>
      </c>
      <c r="B219" s="15">
        <v>8.3333333333333297E-3</v>
      </c>
      <c r="C219" s="17">
        <v>168</v>
      </c>
    </row>
    <row r="220" spans="1:3">
      <c r="A220" s="68">
        <v>36950.876481481479</v>
      </c>
      <c r="B220" s="15">
        <v>9.0277777777777804E-3</v>
      </c>
      <c r="C220" s="17">
        <v>165</v>
      </c>
    </row>
    <row r="221" spans="1:3">
      <c r="A221" s="68">
        <v>36950.876481481479</v>
      </c>
      <c r="B221" s="15">
        <v>9.7222222222222206E-3</v>
      </c>
      <c r="C221" s="17">
        <v>167</v>
      </c>
    </row>
    <row r="222" spans="1:3">
      <c r="A222" s="68">
        <v>36950.876481481479</v>
      </c>
      <c r="B222" s="15">
        <v>1.0416666666666701E-2</v>
      </c>
      <c r="C222" s="17">
        <v>168</v>
      </c>
    </row>
    <row r="223" spans="1:3">
      <c r="A223" s="68">
        <v>36950.876481481479</v>
      </c>
      <c r="B223" s="15">
        <v>1.1111111111111099E-2</v>
      </c>
      <c r="C223" s="17">
        <v>168</v>
      </c>
    </row>
    <row r="224" spans="1:3">
      <c r="A224" s="68">
        <v>36950.876481481479</v>
      </c>
      <c r="B224" s="15">
        <v>1.18055555555556E-2</v>
      </c>
      <c r="C224" s="17">
        <v>168</v>
      </c>
    </row>
    <row r="225" spans="1:3">
      <c r="A225" s="68">
        <v>36950.876481481479</v>
      </c>
      <c r="B225" s="15">
        <v>1.2500000000000001E-2</v>
      </c>
      <c r="C225" s="17">
        <v>167</v>
      </c>
    </row>
    <row r="226" spans="1:3">
      <c r="A226" s="68">
        <v>36950.876481481479</v>
      </c>
      <c r="B226" s="15">
        <v>1.3194444444444399E-2</v>
      </c>
      <c r="C226" s="17">
        <v>169</v>
      </c>
    </row>
    <row r="227" spans="1:3">
      <c r="A227" s="68">
        <v>36950.876481481479</v>
      </c>
      <c r="B227" s="15">
        <v>1.38888888888889E-2</v>
      </c>
      <c r="C227" s="17">
        <v>167</v>
      </c>
    </row>
    <row r="228" spans="1:3">
      <c r="A228" s="68">
        <v>36950.876481481479</v>
      </c>
      <c r="B228" s="15">
        <v>1.4583333333333301E-2</v>
      </c>
      <c r="C228" s="17">
        <v>170</v>
      </c>
    </row>
    <row r="229" spans="1:3">
      <c r="A229" s="68">
        <v>36950.876481481479</v>
      </c>
      <c r="B229" s="15">
        <v>1.52777777777778E-2</v>
      </c>
      <c r="C229" s="17">
        <v>169</v>
      </c>
    </row>
    <row r="230" spans="1:3">
      <c r="A230" s="68">
        <v>36950.876481481479</v>
      </c>
      <c r="B230" s="15">
        <v>1.59722222222222E-2</v>
      </c>
      <c r="C230" s="17">
        <v>171</v>
      </c>
    </row>
    <row r="231" spans="1:3">
      <c r="A231" s="68">
        <v>36950.876481481479</v>
      </c>
      <c r="B231" s="15">
        <v>1.6666666666666701E-2</v>
      </c>
      <c r="C231" s="17">
        <v>171</v>
      </c>
    </row>
    <row r="232" spans="1:3">
      <c r="A232" s="68">
        <v>36950.876481481479</v>
      </c>
      <c r="B232" s="15">
        <v>1.7361111111111101E-2</v>
      </c>
      <c r="C232" s="16">
        <v>171</v>
      </c>
    </row>
    <row r="233" spans="1:3">
      <c r="A233" s="68">
        <v>36950.876481481479</v>
      </c>
      <c r="B233" s="15">
        <v>1.8055555555555599E-2</v>
      </c>
      <c r="C233" s="16">
        <v>173</v>
      </c>
    </row>
    <row r="234" spans="1:3">
      <c r="A234" s="68">
        <v>36950.876481481479</v>
      </c>
      <c r="B234" s="15">
        <v>1.8749999999999999E-2</v>
      </c>
      <c r="C234" s="16">
        <v>173</v>
      </c>
    </row>
    <row r="235" spans="1:3">
      <c r="A235" s="68">
        <v>36950.876481481479</v>
      </c>
      <c r="B235" s="15">
        <v>1.94444444444444E-2</v>
      </c>
      <c r="C235" s="16">
        <v>174</v>
      </c>
    </row>
    <row r="236" spans="1:3">
      <c r="A236" s="68">
        <v>36950.876481481479</v>
      </c>
      <c r="B236" s="15">
        <v>2.0138888888888901E-2</v>
      </c>
      <c r="C236" s="16">
        <v>173</v>
      </c>
    </row>
    <row r="237" spans="1:3">
      <c r="A237" s="68">
        <v>36950.876481481479</v>
      </c>
      <c r="B237" s="15">
        <v>2.0833333333333301E-2</v>
      </c>
      <c r="C237" s="16">
        <v>174</v>
      </c>
    </row>
    <row r="238" spans="1:3">
      <c r="A238" s="68">
        <v>36950.876481481479</v>
      </c>
      <c r="B238" s="15">
        <v>2.1527777777777798E-2</v>
      </c>
      <c r="C238" s="16">
        <v>176</v>
      </c>
    </row>
    <row r="239" spans="1:3">
      <c r="A239" s="68">
        <v>36950.876481481479</v>
      </c>
      <c r="B239" s="15">
        <v>2.2222222222222199E-2</v>
      </c>
      <c r="C239" s="16">
        <v>173</v>
      </c>
    </row>
    <row r="240" spans="1:3">
      <c r="A240" s="68">
        <v>36950.876481481479</v>
      </c>
      <c r="B240" s="15">
        <v>2.29166666666667E-2</v>
      </c>
      <c r="C240" s="16">
        <v>171</v>
      </c>
    </row>
    <row r="241" spans="1:3">
      <c r="A241" s="68">
        <v>36950.876481481479</v>
      </c>
      <c r="B241" s="15">
        <v>2.36111111111111E-2</v>
      </c>
      <c r="C241" s="16">
        <v>174</v>
      </c>
    </row>
    <row r="242" spans="1:3">
      <c r="A242" s="68">
        <v>36950.876481481479</v>
      </c>
      <c r="B242" s="15">
        <v>2.4305555555555601E-2</v>
      </c>
      <c r="C242" s="16">
        <v>179</v>
      </c>
    </row>
    <row r="243" spans="1:3">
      <c r="A243" s="68">
        <v>36950.876481481479</v>
      </c>
      <c r="B243" s="15">
        <v>2.5000000000000001E-2</v>
      </c>
      <c r="C243" s="16">
        <v>173</v>
      </c>
    </row>
    <row r="244" spans="1:3">
      <c r="A244" s="68">
        <v>36950.876481481479</v>
      </c>
      <c r="B244" s="15">
        <v>2.5694444444444402E-2</v>
      </c>
      <c r="C244" s="16">
        <v>175</v>
      </c>
    </row>
    <row r="245" spans="1:3">
      <c r="A245" s="68">
        <v>36950.876481481479</v>
      </c>
      <c r="B245" s="15">
        <v>2.6388888888888899E-2</v>
      </c>
      <c r="C245" s="16">
        <v>176</v>
      </c>
    </row>
    <row r="246" spans="1:3">
      <c r="A246" s="68">
        <v>36950.876481481479</v>
      </c>
      <c r="B246" s="15">
        <v>2.70833333333333E-2</v>
      </c>
      <c r="C246" s="16">
        <v>179</v>
      </c>
    </row>
    <row r="247" spans="1:3">
      <c r="A247" s="68">
        <v>36950.876481481479</v>
      </c>
      <c r="B247" s="15">
        <v>2.7777777777777801E-2</v>
      </c>
      <c r="C247" s="16">
        <v>179</v>
      </c>
    </row>
    <row r="248" spans="1:3">
      <c r="A248" s="68">
        <v>36950.876481481479</v>
      </c>
      <c r="B248" s="15">
        <v>2.8472222222222201E-2</v>
      </c>
      <c r="C248" s="16">
        <v>179</v>
      </c>
    </row>
    <row r="249" spans="1:3">
      <c r="A249" s="68">
        <v>36950.876481481479</v>
      </c>
      <c r="B249" s="15">
        <v>2.9166666666666698E-2</v>
      </c>
      <c r="C249" s="16">
        <v>181</v>
      </c>
    </row>
    <row r="250" spans="1:3">
      <c r="A250" s="68">
        <v>36950.876481481479</v>
      </c>
      <c r="B250" s="15">
        <v>2.9861111111111099E-2</v>
      </c>
      <c r="C250" s="16">
        <v>180</v>
      </c>
    </row>
    <row r="251" spans="1:3">
      <c r="A251" s="68">
        <v>36950.876481481479</v>
      </c>
      <c r="B251" s="15">
        <v>3.05555555555556E-2</v>
      </c>
      <c r="C251" s="16">
        <v>179</v>
      </c>
    </row>
    <row r="252" spans="1:3">
      <c r="A252" s="68">
        <v>36950.876481481479</v>
      </c>
      <c r="B252" s="15">
        <v>3.125E-2</v>
      </c>
      <c r="C252" s="16">
        <v>181</v>
      </c>
    </row>
    <row r="253" spans="1:3">
      <c r="A253" s="68">
        <v>36953.707407407404</v>
      </c>
      <c r="B253" s="9">
        <v>0</v>
      </c>
      <c r="C253" s="14">
        <v>93</v>
      </c>
    </row>
    <row r="254" spans="1:3">
      <c r="A254" s="68">
        <v>36953.707407407404</v>
      </c>
      <c r="B254" s="9">
        <v>6.9444444444444447E-4</v>
      </c>
      <c r="C254" s="14">
        <v>150</v>
      </c>
    </row>
    <row r="255" spans="1:3">
      <c r="A255" s="68">
        <v>36953.707407407404</v>
      </c>
      <c r="B255" s="9">
        <v>1.3888888888888889E-3</v>
      </c>
      <c r="C255" s="14">
        <v>157</v>
      </c>
    </row>
    <row r="256" spans="1:3">
      <c r="A256" s="68">
        <v>36953.707407407404</v>
      </c>
      <c r="B256" s="9">
        <v>2.0833333333333333E-3</v>
      </c>
      <c r="C256" s="14">
        <v>159</v>
      </c>
    </row>
    <row r="257" spans="1:3">
      <c r="A257" s="68">
        <v>36953.707407407404</v>
      </c>
      <c r="B257" s="9">
        <v>2.7777777777777779E-3</v>
      </c>
      <c r="C257" s="14">
        <v>162</v>
      </c>
    </row>
    <row r="258" spans="1:3">
      <c r="A258" s="68">
        <v>36953.707407407404</v>
      </c>
      <c r="B258" s="9">
        <v>3.472222222222222E-3</v>
      </c>
      <c r="C258" s="14">
        <v>163</v>
      </c>
    </row>
    <row r="259" spans="1:3">
      <c r="A259" s="68">
        <v>36953.707407407404</v>
      </c>
      <c r="B259" s="9">
        <v>4.1666666666666666E-3</v>
      </c>
      <c r="C259" s="14">
        <v>164</v>
      </c>
    </row>
    <row r="260" spans="1:3">
      <c r="A260" s="68">
        <v>36953.707407407404</v>
      </c>
      <c r="B260" s="9">
        <v>4.8611111111111112E-3</v>
      </c>
      <c r="C260" s="14">
        <v>163</v>
      </c>
    </row>
    <row r="261" spans="1:3">
      <c r="A261" s="68">
        <v>36953.707407407404</v>
      </c>
      <c r="B261" s="9">
        <v>5.5555555555555558E-3</v>
      </c>
      <c r="C261" s="14">
        <v>164</v>
      </c>
    </row>
    <row r="262" spans="1:3">
      <c r="A262" s="68">
        <v>36953.707407407404</v>
      </c>
      <c r="B262" s="9">
        <v>6.2500000000000003E-3</v>
      </c>
      <c r="C262" s="14">
        <v>162</v>
      </c>
    </row>
    <row r="263" spans="1:3">
      <c r="A263" s="68">
        <v>36953.707407407404</v>
      </c>
      <c r="B263" s="9">
        <v>6.9444444444444441E-3</v>
      </c>
      <c r="C263" s="14">
        <v>159</v>
      </c>
    </row>
    <row r="264" spans="1:3">
      <c r="A264" s="68">
        <v>36953.707407407404</v>
      </c>
      <c r="B264" s="9">
        <v>7.6388888888888886E-3</v>
      </c>
      <c r="C264" s="14">
        <v>163</v>
      </c>
    </row>
    <row r="265" spans="1:3">
      <c r="A265" s="68">
        <v>36953.707407407404</v>
      </c>
      <c r="B265" s="9">
        <v>8.3333333333333332E-3</v>
      </c>
      <c r="C265" s="14">
        <v>161</v>
      </c>
    </row>
    <row r="266" spans="1:3">
      <c r="A266" s="68">
        <v>36953.707407407404</v>
      </c>
      <c r="B266" s="13">
        <v>9.0277777777777769E-3</v>
      </c>
      <c r="C266" s="14">
        <v>161</v>
      </c>
    </row>
    <row r="267" spans="1:3">
      <c r="A267" s="68">
        <v>36953.707407407404</v>
      </c>
      <c r="B267" s="13">
        <v>9.7222222222222224E-3</v>
      </c>
      <c r="C267" s="14">
        <v>165</v>
      </c>
    </row>
    <row r="268" spans="1:3">
      <c r="A268" s="68">
        <v>36953.707407407404</v>
      </c>
      <c r="B268" s="13">
        <v>1.0416666666666666E-2</v>
      </c>
      <c r="C268" s="14">
        <v>160</v>
      </c>
    </row>
    <row r="269" spans="1:3">
      <c r="A269" s="68">
        <v>36953.707407407404</v>
      </c>
      <c r="B269" s="13">
        <v>1.1111111111111112E-2</v>
      </c>
      <c r="C269" s="14">
        <v>159</v>
      </c>
    </row>
    <row r="270" spans="1:3">
      <c r="A270" s="68">
        <v>36953.707407407404</v>
      </c>
      <c r="B270" s="13">
        <v>1.1805555555555555E-2</v>
      </c>
      <c r="C270" s="14">
        <v>163</v>
      </c>
    </row>
    <row r="271" spans="1:3">
      <c r="A271" s="68">
        <v>36953.707407407404</v>
      </c>
      <c r="B271" s="13">
        <v>1.2500000000000001E-2</v>
      </c>
      <c r="C271" s="14">
        <v>157</v>
      </c>
    </row>
    <row r="272" spans="1:3">
      <c r="A272" s="68">
        <v>36953.707407407404</v>
      </c>
      <c r="B272" s="13">
        <v>1.3194444444444444E-2</v>
      </c>
      <c r="C272" s="14">
        <v>159</v>
      </c>
    </row>
    <row r="273" spans="1:3">
      <c r="A273" s="68">
        <v>36953.707407407404</v>
      </c>
      <c r="B273" s="13">
        <v>1.3888888888888888E-2</v>
      </c>
      <c r="C273" s="14">
        <v>158</v>
      </c>
    </row>
    <row r="274" spans="1:3">
      <c r="A274" s="68">
        <v>36953.707407407404</v>
      </c>
      <c r="B274" s="13">
        <v>1.4583333333333334E-2</v>
      </c>
      <c r="C274" s="14">
        <v>159</v>
      </c>
    </row>
    <row r="275" spans="1:3">
      <c r="A275" s="68">
        <v>36953.707407407404</v>
      </c>
      <c r="B275" s="13">
        <v>1.5277777777777777E-2</v>
      </c>
      <c r="C275" s="14">
        <v>163</v>
      </c>
    </row>
    <row r="276" spans="1:3">
      <c r="A276" s="68">
        <v>36953.707407407404</v>
      </c>
      <c r="B276" s="13">
        <v>1.5972222222222221E-2</v>
      </c>
      <c r="C276" s="14">
        <v>166</v>
      </c>
    </row>
    <row r="277" spans="1:3">
      <c r="A277" s="68">
        <v>36953.707407407404</v>
      </c>
      <c r="B277" s="13">
        <v>1.6666666666666701E-2</v>
      </c>
      <c r="C277" s="14">
        <v>163</v>
      </c>
    </row>
    <row r="278" spans="1:3">
      <c r="A278" s="68">
        <v>36953.707407407404</v>
      </c>
      <c r="B278" s="13">
        <v>1.7361111111111101E-2</v>
      </c>
      <c r="C278" s="14">
        <v>161</v>
      </c>
    </row>
    <row r="279" spans="1:3">
      <c r="A279" s="68">
        <v>36953.707407407404</v>
      </c>
      <c r="B279" s="13">
        <v>1.8055555555555498E-2</v>
      </c>
      <c r="C279" s="14">
        <v>161</v>
      </c>
    </row>
    <row r="280" spans="1:3">
      <c r="A280" s="68">
        <v>36953.707407407404</v>
      </c>
      <c r="B280" s="13">
        <v>1.8749999999999999E-2</v>
      </c>
      <c r="C280" s="14">
        <v>160</v>
      </c>
    </row>
    <row r="281" spans="1:3">
      <c r="A281" s="68">
        <v>36953.707407407404</v>
      </c>
      <c r="B281" s="13">
        <v>1.94444444444444E-2</v>
      </c>
      <c r="C281" s="14">
        <v>166</v>
      </c>
    </row>
    <row r="282" spans="1:3">
      <c r="A282" s="68">
        <v>36953.707407407404</v>
      </c>
      <c r="B282" s="13">
        <v>2.0138888888888901E-2</v>
      </c>
      <c r="C282" s="14">
        <v>165</v>
      </c>
    </row>
    <row r="283" spans="1:3">
      <c r="A283" s="68">
        <v>36953.707407407404</v>
      </c>
      <c r="B283" s="13">
        <v>2.0833333333333301E-2</v>
      </c>
      <c r="C283" s="14">
        <v>164</v>
      </c>
    </row>
    <row r="284" spans="1:3">
      <c r="A284" s="68">
        <v>36953.707407407404</v>
      </c>
      <c r="B284" s="13">
        <v>2.1527777777777798E-2</v>
      </c>
      <c r="C284" s="14">
        <v>164</v>
      </c>
    </row>
    <row r="285" spans="1:3">
      <c r="A285" s="68">
        <v>36953.707407407404</v>
      </c>
      <c r="B285" s="13">
        <v>2.2222222222222199E-2</v>
      </c>
      <c r="C285" s="14">
        <v>163</v>
      </c>
    </row>
    <row r="286" spans="1:3">
      <c r="A286" s="68">
        <v>36953.707407407404</v>
      </c>
      <c r="B286" s="13">
        <v>2.29166666666667E-2</v>
      </c>
      <c r="C286" s="14">
        <v>165</v>
      </c>
    </row>
    <row r="287" spans="1:3">
      <c r="A287" s="68">
        <v>36953.707407407404</v>
      </c>
      <c r="B287" s="13">
        <v>2.36111111111111E-2</v>
      </c>
      <c r="C287" s="14">
        <v>162</v>
      </c>
    </row>
    <row r="288" spans="1:3">
      <c r="A288" s="68">
        <v>36953.707407407404</v>
      </c>
      <c r="B288" s="13">
        <v>2.43055555555555E-2</v>
      </c>
      <c r="C288" s="14">
        <v>164</v>
      </c>
    </row>
    <row r="289" spans="1:3">
      <c r="A289" s="68">
        <v>36953.707407407404</v>
      </c>
      <c r="B289" s="13">
        <v>2.5000000000000001E-2</v>
      </c>
      <c r="C289" s="14">
        <v>160</v>
      </c>
    </row>
    <row r="290" spans="1:3">
      <c r="A290" s="68">
        <v>36953.707407407404</v>
      </c>
      <c r="B290" s="13">
        <v>2.5694444444444499E-2</v>
      </c>
      <c r="C290" s="14">
        <v>163</v>
      </c>
    </row>
    <row r="291" spans="1:3">
      <c r="A291" s="68">
        <v>36953.707407407404</v>
      </c>
      <c r="B291" s="13">
        <v>2.6388888888888899E-2</v>
      </c>
      <c r="C291" s="14">
        <v>161</v>
      </c>
    </row>
    <row r="292" spans="1:3">
      <c r="A292" s="68">
        <v>36953.707407407404</v>
      </c>
      <c r="B292" s="13">
        <v>2.70833333333333E-2</v>
      </c>
      <c r="C292" s="14">
        <v>160</v>
      </c>
    </row>
    <row r="293" spans="1:3">
      <c r="A293" s="68">
        <v>36953.707407407404</v>
      </c>
      <c r="B293" s="13">
        <v>2.7777777777777801E-2</v>
      </c>
      <c r="C293" s="14">
        <v>163</v>
      </c>
    </row>
    <row r="294" spans="1:3">
      <c r="A294" s="68">
        <v>36953.707407407404</v>
      </c>
      <c r="B294" s="13">
        <v>2.8472222222222201E-2</v>
      </c>
      <c r="C294" s="14">
        <v>163</v>
      </c>
    </row>
    <row r="295" spans="1:3">
      <c r="A295" s="68">
        <v>36953.707407407404</v>
      </c>
      <c r="B295" s="13">
        <v>2.9166666666666601E-2</v>
      </c>
      <c r="C295" s="14">
        <v>165</v>
      </c>
    </row>
    <row r="296" spans="1:3">
      <c r="A296" s="68">
        <v>36953.707407407404</v>
      </c>
      <c r="B296" s="13">
        <v>2.9861111111111002E-2</v>
      </c>
      <c r="C296" s="14">
        <v>163</v>
      </c>
    </row>
    <row r="297" spans="1:3">
      <c r="A297" s="68">
        <v>36953.707407407404</v>
      </c>
      <c r="B297" s="13">
        <v>3.0555555555555398E-2</v>
      </c>
      <c r="C297" s="14">
        <v>158</v>
      </c>
    </row>
    <row r="298" spans="1:3">
      <c r="A298" s="68">
        <v>36953.707407407404</v>
      </c>
      <c r="B298" s="13">
        <v>3.1249999999999799E-2</v>
      </c>
      <c r="C298" s="14">
        <v>164</v>
      </c>
    </row>
    <row r="299" spans="1:3">
      <c r="A299" s="68">
        <v>36953.707407407404</v>
      </c>
      <c r="B299" s="13">
        <v>3.1944444444444199E-2</v>
      </c>
      <c r="C299" s="14">
        <v>160</v>
      </c>
    </row>
    <row r="300" spans="1:3">
      <c r="A300" s="68">
        <v>36953.707407407404</v>
      </c>
      <c r="B300" s="13">
        <v>3.2638888888888599E-2</v>
      </c>
      <c r="C300" s="14">
        <v>163</v>
      </c>
    </row>
    <row r="301" spans="1:3">
      <c r="A301" s="68">
        <v>36953.707407407404</v>
      </c>
      <c r="B301" s="13">
        <v>3.3333333333333E-2</v>
      </c>
      <c r="C301" s="14">
        <v>164</v>
      </c>
    </row>
    <row r="302" spans="1:3">
      <c r="A302" s="68">
        <v>36953.707407407404</v>
      </c>
      <c r="B302" s="13">
        <v>3.40277777777774E-2</v>
      </c>
      <c r="C302" s="14">
        <v>160</v>
      </c>
    </row>
    <row r="303" spans="1:3">
      <c r="A303" s="68">
        <v>36953.707407407404</v>
      </c>
      <c r="B303" s="13">
        <v>3.47222222222218E-2</v>
      </c>
      <c r="C303" s="14">
        <v>165</v>
      </c>
    </row>
    <row r="304" spans="1:3">
      <c r="A304" s="68">
        <v>36953.707407407404</v>
      </c>
      <c r="B304" s="13">
        <v>3.5416666666666201E-2</v>
      </c>
      <c r="C304" s="14">
        <v>162</v>
      </c>
    </row>
    <row r="305" spans="1:3">
      <c r="A305" s="68">
        <v>36953.707407407404</v>
      </c>
      <c r="B305" s="13">
        <v>3.6111111111110601E-2</v>
      </c>
      <c r="C305" s="14">
        <v>163</v>
      </c>
    </row>
    <row r="306" spans="1:3">
      <c r="A306" s="68">
        <v>36953.707407407404</v>
      </c>
      <c r="B306" s="13">
        <v>3.6805555555555002E-2</v>
      </c>
      <c r="C306" s="14">
        <v>161</v>
      </c>
    </row>
    <row r="307" spans="1:3">
      <c r="A307" s="68">
        <v>36953.707407407404</v>
      </c>
      <c r="B307" s="13">
        <v>3.7499999999999402E-2</v>
      </c>
      <c r="C307" s="14">
        <v>165</v>
      </c>
    </row>
    <row r="308" spans="1:3">
      <c r="A308" s="68">
        <v>36953.707407407404</v>
      </c>
      <c r="B308" s="13">
        <v>3.8194444444443802E-2</v>
      </c>
      <c r="C308" s="14">
        <v>164</v>
      </c>
    </row>
    <row r="309" spans="1:3">
      <c r="A309" s="68">
        <v>36953.707407407404</v>
      </c>
      <c r="B309" s="13">
        <v>3.8888888888888203E-2</v>
      </c>
      <c r="C309" s="14">
        <v>165</v>
      </c>
    </row>
    <row r="310" spans="1:3">
      <c r="A310" s="68">
        <v>36953.707407407404</v>
      </c>
      <c r="B310" s="13">
        <v>3.9583333333332603E-2</v>
      </c>
      <c r="C310" s="14">
        <v>174</v>
      </c>
    </row>
    <row r="311" spans="1:3">
      <c r="A311" s="68">
        <v>36953.707407407404</v>
      </c>
      <c r="B311" s="13">
        <v>4.027777777777778E-2</v>
      </c>
      <c r="C311" s="14">
        <v>179</v>
      </c>
    </row>
    <row r="312" spans="1:3">
      <c r="A312" s="68">
        <v>36953.707407407404</v>
      </c>
      <c r="B312" s="13">
        <v>4.0972222222222222E-2</v>
      </c>
      <c r="C312" s="14">
        <v>182</v>
      </c>
    </row>
    <row r="313" spans="1:3">
      <c r="A313" s="68">
        <v>36953.707407407404</v>
      </c>
      <c r="B313" s="13">
        <v>4.1666666666666699E-2</v>
      </c>
      <c r="C313" s="14">
        <v>186</v>
      </c>
    </row>
    <row r="314" spans="1:3">
      <c r="A314" s="68">
        <v>36955.869062500002</v>
      </c>
      <c r="B314" s="6">
        <v>0</v>
      </c>
      <c r="C314" s="5">
        <v>162</v>
      </c>
    </row>
    <row r="315" spans="1:3">
      <c r="A315" s="68">
        <v>36955.869062500002</v>
      </c>
      <c r="B315" s="6">
        <v>6.9444444444444447E-4</v>
      </c>
      <c r="C315" s="5">
        <v>154</v>
      </c>
    </row>
    <row r="316" spans="1:3">
      <c r="A316" s="68">
        <v>36955.869062500002</v>
      </c>
      <c r="B316" s="6">
        <v>1.38888888888889E-3</v>
      </c>
      <c r="C316" s="5">
        <v>164</v>
      </c>
    </row>
    <row r="317" spans="1:3">
      <c r="A317" s="68">
        <v>36955.869062500002</v>
      </c>
      <c r="B317" s="6">
        <v>2.0833333333333298E-3</v>
      </c>
      <c r="C317" s="5">
        <v>158</v>
      </c>
    </row>
    <row r="318" spans="1:3">
      <c r="A318" s="68">
        <v>36955.869062500002</v>
      </c>
      <c r="B318" s="6">
        <v>2.7777777777777801E-3</v>
      </c>
      <c r="C318" s="5">
        <v>147</v>
      </c>
    </row>
    <row r="319" spans="1:3">
      <c r="A319" s="68">
        <v>36955.869062500002</v>
      </c>
      <c r="B319" s="6">
        <v>3.4722222222222199E-3</v>
      </c>
      <c r="C319" s="5">
        <v>159</v>
      </c>
    </row>
    <row r="320" spans="1:3">
      <c r="A320" s="68">
        <v>36955.869062500002</v>
      </c>
      <c r="B320" s="6">
        <v>4.1666666666666701E-3</v>
      </c>
      <c r="C320" s="5">
        <v>163</v>
      </c>
    </row>
    <row r="321" spans="1:3">
      <c r="A321" s="68">
        <v>36955.869062500002</v>
      </c>
      <c r="B321" s="6">
        <v>4.8611111111111103E-3</v>
      </c>
      <c r="C321" s="5">
        <v>165</v>
      </c>
    </row>
    <row r="322" spans="1:3">
      <c r="A322" s="68">
        <v>36955.869062500002</v>
      </c>
      <c r="B322" s="6">
        <v>5.5555555555555601E-3</v>
      </c>
      <c r="C322" s="5">
        <v>164</v>
      </c>
    </row>
    <row r="323" spans="1:3">
      <c r="A323" s="68">
        <v>36955.869062500002</v>
      </c>
      <c r="B323" s="6">
        <v>6.2500000000000003E-3</v>
      </c>
      <c r="C323" s="5">
        <v>166</v>
      </c>
    </row>
    <row r="324" spans="1:3">
      <c r="A324" s="68">
        <v>36955.869062500002</v>
      </c>
      <c r="B324" s="6">
        <v>6.9444444444444397E-3</v>
      </c>
      <c r="C324" s="5">
        <v>168</v>
      </c>
    </row>
    <row r="325" spans="1:3">
      <c r="A325" s="68">
        <v>36955.869062500002</v>
      </c>
      <c r="B325" s="6">
        <v>7.6388888888888904E-3</v>
      </c>
      <c r="C325" s="5">
        <v>169</v>
      </c>
    </row>
    <row r="326" spans="1:3">
      <c r="A326" s="68">
        <v>36955.869062500002</v>
      </c>
      <c r="B326" s="6">
        <v>8.3333333333333297E-3</v>
      </c>
      <c r="C326" s="5">
        <v>163</v>
      </c>
    </row>
    <row r="327" spans="1:3">
      <c r="A327" s="68">
        <v>36955.869062500002</v>
      </c>
      <c r="B327" s="6">
        <v>9.0277777777777804E-3</v>
      </c>
      <c r="C327" s="5">
        <v>168</v>
      </c>
    </row>
    <row r="328" spans="1:3">
      <c r="A328" s="68">
        <v>36955.869062500002</v>
      </c>
      <c r="B328" s="6">
        <v>9.7222222222222206E-3</v>
      </c>
      <c r="C328" s="5">
        <v>169</v>
      </c>
    </row>
    <row r="329" spans="1:3">
      <c r="A329" s="68">
        <v>36955.869062500002</v>
      </c>
      <c r="B329" s="6">
        <v>1.0416666666666701E-2</v>
      </c>
      <c r="C329" s="5">
        <v>168</v>
      </c>
    </row>
    <row r="330" spans="1:3">
      <c r="A330" s="68">
        <v>36955.869062500002</v>
      </c>
      <c r="B330" s="6">
        <v>1.1111111111111099E-2</v>
      </c>
      <c r="C330" s="5">
        <v>173</v>
      </c>
    </row>
    <row r="331" spans="1:3">
      <c r="A331" s="68">
        <v>36955.869062500002</v>
      </c>
      <c r="B331" s="6">
        <v>1.18055555555556E-2</v>
      </c>
      <c r="C331" s="5">
        <v>174</v>
      </c>
    </row>
    <row r="332" spans="1:3">
      <c r="A332" s="68">
        <v>36955.869062500002</v>
      </c>
      <c r="B332" s="6">
        <v>1.2500000000000001E-2</v>
      </c>
      <c r="C332" s="5">
        <v>174</v>
      </c>
    </row>
    <row r="333" spans="1:3">
      <c r="A333" s="68">
        <v>36955.869062500002</v>
      </c>
      <c r="B333" s="6">
        <v>1.3194444444444399E-2</v>
      </c>
      <c r="C333" s="5">
        <v>172</v>
      </c>
    </row>
    <row r="334" spans="1:3">
      <c r="A334" s="68">
        <v>36955.869062500002</v>
      </c>
      <c r="B334" s="6">
        <v>1.38888888888889E-2</v>
      </c>
      <c r="C334" s="5">
        <v>173</v>
      </c>
    </row>
    <row r="335" spans="1:3">
      <c r="A335" s="68">
        <v>36955.869062500002</v>
      </c>
      <c r="B335" s="6">
        <v>1.4583333333333301E-2</v>
      </c>
      <c r="C335" s="5">
        <v>174</v>
      </c>
    </row>
    <row r="336" spans="1:3">
      <c r="A336" s="68">
        <v>36955.869062500002</v>
      </c>
      <c r="B336" s="6">
        <v>1.52777777777778E-2</v>
      </c>
      <c r="C336" s="5">
        <v>179</v>
      </c>
    </row>
    <row r="337" spans="1:3">
      <c r="A337" s="68">
        <v>36955.869062500002</v>
      </c>
      <c r="B337" s="6">
        <v>1.59722222222222E-2</v>
      </c>
      <c r="C337" s="5">
        <v>173</v>
      </c>
    </row>
    <row r="338" spans="1:3">
      <c r="A338" s="68">
        <v>36955.869062500002</v>
      </c>
      <c r="B338" s="6">
        <v>1.6666666666666701E-2</v>
      </c>
      <c r="C338" s="5">
        <v>177</v>
      </c>
    </row>
    <row r="339" spans="1:3">
      <c r="A339" s="68">
        <v>36955.869062500002</v>
      </c>
      <c r="B339" s="6">
        <v>1.7361111111111101E-2</v>
      </c>
      <c r="C339" s="5">
        <v>179</v>
      </c>
    </row>
    <row r="340" spans="1:3">
      <c r="A340" s="68">
        <v>36955.869062500002</v>
      </c>
      <c r="B340" s="6">
        <v>1.8055555555555599E-2</v>
      </c>
      <c r="C340" s="5">
        <v>172</v>
      </c>
    </row>
    <row r="341" spans="1:3">
      <c r="A341" s="68">
        <v>36955.869062500002</v>
      </c>
      <c r="B341" s="6">
        <v>1.8749999999999999E-2</v>
      </c>
      <c r="C341" s="5">
        <v>168</v>
      </c>
    </row>
    <row r="342" spans="1:3">
      <c r="A342" s="68">
        <v>36955.869062500002</v>
      </c>
      <c r="B342" s="6">
        <v>1.94444444444444E-2</v>
      </c>
      <c r="C342" s="5">
        <v>175</v>
      </c>
    </row>
    <row r="343" spans="1:3">
      <c r="A343" s="68">
        <v>36955.869062500002</v>
      </c>
      <c r="B343" s="6">
        <v>2.0138888888888901E-2</v>
      </c>
      <c r="C343" s="5">
        <v>178</v>
      </c>
    </row>
    <row r="344" spans="1:3">
      <c r="A344" s="68">
        <v>36955.869062500002</v>
      </c>
      <c r="B344" s="6">
        <v>2.0833333333333301E-2</v>
      </c>
      <c r="C344" s="5">
        <v>180</v>
      </c>
    </row>
    <row r="345" spans="1:3">
      <c r="A345" s="68">
        <v>36955.869062500002</v>
      </c>
      <c r="B345" s="6">
        <v>2.1527777777777798E-2</v>
      </c>
      <c r="C345" s="5">
        <v>180</v>
      </c>
    </row>
    <row r="346" spans="1:3">
      <c r="A346" s="68">
        <v>36955.869062500002</v>
      </c>
      <c r="B346" s="6">
        <v>2.2222222222222199E-2</v>
      </c>
      <c r="C346" s="5">
        <v>182</v>
      </c>
    </row>
    <row r="347" spans="1:3">
      <c r="A347" s="68">
        <v>36955.869062500002</v>
      </c>
      <c r="B347" s="6">
        <v>2.29166666666667E-2</v>
      </c>
      <c r="C347" s="5">
        <v>181</v>
      </c>
    </row>
    <row r="348" spans="1:3">
      <c r="A348" s="68">
        <v>36955.869062500002</v>
      </c>
      <c r="B348" s="6">
        <v>2.36111111111111E-2</v>
      </c>
      <c r="C348" s="5">
        <v>178</v>
      </c>
    </row>
    <row r="349" spans="1:3">
      <c r="A349" s="68">
        <v>36955.869062500002</v>
      </c>
      <c r="B349" s="6">
        <v>2.4305555555555601E-2</v>
      </c>
      <c r="C349" s="5">
        <v>181</v>
      </c>
    </row>
    <row r="350" spans="1:3">
      <c r="A350" s="68">
        <v>36955.869062500002</v>
      </c>
      <c r="B350" s="6">
        <v>2.5000000000000001E-2</v>
      </c>
      <c r="C350" s="5">
        <v>177</v>
      </c>
    </row>
    <row r="351" spans="1:3">
      <c r="A351" s="68">
        <v>36955.869062500002</v>
      </c>
      <c r="B351" s="6">
        <v>2.5694444444444402E-2</v>
      </c>
      <c r="C351" s="5">
        <v>181</v>
      </c>
    </row>
    <row r="352" spans="1:3">
      <c r="A352" s="68">
        <v>36955.869062500002</v>
      </c>
      <c r="B352" s="6">
        <v>2.6388888888888899E-2</v>
      </c>
      <c r="C352" s="5">
        <v>182</v>
      </c>
    </row>
    <row r="353" spans="1:3">
      <c r="A353" s="68">
        <v>36955.869062500002</v>
      </c>
      <c r="B353" s="6">
        <v>2.70833333333333E-2</v>
      </c>
      <c r="C353" s="5">
        <v>182</v>
      </c>
    </row>
    <row r="354" spans="1:3">
      <c r="A354" s="68">
        <v>36955.869062500002</v>
      </c>
      <c r="B354" s="6">
        <v>2.7777777777777801E-2</v>
      </c>
      <c r="C354" s="5">
        <v>181</v>
      </c>
    </row>
    <row r="355" spans="1:3">
      <c r="A355" s="68">
        <v>36955.869062500002</v>
      </c>
      <c r="B355" s="6">
        <v>2.8472222222222301E-2</v>
      </c>
      <c r="C355" s="5">
        <v>184</v>
      </c>
    </row>
    <row r="356" spans="1:3">
      <c r="A356" s="68">
        <v>36955.869062500002</v>
      </c>
      <c r="B356" s="6">
        <v>2.9166666666666799E-2</v>
      </c>
      <c r="C356" s="5">
        <v>188</v>
      </c>
    </row>
    <row r="357" spans="1:3">
      <c r="A357" s="68">
        <v>36965.723611111112</v>
      </c>
      <c r="B357" s="6">
        <v>0</v>
      </c>
      <c r="C357" s="5">
        <v>136</v>
      </c>
    </row>
    <row r="358" spans="1:3">
      <c r="A358" s="68">
        <v>36965.723611111112</v>
      </c>
      <c r="B358" s="6">
        <v>6.9444444444444447E-4</v>
      </c>
      <c r="C358" s="5">
        <v>157</v>
      </c>
    </row>
    <row r="359" spans="1:3">
      <c r="A359" s="68">
        <v>36965.723611111112</v>
      </c>
      <c r="B359" s="6">
        <v>1.38888888888889E-3</v>
      </c>
      <c r="C359" s="5">
        <v>161</v>
      </c>
    </row>
    <row r="360" spans="1:3">
      <c r="A360" s="68">
        <v>36965.723611111112</v>
      </c>
      <c r="B360" s="6">
        <v>2.0833333333333298E-3</v>
      </c>
      <c r="C360" s="5">
        <v>164</v>
      </c>
    </row>
    <row r="361" spans="1:3">
      <c r="A361" s="68">
        <v>36965.723611111112</v>
      </c>
      <c r="B361" s="6">
        <v>2.7777777777777801E-3</v>
      </c>
      <c r="C361" s="5">
        <v>166</v>
      </c>
    </row>
    <row r="362" spans="1:3">
      <c r="A362" s="68">
        <v>36965.723611111112</v>
      </c>
      <c r="B362" s="6">
        <v>3.4722222222222199E-3</v>
      </c>
      <c r="C362" s="5">
        <v>169</v>
      </c>
    </row>
    <row r="363" spans="1:3">
      <c r="A363" s="68">
        <v>36965.723611111112</v>
      </c>
      <c r="B363" s="6">
        <v>4.1666666666666701E-3</v>
      </c>
      <c r="C363" s="5">
        <v>169</v>
      </c>
    </row>
    <row r="364" spans="1:3">
      <c r="A364" s="68">
        <v>36965.723611111112</v>
      </c>
      <c r="B364" s="6">
        <v>4.8611111111111103E-3</v>
      </c>
      <c r="C364" s="5">
        <v>174</v>
      </c>
    </row>
    <row r="365" spans="1:3">
      <c r="A365" s="68">
        <v>36965.723611111112</v>
      </c>
      <c r="B365" s="6">
        <v>5.5555555555555601E-3</v>
      </c>
      <c r="C365" s="5">
        <v>172</v>
      </c>
    </row>
    <row r="366" spans="1:3">
      <c r="A366" s="68">
        <v>36965.723611111112</v>
      </c>
      <c r="B366" s="6">
        <v>6.2500000000000003E-3</v>
      </c>
      <c r="C366" s="5">
        <v>176</v>
      </c>
    </row>
    <row r="367" spans="1:3">
      <c r="A367" s="68">
        <v>36965.723611111112</v>
      </c>
      <c r="B367" s="6">
        <v>6.9444444444444397E-3</v>
      </c>
      <c r="C367" s="5">
        <v>173</v>
      </c>
    </row>
    <row r="368" spans="1:3">
      <c r="A368" s="68">
        <v>36965.723611111112</v>
      </c>
      <c r="B368" s="6">
        <v>7.6388888888888904E-3</v>
      </c>
      <c r="C368" s="5">
        <v>174</v>
      </c>
    </row>
    <row r="369" spans="1:3">
      <c r="A369" s="68">
        <v>36965.723611111112</v>
      </c>
      <c r="B369" s="6">
        <v>8.3333333333333297E-3</v>
      </c>
      <c r="C369" s="5">
        <v>173</v>
      </c>
    </row>
    <row r="370" spans="1:3">
      <c r="A370" s="68">
        <v>36965.723611111112</v>
      </c>
      <c r="B370" s="6">
        <v>9.0277777777777804E-3</v>
      </c>
      <c r="C370" s="5">
        <v>175</v>
      </c>
    </row>
    <row r="371" spans="1:3">
      <c r="A371" s="68">
        <v>36965.723611111112</v>
      </c>
      <c r="B371" s="6">
        <v>9.7222222222222206E-3</v>
      </c>
      <c r="C371" s="5">
        <v>177</v>
      </c>
    </row>
    <row r="372" spans="1:3">
      <c r="A372" s="68">
        <v>36965.723611111112</v>
      </c>
      <c r="B372" s="6">
        <v>1.0416666666666701E-2</v>
      </c>
      <c r="C372" s="5">
        <v>173</v>
      </c>
    </row>
    <row r="373" spans="1:3">
      <c r="A373" s="68">
        <v>36965.723611111112</v>
      </c>
      <c r="B373" s="6">
        <v>1.1111111111111099E-2</v>
      </c>
      <c r="C373" s="5">
        <v>173</v>
      </c>
    </row>
    <row r="374" spans="1:3">
      <c r="A374" s="68">
        <v>36965.723611111112</v>
      </c>
      <c r="B374" s="6">
        <v>1.18055555555556E-2</v>
      </c>
      <c r="C374" s="5">
        <v>173</v>
      </c>
    </row>
    <row r="375" spans="1:3">
      <c r="A375" s="68">
        <v>36965.723611111112</v>
      </c>
      <c r="B375" s="6">
        <v>1.2500000000000001E-2</v>
      </c>
      <c r="C375" s="5">
        <v>176</v>
      </c>
    </row>
    <row r="376" spans="1:3">
      <c r="A376" s="68">
        <v>36965.723611111112</v>
      </c>
      <c r="B376" s="6">
        <v>1.3194444444444399E-2</v>
      </c>
      <c r="C376" s="5">
        <v>176</v>
      </c>
    </row>
    <row r="377" spans="1:3">
      <c r="A377" s="68">
        <v>36965.723611111112</v>
      </c>
      <c r="B377" s="6">
        <v>1.38888888888889E-2</v>
      </c>
      <c r="C377" s="5">
        <v>177</v>
      </c>
    </row>
    <row r="378" spans="1:3">
      <c r="A378" s="68">
        <v>36965.723611111112</v>
      </c>
      <c r="B378" s="6">
        <v>1.4583333333333301E-2</v>
      </c>
      <c r="C378" s="5">
        <v>178</v>
      </c>
    </row>
    <row r="379" spans="1:3">
      <c r="A379" s="68">
        <v>36965.723611111112</v>
      </c>
      <c r="B379" s="6">
        <v>1.52777777777778E-2</v>
      </c>
      <c r="C379" s="5">
        <v>176</v>
      </c>
    </row>
    <row r="380" spans="1:3">
      <c r="A380" s="68">
        <v>36965.723611111112</v>
      </c>
      <c r="B380" s="6">
        <v>1.59722222222222E-2</v>
      </c>
      <c r="C380" s="5">
        <v>177</v>
      </c>
    </row>
    <row r="381" spans="1:3">
      <c r="A381" s="68">
        <v>36965.723611111112</v>
      </c>
      <c r="B381" s="6">
        <v>1.6666666666666701E-2</v>
      </c>
      <c r="C381" s="5">
        <v>174</v>
      </c>
    </row>
    <row r="382" spans="1:3">
      <c r="A382" s="68">
        <v>36965.723611111112</v>
      </c>
      <c r="B382" s="6">
        <v>1.7361111111111101E-2</v>
      </c>
      <c r="C382" s="5">
        <v>175</v>
      </c>
    </row>
    <row r="383" spans="1:3">
      <c r="A383" s="68">
        <v>36965.723611111112</v>
      </c>
      <c r="B383" s="6">
        <v>1.8055555555555599E-2</v>
      </c>
      <c r="C383" s="5">
        <v>177</v>
      </c>
    </row>
    <row r="384" spans="1:3">
      <c r="A384" s="68">
        <v>36965.723611111112</v>
      </c>
      <c r="B384" s="6">
        <v>1.8749999999999999E-2</v>
      </c>
      <c r="C384" s="5">
        <v>179</v>
      </c>
    </row>
    <row r="385" spans="1:8">
      <c r="A385" s="68">
        <v>36965.723611111112</v>
      </c>
      <c r="B385" s="6">
        <v>1.94444444444444E-2</v>
      </c>
      <c r="C385" s="5">
        <v>179</v>
      </c>
    </row>
    <row r="386" spans="1:8">
      <c r="A386" s="68">
        <v>36965.723611111112</v>
      </c>
      <c r="B386" s="6">
        <v>2.0138888888888901E-2</v>
      </c>
      <c r="C386" s="5">
        <v>180</v>
      </c>
    </row>
    <row r="387" spans="1:8">
      <c r="A387" s="68">
        <v>36965.723611111112</v>
      </c>
      <c r="B387" s="6">
        <v>2.0833333333333301E-2</v>
      </c>
      <c r="C387" s="5">
        <v>180</v>
      </c>
    </row>
    <row r="388" spans="1:8">
      <c r="A388" s="68">
        <v>36965.723611111112</v>
      </c>
      <c r="B388" s="6">
        <v>2.1527777777777798E-2</v>
      </c>
      <c r="C388" s="5">
        <v>180</v>
      </c>
      <c r="G388" s="11"/>
      <c r="H388" s="33"/>
    </row>
    <row r="389" spans="1:8">
      <c r="A389" s="68">
        <v>36965.723611111112</v>
      </c>
      <c r="B389" s="6">
        <v>2.2222222222222199E-2</v>
      </c>
      <c r="C389" s="5">
        <v>180</v>
      </c>
      <c r="G389" s="11"/>
      <c r="H389" s="33"/>
    </row>
    <row r="390" spans="1:8">
      <c r="A390" s="68">
        <v>36965.723611111112</v>
      </c>
      <c r="B390" s="6">
        <v>2.29166666666667E-2</v>
      </c>
      <c r="C390" s="5">
        <v>181</v>
      </c>
      <c r="G390" s="11"/>
      <c r="H390" s="33"/>
    </row>
    <row r="391" spans="1:8">
      <c r="A391" s="68">
        <v>36965.723611111112</v>
      </c>
      <c r="B391" s="6">
        <v>2.36111111111111E-2</v>
      </c>
      <c r="C391" s="5">
        <v>178</v>
      </c>
      <c r="G391" s="11"/>
      <c r="H391" s="33"/>
    </row>
    <row r="392" spans="1:8">
      <c r="A392" s="68">
        <v>36965.723611111112</v>
      </c>
      <c r="B392" s="6">
        <v>2.4305555555555601E-2</v>
      </c>
      <c r="C392" s="5">
        <v>177</v>
      </c>
      <c r="G392" s="11"/>
      <c r="H392" s="33"/>
    </row>
    <row r="393" spans="1:8">
      <c r="A393" s="68">
        <v>36965.723611111112</v>
      </c>
      <c r="B393" s="6">
        <v>2.5000000000000001E-2</v>
      </c>
      <c r="C393" s="5">
        <v>181</v>
      </c>
      <c r="G393" s="11"/>
      <c r="H393" s="33"/>
    </row>
    <row r="394" spans="1:8">
      <c r="A394" s="68">
        <v>36965.723611111112</v>
      </c>
      <c r="B394" s="6">
        <v>2.5694444444444402E-2</v>
      </c>
      <c r="C394" s="5">
        <v>182</v>
      </c>
      <c r="G394" s="11"/>
      <c r="H394" s="33"/>
    </row>
    <row r="395" spans="1:8">
      <c r="A395" s="68">
        <v>36965.723611111112</v>
      </c>
      <c r="B395" s="6">
        <v>2.6388888888888899E-2</v>
      </c>
      <c r="C395" s="5">
        <v>181</v>
      </c>
      <c r="G395" s="11"/>
      <c r="H395" s="33"/>
    </row>
    <row r="396" spans="1:8">
      <c r="A396" s="68">
        <v>36965.723611111112</v>
      </c>
      <c r="B396" s="6">
        <v>2.70833333333333E-2</v>
      </c>
      <c r="C396" s="5">
        <v>178</v>
      </c>
      <c r="G396" s="11"/>
      <c r="H396" s="33"/>
    </row>
    <row r="397" spans="1:8">
      <c r="A397" s="68">
        <v>36965.723611111112</v>
      </c>
      <c r="B397" s="6">
        <v>2.7777777777777801E-2</v>
      </c>
      <c r="C397" s="5">
        <v>184</v>
      </c>
      <c r="G397" s="11"/>
      <c r="H397" s="33"/>
    </row>
    <row r="398" spans="1:8">
      <c r="A398" s="68">
        <v>36977.732638888891</v>
      </c>
      <c r="B398" s="6">
        <v>0</v>
      </c>
      <c r="C398" s="5">
        <v>132</v>
      </c>
    </row>
    <row r="399" spans="1:8">
      <c r="A399" s="68">
        <v>36977.732638888891</v>
      </c>
      <c r="B399" s="6">
        <v>5.7870370370370366E-5</v>
      </c>
      <c r="C399" s="5">
        <v>132</v>
      </c>
    </row>
    <row r="400" spans="1:8">
      <c r="A400" s="68">
        <v>36977.732638888891</v>
      </c>
      <c r="B400" s="6">
        <v>1.15740740740741E-4</v>
      </c>
      <c r="C400" s="5">
        <v>133</v>
      </c>
    </row>
    <row r="401" spans="1:3">
      <c r="A401" s="68">
        <v>36977.732638888891</v>
      </c>
      <c r="B401" s="6">
        <v>1.7361111111111101E-4</v>
      </c>
      <c r="C401" s="5">
        <v>150</v>
      </c>
    </row>
    <row r="402" spans="1:3">
      <c r="A402" s="68">
        <v>36977.732638888891</v>
      </c>
      <c r="B402" s="6">
        <v>2.31481481481481E-4</v>
      </c>
      <c r="C402" s="5">
        <v>150</v>
      </c>
    </row>
    <row r="403" spans="1:3">
      <c r="A403" s="68">
        <v>36977.732638888891</v>
      </c>
      <c r="B403" s="6">
        <v>2.89351851851852E-4</v>
      </c>
      <c r="C403" s="5">
        <v>150</v>
      </c>
    </row>
    <row r="404" spans="1:3">
      <c r="A404" s="68">
        <v>36977.732638888891</v>
      </c>
      <c r="B404" s="6">
        <v>3.4722222222222202E-4</v>
      </c>
      <c r="C404" s="5">
        <v>152</v>
      </c>
    </row>
    <row r="405" spans="1:3">
      <c r="A405" s="68">
        <v>36977.732638888891</v>
      </c>
      <c r="B405" s="6">
        <v>4.0509259259259301E-4</v>
      </c>
      <c r="C405" s="5">
        <v>153</v>
      </c>
    </row>
    <row r="406" spans="1:3">
      <c r="A406" s="68">
        <v>36977.732638888891</v>
      </c>
      <c r="B406" s="6">
        <v>4.6296296296296298E-4</v>
      </c>
      <c r="C406" s="5">
        <v>154</v>
      </c>
    </row>
    <row r="407" spans="1:3">
      <c r="A407" s="68">
        <v>36977.732638888891</v>
      </c>
      <c r="B407" s="6">
        <v>5.20833333333333E-4</v>
      </c>
      <c r="C407" s="5">
        <v>155</v>
      </c>
    </row>
    <row r="408" spans="1:3">
      <c r="A408" s="68">
        <v>36977.732638888891</v>
      </c>
      <c r="B408" s="6">
        <v>5.78703703703704E-4</v>
      </c>
      <c r="C408" s="5">
        <v>155</v>
      </c>
    </row>
    <row r="409" spans="1:3">
      <c r="A409" s="68">
        <v>36977.732638888891</v>
      </c>
      <c r="B409" s="6">
        <v>6.3657407407407499E-4</v>
      </c>
      <c r="C409" s="5">
        <v>158</v>
      </c>
    </row>
    <row r="410" spans="1:3">
      <c r="A410" s="68">
        <v>36977.732638888891</v>
      </c>
      <c r="B410" s="6">
        <v>6.9444444444444599E-4</v>
      </c>
      <c r="C410" s="5">
        <v>159</v>
      </c>
    </row>
    <row r="411" spans="1:3">
      <c r="A411" s="68">
        <v>36977.732638888891</v>
      </c>
      <c r="B411" s="6">
        <v>7.5231481481481698E-4</v>
      </c>
      <c r="C411" s="5">
        <v>159</v>
      </c>
    </row>
    <row r="412" spans="1:3">
      <c r="A412" s="68">
        <v>36977.732638888891</v>
      </c>
      <c r="B412" s="6">
        <v>8.1018518518518798E-4</v>
      </c>
      <c r="C412" s="5">
        <v>159</v>
      </c>
    </row>
    <row r="413" spans="1:3">
      <c r="A413" s="68">
        <v>36977.732638888891</v>
      </c>
      <c r="B413" s="6">
        <v>8.6805555555555898E-4</v>
      </c>
      <c r="C413" s="5">
        <v>159</v>
      </c>
    </row>
    <row r="414" spans="1:3">
      <c r="A414" s="68">
        <v>36977.732638888891</v>
      </c>
      <c r="B414" s="6">
        <v>9.2592592592592997E-4</v>
      </c>
      <c r="C414" s="5">
        <v>158</v>
      </c>
    </row>
    <row r="415" spans="1:3">
      <c r="A415" s="68">
        <v>36977.732638888891</v>
      </c>
      <c r="B415" s="6">
        <v>9.8379629629630097E-4</v>
      </c>
      <c r="C415" s="5">
        <v>159</v>
      </c>
    </row>
    <row r="416" spans="1:3">
      <c r="A416" s="68">
        <v>36977.732638888891</v>
      </c>
      <c r="B416" s="6">
        <v>1.0416666666666699E-3</v>
      </c>
      <c r="C416" s="5">
        <v>160</v>
      </c>
    </row>
    <row r="417" spans="1:3">
      <c r="A417" s="68">
        <v>36977.732638888891</v>
      </c>
      <c r="B417" s="6">
        <v>1.0995370370370399E-3</v>
      </c>
      <c r="C417" s="5">
        <v>162</v>
      </c>
    </row>
    <row r="418" spans="1:3">
      <c r="A418" s="68">
        <v>36977.732638888891</v>
      </c>
      <c r="B418" s="6">
        <v>1.1574074074074099E-3</v>
      </c>
      <c r="C418" s="5">
        <v>163</v>
      </c>
    </row>
    <row r="419" spans="1:3">
      <c r="A419" s="68">
        <v>36977.732638888891</v>
      </c>
      <c r="B419" s="6">
        <v>1.21527777777778E-3</v>
      </c>
      <c r="C419" s="5">
        <v>163</v>
      </c>
    </row>
    <row r="420" spans="1:3">
      <c r="A420" s="68">
        <v>36977.732638888891</v>
      </c>
      <c r="B420" s="6">
        <v>1.27314814814816E-3</v>
      </c>
      <c r="C420" s="5">
        <v>164</v>
      </c>
    </row>
    <row r="421" spans="1:3">
      <c r="A421" s="68">
        <v>36977.732638888891</v>
      </c>
      <c r="B421" s="6">
        <v>1.33101851851853E-3</v>
      </c>
      <c r="C421" s="5">
        <v>164</v>
      </c>
    </row>
    <row r="422" spans="1:3">
      <c r="A422" s="68">
        <v>36977.732638888891</v>
      </c>
      <c r="B422" s="6">
        <v>1.3888888888889E-3</v>
      </c>
      <c r="C422" s="5">
        <v>164</v>
      </c>
    </row>
    <row r="423" spans="1:3">
      <c r="A423" s="68">
        <v>36977.732638888891</v>
      </c>
      <c r="B423" s="6">
        <v>1.44675925925927E-3</v>
      </c>
      <c r="C423" s="5">
        <v>163</v>
      </c>
    </row>
    <row r="424" spans="1:3">
      <c r="A424" s="68">
        <v>36977.732638888891</v>
      </c>
      <c r="B424" s="6">
        <v>1.50462962962964E-3</v>
      </c>
      <c r="C424" s="5">
        <v>164</v>
      </c>
    </row>
    <row r="425" spans="1:3">
      <c r="A425" s="68">
        <v>36977.732638888891</v>
      </c>
      <c r="B425" s="6">
        <v>1.5625000000000101E-3</v>
      </c>
      <c r="C425" s="5">
        <v>164</v>
      </c>
    </row>
    <row r="426" spans="1:3">
      <c r="A426" s="68">
        <v>36977.732638888891</v>
      </c>
      <c r="B426" s="6">
        <v>1.6203703703703801E-3</v>
      </c>
      <c r="C426" s="5">
        <v>164</v>
      </c>
    </row>
    <row r="427" spans="1:3">
      <c r="A427" s="68">
        <v>36977.732638888891</v>
      </c>
      <c r="B427" s="6">
        <v>1.6782407407407501E-3</v>
      </c>
      <c r="C427" s="5">
        <v>166</v>
      </c>
    </row>
    <row r="428" spans="1:3">
      <c r="A428" s="68">
        <v>36977.732638888891</v>
      </c>
      <c r="B428" s="6">
        <v>1.7361111111111199E-3</v>
      </c>
      <c r="C428" s="5">
        <v>167</v>
      </c>
    </row>
    <row r="429" spans="1:3">
      <c r="A429" s="68">
        <v>36977.732638888891</v>
      </c>
      <c r="B429" s="6">
        <v>1.7939814814814899E-3</v>
      </c>
      <c r="C429" s="5">
        <v>167</v>
      </c>
    </row>
    <row r="430" spans="1:3">
      <c r="A430" s="68">
        <v>36977.732638888891</v>
      </c>
      <c r="B430" s="6">
        <v>1.8518518518518599E-3</v>
      </c>
      <c r="C430" s="5">
        <v>168</v>
      </c>
    </row>
    <row r="431" spans="1:3">
      <c r="A431" s="68">
        <v>36977.732638888891</v>
      </c>
      <c r="B431" s="6">
        <v>1.90972222222223E-3</v>
      </c>
      <c r="C431" s="5">
        <v>168</v>
      </c>
    </row>
    <row r="432" spans="1:3">
      <c r="A432" s="68">
        <v>36977.732638888891</v>
      </c>
      <c r="B432" s="6">
        <v>1.9675925925926002E-3</v>
      </c>
      <c r="C432" s="5">
        <v>168</v>
      </c>
    </row>
    <row r="433" spans="1:3">
      <c r="A433" s="68">
        <v>36977.732638888891</v>
      </c>
      <c r="B433" s="6">
        <v>2.0254629629629698E-3</v>
      </c>
      <c r="C433" s="5">
        <v>168</v>
      </c>
    </row>
    <row r="434" spans="1:3">
      <c r="A434" s="68">
        <v>36977.732638888891</v>
      </c>
      <c r="B434" s="6">
        <v>2.0833333333333398E-3</v>
      </c>
      <c r="C434" s="5">
        <v>168</v>
      </c>
    </row>
    <row r="435" spans="1:3">
      <c r="A435" s="68">
        <v>36977.732638888891</v>
      </c>
      <c r="B435" s="6">
        <v>2.1412037037037098E-3</v>
      </c>
      <c r="C435" s="5">
        <v>168</v>
      </c>
    </row>
    <row r="436" spans="1:3">
      <c r="A436" s="68">
        <v>36977.732638888891</v>
      </c>
      <c r="B436" s="6">
        <v>2.1990740740740799E-3</v>
      </c>
      <c r="C436" s="5">
        <v>170</v>
      </c>
    </row>
    <row r="437" spans="1:3">
      <c r="A437" s="68">
        <v>36977.732638888891</v>
      </c>
      <c r="B437" s="6">
        <v>2.2569444444444499E-3</v>
      </c>
      <c r="C437" s="5">
        <v>171</v>
      </c>
    </row>
    <row r="438" spans="1:3">
      <c r="A438" s="68">
        <v>36977.732638888891</v>
      </c>
      <c r="B438" s="6">
        <v>2.3148148148148199E-3</v>
      </c>
      <c r="C438" s="5">
        <v>171</v>
      </c>
    </row>
    <row r="439" spans="1:3">
      <c r="A439" s="68">
        <v>36977.732638888891</v>
      </c>
      <c r="B439" s="6">
        <v>2.3726851851851899E-3</v>
      </c>
      <c r="C439" s="5">
        <v>172</v>
      </c>
    </row>
    <row r="440" spans="1:3">
      <c r="A440" s="68">
        <v>36977.732638888891</v>
      </c>
      <c r="B440" s="6">
        <v>2.4305555555555599E-3</v>
      </c>
      <c r="C440" s="5">
        <v>171</v>
      </c>
    </row>
    <row r="441" spans="1:3">
      <c r="A441" s="68">
        <v>36977.732638888891</v>
      </c>
      <c r="B441" s="6">
        <v>2.48842592592593E-3</v>
      </c>
      <c r="C441" s="5">
        <v>171</v>
      </c>
    </row>
    <row r="442" spans="1:3">
      <c r="A442" s="68">
        <v>36977.732638888891</v>
      </c>
      <c r="B442" s="6">
        <v>2.5462962962963E-3</v>
      </c>
      <c r="C442" s="5">
        <v>172</v>
      </c>
    </row>
    <row r="443" spans="1:3">
      <c r="A443" s="68">
        <v>36977.732638888891</v>
      </c>
      <c r="B443" s="6">
        <v>2.60416666666667E-3</v>
      </c>
      <c r="C443" s="5">
        <v>171</v>
      </c>
    </row>
    <row r="444" spans="1:3">
      <c r="A444" s="68">
        <v>36977.732638888891</v>
      </c>
      <c r="B444" s="6">
        <v>2.66203703703704E-3</v>
      </c>
      <c r="C444" s="5">
        <v>171</v>
      </c>
    </row>
    <row r="445" spans="1:3">
      <c r="A445" s="68">
        <v>36977.732638888891</v>
      </c>
      <c r="B445" s="6">
        <v>2.71990740740741E-3</v>
      </c>
      <c r="C445" s="5">
        <v>170</v>
      </c>
    </row>
    <row r="446" spans="1:3">
      <c r="A446" s="68">
        <v>36977.732638888891</v>
      </c>
      <c r="B446" s="6">
        <v>2.7777777777777801E-3</v>
      </c>
      <c r="C446" s="5">
        <v>171</v>
      </c>
    </row>
    <row r="447" spans="1:3">
      <c r="A447" s="68">
        <v>36977.732638888891</v>
      </c>
      <c r="B447" s="6">
        <v>2.8356481481481501E-3</v>
      </c>
      <c r="C447" s="5">
        <v>172</v>
      </c>
    </row>
    <row r="448" spans="1:3">
      <c r="A448" s="68">
        <v>36977.732638888891</v>
      </c>
      <c r="B448" s="6">
        <v>2.8935185185185201E-3</v>
      </c>
      <c r="C448" s="5">
        <v>173</v>
      </c>
    </row>
    <row r="449" spans="1:3">
      <c r="A449" s="68">
        <v>36977.732638888891</v>
      </c>
      <c r="B449" s="6">
        <v>2.9513888888888901E-3</v>
      </c>
      <c r="C449" s="5">
        <v>173</v>
      </c>
    </row>
    <row r="450" spans="1:3">
      <c r="A450" s="68">
        <v>36977.732638888891</v>
      </c>
      <c r="B450" s="6">
        <v>3.0092592592592601E-3</v>
      </c>
      <c r="C450" s="5">
        <v>173</v>
      </c>
    </row>
    <row r="451" spans="1:3">
      <c r="A451" s="68">
        <v>36977.732638888891</v>
      </c>
      <c r="B451" s="6">
        <v>3.0671296296296302E-3</v>
      </c>
      <c r="C451" s="5">
        <v>172</v>
      </c>
    </row>
    <row r="452" spans="1:3">
      <c r="A452" s="68">
        <v>36977.732638888891</v>
      </c>
      <c r="B452" s="6">
        <v>3.1250000000000002E-3</v>
      </c>
      <c r="C452" s="5">
        <v>171</v>
      </c>
    </row>
    <row r="453" spans="1:3">
      <c r="A453" s="68">
        <v>36977.732638888891</v>
      </c>
      <c r="B453" s="6">
        <v>3.1828703703703702E-3</v>
      </c>
      <c r="C453" s="5">
        <v>171</v>
      </c>
    </row>
    <row r="454" spans="1:3">
      <c r="A454" s="68">
        <v>36977.732638888891</v>
      </c>
      <c r="B454" s="6">
        <v>3.2407407407407402E-3</v>
      </c>
      <c r="C454" s="5">
        <v>172</v>
      </c>
    </row>
    <row r="455" spans="1:3">
      <c r="A455" s="68">
        <v>36977.732638888891</v>
      </c>
      <c r="B455" s="6">
        <v>3.2986111111111098E-3</v>
      </c>
      <c r="C455" s="5">
        <v>173</v>
      </c>
    </row>
    <row r="456" spans="1:3">
      <c r="A456" s="68">
        <v>36977.732638888891</v>
      </c>
      <c r="B456" s="6">
        <v>3.3564814814814798E-3</v>
      </c>
      <c r="C456" s="5">
        <v>174</v>
      </c>
    </row>
    <row r="457" spans="1:3">
      <c r="A457" s="68">
        <v>36977.732638888891</v>
      </c>
      <c r="B457" s="6">
        <v>3.4143518518518498E-3</v>
      </c>
      <c r="C457" s="5">
        <v>174</v>
      </c>
    </row>
    <row r="458" spans="1:3">
      <c r="A458" s="68">
        <v>36977.732638888891</v>
      </c>
      <c r="B458" s="6">
        <v>3.4722222222222199E-3</v>
      </c>
      <c r="C458" s="5">
        <v>174</v>
      </c>
    </row>
    <row r="459" spans="1:3">
      <c r="A459" s="68">
        <v>36977.732638888891</v>
      </c>
      <c r="B459" s="6">
        <v>3.5300925925925899E-3</v>
      </c>
      <c r="C459" s="5">
        <v>174</v>
      </c>
    </row>
    <row r="460" spans="1:3">
      <c r="A460" s="68">
        <v>36977.732638888891</v>
      </c>
      <c r="B460" s="6">
        <v>3.5879629629629599E-3</v>
      </c>
      <c r="C460" s="5">
        <v>175</v>
      </c>
    </row>
    <row r="461" spans="1:3">
      <c r="A461" s="68">
        <v>36977.732638888891</v>
      </c>
      <c r="B461" s="6">
        <v>3.6458333333333299E-3</v>
      </c>
      <c r="C461" s="5">
        <v>175</v>
      </c>
    </row>
    <row r="462" spans="1:3">
      <c r="A462" s="68">
        <v>36977.732638888891</v>
      </c>
      <c r="B462" s="6">
        <v>3.7037037037036999E-3</v>
      </c>
      <c r="C462" s="5">
        <v>174</v>
      </c>
    </row>
    <row r="463" spans="1:3">
      <c r="A463" s="68">
        <v>36977.732638888891</v>
      </c>
      <c r="B463" s="6">
        <v>3.76157407407407E-3</v>
      </c>
      <c r="C463" s="5">
        <v>174</v>
      </c>
    </row>
    <row r="464" spans="1:3">
      <c r="A464" s="68">
        <v>36977.732638888891</v>
      </c>
      <c r="B464" s="6">
        <v>3.81944444444444E-3</v>
      </c>
      <c r="C464" s="5">
        <v>174</v>
      </c>
    </row>
    <row r="465" spans="1:3">
      <c r="A465" s="68">
        <v>36977.732638888891</v>
      </c>
      <c r="B465" s="6">
        <v>3.87731481481481E-3</v>
      </c>
      <c r="C465" s="5">
        <v>175</v>
      </c>
    </row>
    <row r="466" spans="1:3">
      <c r="A466" s="68">
        <v>36977.732638888891</v>
      </c>
      <c r="B466" s="6">
        <v>3.9351851851851796E-3</v>
      </c>
      <c r="C466" s="5">
        <v>175</v>
      </c>
    </row>
    <row r="467" spans="1:3">
      <c r="A467" s="68">
        <v>36977.732638888891</v>
      </c>
      <c r="B467" s="6">
        <v>3.99305555555555E-3</v>
      </c>
      <c r="C467" s="5">
        <v>175</v>
      </c>
    </row>
    <row r="468" spans="1:3">
      <c r="A468" s="68">
        <v>36977.732638888891</v>
      </c>
      <c r="B468" s="6">
        <v>4.0509259259259196E-3</v>
      </c>
      <c r="C468" s="5">
        <v>175</v>
      </c>
    </row>
    <row r="469" spans="1:3">
      <c r="A469" s="68">
        <v>36977.732638888891</v>
      </c>
      <c r="B469" s="6">
        <v>4.1087962962962901E-3</v>
      </c>
      <c r="C469" s="5">
        <v>175</v>
      </c>
    </row>
    <row r="470" spans="1:3">
      <c r="A470" s="68">
        <v>36977.732638888891</v>
      </c>
      <c r="B470" s="6">
        <v>4.1666666666666597E-3</v>
      </c>
      <c r="C470" s="5">
        <v>176</v>
      </c>
    </row>
    <row r="471" spans="1:3">
      <c r="A471" s="68">
        <v>36977.732638888891</v>
      </c>
      <c r="B471" s="6">
        <v>4.2245370370370301E-3</v>
      </c>
      <c r="C471" s="5">
        <v>176</v>
      </c>
    </row>
    <row r="472" spans="1:3">
      <c r="A472" s="68">
        <v>36977.732638888891</v>
      </c>
      <c r="B472" s="6">
        <v>4.2824074074073997E-3</v>
      </c>
      <c r="C472" s="5">
        <v>176</v>
      </c>
    </row>
    <row r="473" spans="1:3">
      <c r="A473" s="68">
        <v>36977.732638888891</v>
      </c>
      <c r="B473" s="6">
        <v>4.3402777777777702E-3</v>
      </c>
      <c r="C473" s="5">
        <v>176</v>
      </c>
    </row>
    <row r="474" spans="1:3">
      <c r="A474" s="68">
        <v>36977.732638888891</v>
      </c>
      <c r="B474" s="6">
        <v>4.3981481481481398E-3</v>
      </c>
      <c r="C474" s="5">
        <v>176</v>
      </c>
    </row>
    <row r="475" spans="1:3">
      <c r="A475" s="68">
        <v>36977.732638888891</v>
      </c>
      <c r="B475" s="6">
        <v>4.4560185185185102E-3</v>
      </c>
      <c r="C475" s="5">
        <v>176</v>
      </c>
    </row>
    <row r="476" spans="1:3">
      <c r="A476" s="68">
        <v>36977.732638888891</v>
      </c>
      <c r="B476" s="6">
        <v>4.5138888888888798E-3</v>
      </c>
      <c r="C476" s="5">
        <v>176</v>
      </c>
    </row>
    <row r="477" spans="1:3">
      <c r="A477" s="68">
        <v>36977.732638888891</v>
      </c>
      <c r="B477" s="6">
        <v>4.5717592592592502E-3</v>
      </c>
      <c r="C477" s="5">
        <v>176</v>
      </c>
    </row>
    <row r="478" spans="1:3">
      <c r="A478" s="68">
        <v>36977.732638888891</v>
      </c>
      <c r="B478" s="6">
        <v>4.6296296296296198E-3</v>
      </c>
      <c r="C478" s="5">
        <v>176</v>
      </c>
    </row>
    <row r="479" spans="1:3">
      <c r="A479" s="68">
        <v>36977.732638888891</v>
      </c>
      <c r="B479" s="6">
        <v>4.6874999999999903E-3</v>
      </c>
      <c r="C479" s="5">
        <v>176</v>
      </c>
    </row>
    <row r="480" spans="1:3">
      <c r="A480" s="68">
        <v>36977.732638888891</v>
      </c>
      <c r="B480" s="6">
        <v>4.7453703703703599E-3</v>
      </c>
      <c r="C480" s="5">
        <v>175</v>
      </c>
    </row>
    <row r="481" spans="1:3">
      <c r="A481" s="68">
        <v>36977.732638888891</v>
      </c>
      <c r="B481" s="6">
        <v>4.8032407407407303E-3</v>
      </c>
      <c r="C481" s="5">
        <v>176</v>
      </c>
    </row>
    <row r="482" spans="1:3">
      <c r="A482" s="68">
        <v>36977.732638888891</v>
      </c>
      <c r="B482" s="6">
        <v>4.8611111111110999E-3</v>
      </c>
      <c r="C482" s="5">
        <v>177</v>
      </c>
    </row>
    <row r="483" spans="1:3">
      <c r="A483" s="68">
        <v>36977.732638888891</v>
      </c>
      <c r="B483" s="6">
        <v>4.9189814814814704E-3</v>
      </c>
      <c r="C483" s="5">
        <v>176</v>
      </c>
    </row>
    <row r="484" spans="1:3">
      <c r="A484" s="68">
        <v>36977.732638888891</v>
      </c>
      <c r="B484" s="6">
        <v>4.97685185185184E-3</v>
      </c>
      <c r="C484" s="5">
        <v>177</v>
      </c>
    </row>
    <row r="485" spans="1:3">
      <c r="A485" s="68">
        <v>36977.732638888891</v>
      </c>
      <c r="B485" s="6">
        <v>5.0347222222222104E-3</v>
      </c>
      <c r="C485" s="5">
        <v>177</v>
      </c>
    </row>
    <row r="486" spans="1:3">
      <c r="A486" s="68">
        <v>36977.732638888891</v>
      </c>
      <c r="B486" s="6">
        <v>5.09259259259258E-3</v>
      </c>
      <c r="C486" s="5">
        <v>177</v>
      </c>
    </row>
    <row r="487" spans="1:3">
      <c r="A487" s="68">
        <v>36977.732638888891</v>
      </c>
      <c r="B487" s="6">
        <v>5.1504629629629496E-3</v>
      </c>
      <c r="C487" s="5">
        <v>177</v>
      </c>
    </row>
    <row r="488" spans="1:3">
      <c r="A488" s="68">
        <v>36977.732638888891</v>
      </c>
      <c r="B488" s="6">
        <v>5.20833333333332E-3</v>
      </c>
      <c r="C488" s="5">
        <v>177</v>
      </c>
    </row>
    <row r="489" spans="1:3">
      <c r="A489" s="68">
        <v>36977.732638888891</v>
      </c>
      <c r="B489" s="6">
        <v>5.2662037037036896E-3</v>
      </c>
      <c r="C489" s="5">
        <v>177</v>
      </c>
    </row>
    <row r="490" spans="1:3">
      <c r="A490" s="68">
        <v>36977.732638888891</v>
      </c>
      <c r="B490" s="6">
        <v>5.3240740740740601E-3</v>
      </c>
      <c r="C490" s="5">
        <v>177</v>
      </c>
    </row>
    <row r="491" spans="1:3">
      <c r="A491" s="68">
        <v>36977.732638888891</v>
      </c>
      <c r="B491" s="6">
        <v>5.3819444444444297E-3</v>
      </c>
      <c r="C491" s="5">
        <v>178</v>
      </c>
    </row>
    <row r="492" spans="1:3">
      <c r="A492" s="68">
        <v>36977.732638888891</v>
      </c>
      <c r="B492" s="6">
        <v>5.4398148148148001E-3</v>
      </c>
      <c r="C492" s="5">
        <v>178</v>
      </c>
    </row>
    <row r="493" spans="1:3">
      <c r="A493" s="68">
        <v>36977.732638888891</v>
      </c>
      <c r="B493" s="6">
        <v>5.4976851851851697E-3</v>
      </c>
      <c r="C493" s="5">
        <v>178</v>
      </c>
    </row>
    <row r="494" spans="1:3">
      <c r="A494" s="68">
        <v>36977.732638888891</v>
      </c>
      <c r="B494" s="6">
        <v>5.5555555555555402E-3</v>
      </c>
      <c r="C494" s="5">
        <v>178</v>
      </c>
    </row>
    <row r="495" spans="1:3">
      <c r="A495" s="68">
        <v>36977.732638888891</v>
      </c>
      <c r="B495" s="6">
        <v>5.6134259259259097E-3</v>
      </c>
      <c r="C495" s="5">
        <v>178</v>
      </c>
    </row>
    <row r="496" spans="1:3">
      <c r="A496" s="68">
        <v>36977.732638888891</v>
      </c>
      <c r="B496" s="6">
        <v>5.6712962962962802E-3</v>
      </c>
      <c r="C496" s="5">
        <v>177</v>
      </c>
    </row>
    <row r="497" spans="1:3">
      <c r="A497" s="68">
        <v>36977.732638888891</v>
      </c>
      <c r="B497" s="6">
        <v>5.7291666666666402E-3</v>
      </c>
      <c r="C497" s="5">
        <v>177</v>
      </c>
    </row>
    <row r="498" spans="1:3">
      <c r="A498" s="68">
        <v>36977.732638888891</v>
      </c>
      <c r="B498" s="6">
        <v>5.7870370370370202E-3</v>
      </c>
      <c r="C498" s="5">
        <v>176</v>
      </c>
    </row>
    <row r="499" spans="1:3">
      <c r="A499" s="68">
        <v>36977.732638888891</v>
      </c>
      <c r="B499" s="6">
        <v>5.8449074074073803E-3</v>
      </c>
      <c r="C499" s="5">
        <v>176</v>
      </c>
    </row>
    <row r="500" spans="1:3">
      <c r="A500" s="68">
        <v>36977.732638888891</v>
      </c>
      <c r="B500" s="6">
        <v>5.9027777777777499E-3</v>
      </c>
      <c r="C500" s="5">
        <v>177</v>
      </c>
    </row>
    <row r="501" spans="1:3">
      <c r="A501" s="68">
        <v>36977.732638888891</v>
      </c>
      <c r="B501" s="6">
        <v>5.9606481481481203E-3</v>
      </c>
      <c r="C501" s="5">
        <v>177</v>
      </c>
    </row>
    <row r="502" spans="1:3">
      <c r="A502" s="68">
        <v>36977.732638888891</v>
      </c>
      <c r="B502" s="6">
        <v>6.0185185185184899E-3</v>
      </c>
      <c r="C502" s="5">
        <v>178</v>
      </c>
    </row>
    <row r="503" spans="1:3">
      <c r="A503" s="68">
        <v>36977.732638888891</v>
      </c>
      <c r="B503" s="6">
        <v>6.0763888888888604E-3</v>
      </c>
      <c r="C503" s="5">
        <v>179</v>
      </c>
    </row>
    <row r="504" spans="1:3">
      <c r="A504" s="68">
        <v>36977.732638888891</v>
      </c>
      <c r="B504" s="6">
        <v>6.1342592592592299E-3</v>
      </c>
      <c r="C504" s="5">
        <v>179</v>
      </c>
    </row>
    <row r="505" spans="1:3">
      <c r="A505" s="68">
        <v>36977.732638888891</v>
      </c>
      <c r="B505" s="6">
        <v>6.1921296296296004E-3</v>
      </c>
      <c r="C505" s="5">
        <v>179</v>
      </c>
    </row>
    <row r="506" spans="1:3">
      <c r="A506" s="68">
        <v>36977.732638888891</v>
      </c>
      <c r="B506" s="6">
        <v>6.24999999999997E-3</v>
      </c>
      <c r="C506" s="5">
        <v>179</v>
      </c>
    </row>
    <row r="507" spans="1:3">
      <c r="A507" s="68">
        <v>36977.732638888891</v>
      </c>
      <c r="B507" s="6">
        <v>6.3078703703703396E-3</v>
      </c>
      <c r="C507" s="5">
        <v>179</v>
      </c>
    </row>
    <row r="508" spans="1:3">
      <c r="A508" s="68">
        <v>36977.732638888891</v>
      </c>
      <c r="B508" s="6">
        <v>6.36574074074071E-3</v>
      </c>
      <c r="C508" s="5">
        <v>179</v>
      </c>
    </row>
    <row r="509" spans="1:3">
      <c r="A509" s="68">
        <v>36977.732638888891</v>
      </c>
      <c r="B509" s="6">
        <v>6.4236111111110796E-3</v>
      </c>
      <c r="C509" s="5">
        <v>178</v>
      </c>
    </row>
    <row r="510" spans="1:3">
      <c r="A510" s="68">
        <v>36977.732638888891</v>
      </c>
      <c r="B510" s="6">
        <v>6.4814814814814501E-3</v>
      </c>
      <c r="C510" s="5">
        <v>177</v>
      </c>
    </row>
    <row r="511" spans="1:3">
      <c r="A511" s="68">
        <v>36977.732638888891</v>
      </c>
      <c r="B511" s="6">
        <v>6.5393518518518197E-3</v>
      </c>
      <c r="C511" s="5">
        <v>177</v>
      </c>
    </row>
    <row r="512" spans="1:3">
      <c r="A512" s="68">
        <v>36977.732638888891</v>
      </c>
      <c r="B512" s="6">
        <v>6.5972222222221901E-3</v>
      </c>
      <c r="C512" s="5">
        <v>177</v>
      </c>
    </row>
    <row r="513" spans="1:3">
      <c r="A513" s="68">
        <v>36977.732638888891</v>
      </c>
      <c r="B513" s="6">
        <v>6.6550925925925597E-3</v>
      </c>
      <c r="C513" s="5">
        <v>175</v>
      </c>
    </row>
    <row r="514" spans="1:3">
      <c r="A514" s="68">
        <v>36977.732638888891</v>
      </c>
      <c r="B514" s="6">
        <v>6.7129629629629302E-3</v>
      </c>
      <c r="C514" s="5">
        <v>176</v>
      </c>
    </row>
    <row r="515" spans="1:3">
      <c r="A515" s="68">
        <v>36977.732638888891</v>
      </c>
      <c r="B515" s="6">
        <v>6.7708333333332997E-3</v>
      </c>
      <c r="C515" s="5">
        <v>176</v>
      </c>
    </row>
    <row r="516" spans="1:3">
      <c r="A516" s="68">
        <v>36977.732638888891</v>
      </c>
      <c r="B516" s="6">
        <v>6.8287037037036702E-3</v>
      </c>
      <c r="C516" s="5">
        <v>176</v>
      </c>
    </row>
    <row r="517" spans="1:3">
      <c r="A517" s="68">
        <v>36977.732638888891</v>
      </c>
      <c r="B517" s="6">
        <v>6.8865740740740398E-3</v>
      </c>
      <c r="C517" s="5">
        <v>177</v>
      </c>
    </row>
    <row r="518" spans="1:3">
      <c r="A518" s="68">
        <v>36977.732638888891</v>
      </c>
      <c r="B518" s="6">
        <v>6.9444444444444102E-3</v>
      </c>
      <c r="C518" s="5">
        <v>178</v>
      </c>
    </row>
    <row r="519" spans="1:3">
      <c r="A519" s="68">
        <v>36977.732638888891</v>
      </c>
      <c r="B519" s="6">
        <v>7.0023148148147798E-3</v>
      </c>
      <c r="C519" s="5">
        <v>178</v>
      </c>
    </row>
    <row r="520" spans="1:3">
      <c r="A520" s="68">
        <v>36977.732638888891</v>
      </c>
      <c r="B520" s="6">
        <v>7.0601851851851503E-3</v>
      </c>
      <c r="C520" s="5">
        <v>178</v>
      </c>
    </row>
    <row r="521" spans="1:3">
      <c r="A521" s="68">
        <v>36977.732638888891</v>
      </c>
      <c r="B521" s="6">
        <v>7.1180555555555199E-3</v>
      </c>
      <c r="C521" s="5">
        <v>179</v>
      </c>
    </row>
    <row r="522" spans="1:3">
      <c r="A522" s="68">
        <v>36977.732638888891</v>
      </c>
      <c r="B522" s="6">
        <v>7.1759259259258903E-3</v>
      </c>
      <c r="C522" s="5">
        <v>179</v>
      </c>
    </row>
    <row r="523" spans="1:3">
      <c r="A523" s="68">
        <v>36977.732638888891</v>
      </c>
      <c r="B523" s="6">
        <v>7.2337962962962504E-3</v>
      </c>
      <c r="C523" s="5">
        <v>179</v>
      </c>
    </row>
    <row r="524" spans="1:3">
      <c r="A524" s="68">
        <v>36977.732638888891</v>
      </c>
      <c r="B524" s="6">
        <v>7.2916666666666199E-3</v>
      </c>
      <c r="C524" s="5">
        <v>179</v>
      </c>
    </row>
    <row r="525" spans="1:3">
      <c r="A525" s="68">
        <v>36977.732638888891</v>
      </c>
      <c r="B525" s="6">
        <v>7.3495370370369904E-3</v>
      </c>
      <c r="C525" s="5">
        <v>178</v>
      </c>
    </row>
    <row r="526" spans="1:3">
      <c r="A526" s="68">
        <v>36977.732638888891</v>
      </c>
      <c r="B526" s="6">
        <v>7.40740740740736E-3</v>
      </c>
      <c r="C526" s="5">
        <v>177</v>
      </c>
    </row>
    <row r="527" spans="1:3">
      <c r="A527" s="68">
        <v>36977.732638888891</v>
      </c>
      <c r="B527" s="6">
        <v>7.4652777777777296E-3</v>
      </c>
      <c r="C527" s="5">
        <v>176</v>
      </c>
    </row>
    <row r="528" spans="1:3">
      <c r="A528" s="68">
        <v>36977.732638888891</v>
      </c>
      <c r="B528" s="6">
        <v>7.5231481481481E-3</v>
      </c>
      <c r="C528" s="5">
        <v>176</v>
      </c>
    </row>
    <row r="529" spans="1:3">
      <c r="A529" s="68">
        <v>36977.732638888891</v>
      </c>
      <c r="B529" s="6">
        <v>7.5810185185184696E-3</v>
      </c>
      <c r="C529" s="5">
        <v>175</v>
      </c>
    </row>
    <row r="530" spans="1:3">
      <c r="A530" s="68">
        <v>36977.732638888891</v>
      </c>
      <c r="B530" s="6">
        <v>7.6388888888888401E-3</v>
      </c>
      <c r="C530" s="5">
        <v>175</v>
      </c>
    </row>
    <row r="531" spans="1:3">
      <c r="A531" s="68">
        <v>36977.732638888891</v>
      </c>
      <c r="B531" s="6">
        <v>7.6967592592592097E-3</v>
      </c>
      <c r="C531" s="5">
        <v>176</v>
      </c>
    </row>
    <row r="532" spans="1:3">
      <c r="A532" s="68">
        <v>36977.732638888891</v>
      </c>
      <c r="B532" s="6">
        <v>7.7546296296295801E-3</v>
      </c>
      <c r="C532" s="5">
        <v>177</v>
      </c>
    </row>
    <row r="533" spans="1:3">
      <c r="A533" s="68">
        <v>36977.732638888891</v>
      </c>
      <c r="B533" s="6">
        <v>7.8124999999999497E-3</v>
      </c>
      <c r="C533" s="5">
        <v>178</v>
      </c>
    </row>
    <row r="534" spans="1:3">
      <c r="A534" s="68">
        <v>36977.732638888891</v>
      </c>
      <c r="B534" s="6">
        <v>7.8703703703703193E-3</v>
      </c>
      <c r="C534" s="5">
        <v>178</v>
      </c>
    </row>
    <row r="535" spans="1:3">
      <c r="A535" s="68">
        <v>36977.732638888891</v>
      </c>
      <c r="B535" s="6">
        <v>7.9282407407406906E-3</v>
      </c>
      <c r="C535" s="5">
        <v>179</v>
      </c>
    </row>
    <row r="536" spans="1:3">
      <c r="A536" s="68">
        <v>36977.732638888891</v>
      </c>
      <c r="B536" s="6">
        <v>7.9861111111110602E-3</v>
      </c>
      <c r="C536" s="5">
        <v>178</v>
      </c>
    </row>
    <row r="537" spans="1:3">
      <c r="A537" s="68">
        <v>36977.732638888891</v>
      </c>
      <c r="B537" s="6">
        <v>8.0439814814814298E-3</v>
      </c>
      <c r="C537" s="5">
        <v>178</v>
      </c>
    </row>
    <row r="538" spans="1:3">
      <c r="A538" s="68">
        <v>36977.732638888891</v>
      </c>
      <c r="B538" s="6">
        <v>8.1018518518517994E-3</v>
      </c>
      <c r="C538" s="5">
        <v>177</v>
      </c>
    </row>
    <row r="539" spans="1:3">
      <c r="A539" s="68">
        <v>36977.732638888891</v>
      </c>
      <c r="B539" s="6">
        <v>8.1597222222221707E-3</v>
      </c>
      <c r="C539" s="5">
        <v>178</v>
      </c>
    </row>
    <row r="540" spans="1:3">
      <c r="A540" s="68">
        <v>36977.732638888891</v>
      </c>
      <c r="B540" s="6">
        <v>8.2175925925925403E-3</v>
      </c>
      <c r="C540" s="5">
        <v>179</v>
      </c>
    </row>
    <row r="541" spans="1:3">
      <c r="A541" s="68">
        <v>36977.732638888891</v>
      </c>
      <c r="B541" s="6">
        <v>8.2754629629629099E-3</v>
      </c>
      <c r="C541" s="5">
        <v>179</v>
      </c>
    </row>
    <row r="542" spans="1:3">
      <c r="A542" s="68">
        <v>36977.732638888891</v>
      </c>
      <c r="B542" s="6">
        <v>8.3333333333332794E-3</v>
      </c>
      <c r="C542" s="5">
        <v>180</v>
      </c>
    </row>
    <row r="543" spans="1:3">
      <c r="A543" s="68">
        <v>36977.732638888891</v>
      </c>
      <c r="B543" s="6">
        <v>8.3912037037036508E-3</v>
      </c>
      <c r="C543" s="5">
        <v>180</v>
      </c>
    </row>
    <row r="544" spans="1:3">
      <c r="A544" s="68">
        <v>36977.732638888891</v>
      </c>
      <c r="B544" s="6">
        <v>8.4490740740740203E-3</v>
      </c>
      <c r="C544" s="5">
        <v>180</v>
      </c>
    </row>
    <row r="545" spans="1:3">
      <c r="A545" s="68">
        <v>36977.732638888891</v>
      </c>
      <c r="B545" s="6">
        <v>8.5069444444443899E-3</v>
      </c>
      <c r="C545" s="5">
        <v>181</v>
      </c>
    </row>
    <row r="546" spans="1:3">
      <c r="A546" s="68">
        <v>36977.732638888891</v>
      </c>
      <c r="B546" s="6">
        <v>8.5648148148147595E-3</v>
      </c>
      <c r="C546" s="5">
        <v>181</v>
      </c>
    </row>
    <row r="547" spans="1:3">
      <c r="A547" s="68">
        <v>36977.732638888891</v>
      </c>
      <c r="B547" s="6">
        <v>8.6226851851851204E-3</v>
      </c>
      <c r="C547" s="5">
        <v>181</v>
      </c>
    </row>
    <row r="548" spans="1:3">
      <c r="A548" s="68">
        <v>36977.732638888891</v>
      </c>
      <c r="B548" s="6">
        <v>8.68055555555549E-3</v>
      </c>
      <c r="C548" s="5">
        <v>182</v>
      </c>
    </row>
    <row r="549" spans="1:3">
      <c r="A549" s="68">
        <v>36977.732638888891</v>
      </c>
      <c r="B549" s="6">
        <v>8.7384259259258596E-3</v>
      </c>
      <c r="C549" s="5">
        <v>182</v>
      </c>
    </row>
    <row r="550" spans="1:3">
      <c r="A550" s="68">
        <v>36977.732638888891</v>
      </c>
      <c r="B550" s="6">
        <v>8.7962962962962292E-3</v>
      </c>
      <c r="C550" s="5">
        <v>182</v>
      </c>
    </row>
    <row r="551" spans="1:3">
      <c r="A551" s="68">
        <v>36977.732638888891</v>
      </c>
      <c r="B551" s="6">
        <v>8.8541666666666005E-3</v>
      </c>
      <c r="C551" s="5">
        <v>182</v>
      </c>
    </row>
    <row r="552" spans="1:3">
      <c r="A552" s="68">
        <v>36977.732638888891</v>
      </c>
      <c r="B552" s="6">
        <v>8.9120370370369701E-3</v>
      </c>
      <c r="C552" s="5">
        <v>182</v>
      </c>
    </row>
    <row r="553" spans="1:3">
      <c r="A553" s="68">
        <v>36977.732638888891</v>
      </c>
      <c r="B553" s="6">
        <v>8.9699074074073397E-3</v>
      </c>
      <c r="C553" s="5">
        <v>182</v>
      </c>
    </row>
    <row r="554" spans="1:3">
      <c r="A554" s="68">
        <v>36977.732638888891</v>
      </c>
      <c r="B554" s="6">
        <v>9.0277777777777093E-3</v>
      </c>
      <c r="C554" s="5">
        <v>182</v>
      </c>
    </row>
    <row r="555" spans="1:3">
      <c r="A555" s="68">
        <v>36977.732638888891</v>
      </c>
      <c r="B555" s="6">
        <v>9.0856481481480806E-3</v>
      </c>
      <c r="C555" s="5">
        <v>181</v>
      </c>
    </row>
    <row r="556" spans="1:3">
      <c r="A556" s="68">
        <v>36977.732638888891</v>
      </c>
      <c r="B556" s="6">
        <v>9.1435185185184502E-3</v>
      </c>
      <c r="C556" s="5">
        <v>181</v>
      </c>
    </row>
    <row r="557" spans="1:3">
      <c r="A557" s="68">
        <v>36977.732638888891</v>
      </c>
      <c r="B557" s="6">
        <v>9.2013888888888198E-3</v>
      </c>
      <c r="C557" s="5">
        <v>181</v>
      </c>
    </row>
    <row r="558" spans="1:3">
      <c r="A558" s="68">
        <v>36977.732638888891</v>
      </c>
      <c r="B558" s="6">
        <v>9.2592592592591894E-3</v>
      </c>
      <c r="C558" s="5">
        <v>180</v>
      </c>
    </row>
    <row r="559" spans="1:3">
      <c r="A559" s="68">
        <v>36977.732638888891</v>
      </c>
      <c r="B559" s="6">
        <v>9.3171296296295607E-3</v>
      </c>
      <c r="C559" s="5">
        <v>180</v>
      </c>
    </row>
    <row r="560" spans="1:3">
      <c r="A560" s="68">
        <v>36977.732638888891</v>
      </c>
      <c r="B560" s="6">
        <v>9.3749999999999303E-3</v>
      </c>
      <c r="C560" s="5">
        <v>179</v>
      </c>
    </row>
    <row r="561" spans="1:3">
      <c r="A561" s="68">
        <v>36977.732638888891</v>
      </c>
      <c r="B561" s="6">
        <v>9.4328703703702999E-3</v>
      </c>
      <c r="C561" s="5">
        <v>180</v>
      </c>
    </row>
    <row r="562" spans="1:3">
      <c r="A562" s="68">
        <v>36977.732638888891</v>
      </c>
      <c r="B562" s="6">
        <v>9.4907407407406694E-3</v>
      </c>
      <c r="C562" s="5">
        <v>180</v>
      </c>
    </row>
    <row r="563" spans="1:3">
      <c r="A563" s="68">
        <v>36977.732638888891</v>
      </c>
      <c r="B563" s="6">
        <v>9.5486111111110408E-3</v>
      </c>
      <c r="C563" s="5">
        <v>180</v>
      </c>
    </row>
    <row r="564" spans="1:3">
      <c r="A564" s="68">
        <v>36977.732638888891</v>
      </c>
      <c r="B564" s="6">
        <v>9.6064814814814103E-3</v>
      </c>
      <c r="C564" s="5">
        <v>180</v>
      </c>
    </row>
    <row r="565" spans="1:3">
      <c r="A565" s="68">
        <v>36977.732638888891</v>
      </c>
      <c r="B565" s="6">
        <v>9.6643518518517799E-3</v>
      </c>
      <c r="C565" s="5">
        <v>180</v>
      </c>
    </row>
    <row r="566" spans="1:3">
      <c r="A566" s="68">
        <v>36977.732638888891</v>
      </c>
      <c r="B566" s="6">
        <v>9.7222222222221495E-3</v>
      </c>
      <c r="C566" s="5">
        <v>181</v>
      </c>
    </row>
    <row r="567" spans="1:3">
      <c r="A567" s="68">
        <v>36977.732638888891</v>
      </c>
      <c r="B567" s="6">
        <v>9.7800925925925208E-3</v>
      </c>
      <c r="C567" s="5">
        <v>180</v>
      </c>
    </row>
    <row r="568" spans="1:3">
      <c r="A568" s="68">
        <v>36977.732638888891</v>
      </c>
      <c r="B568" s="6">
        <v>9.8379629629628904E-3</v>
      </c>
      <c r="C568" s="5">
        <v>180</v>
      </c>
    </row>
    <row r="569" spans="1:3">
      <c r="A569" s="68">
        <v>36977.732638888891</v>
      </c>
      <c r="B569" s="6">
        <v>9.89583333333326E-3</v>
      </c>
      <c r="C569" s="5">
        <v>180</v>
      </c>
    </row>
    <row r="570" spans="1:3">
      <c r="A570" s="68">
        <v>36977.732638888891</v>
      </c>
      <c r="B570" s="6">
        <v>9.9537037037036296E-3</v>
      </c>
      <c r="C570" s="5">
        <v>181</v>
      </c>
    </row>
    <row r="571" spans="1:3">
      <c r="A571" s="68">
        <v>36977.732638888891</v>
      </c>
      <c r="B571" s="6">
        <v>1.0011574074073999E-2</v>
      </c>
      <c r="C571" s="5">
        <v>181</v>
      </c>
    </row>
    <row r="572" spans="1:3">
      <c r="A572" s="68">
        <v>36977.732638888891</v>
      </c>
      <c r="B572" s="6">
        <v>1.00694444444444E-2</v>
      </c>
      <c r="C572" s="5">
        <v>181</v>
      </c>
    </row>
    <row r="573" spans="1:3">
      <c r="A573" s="68">
        <v>36977.732638888891</v>
      </c>
      <c r="B573" s="6">
        <v>1.01273148148147E-2</v>
      </c>
      <c r="C573" s="5">
        <v>180</v>
      </c>
    </row>
    <row r="574" spans="1:3">
      <c r="A574" s="68">
        <v>36977.732638888891</v>
      </c>
      <c r="B574" s="6">
        <v>1.0185185185185099E-2</v>
      </c>
      <c r="C574" s="5">
        <v>181</v>
      </c>
    </row>
    <row r="575" spans="1:3">
      <c r="A575" s="68">
        <v>36977.732638888891</v>
      </c>
      <c r="B575" s="6">
        <v>1.02430555555555E-2</v>
      </c>
      <c r="C575" s="5">
        <v>181</v>
      </c>
    </row>
    <row r="576" spans="1:3">
      <c r="A576" s="68">
        <v>36977.732638888891</v>
      </c>
      <c r="B576" s="6">
        <v>1.03009259259258E-2</v>
      </c>
      <c r="C576" s="5">
        <v>181</v>
      </c>
    </row>
    <row r="577" spans="1:3">
      <c r="A577" s="68">
        <v>36977.732638888891</v>
      </c>
      <c r="B577" s="6">
        <v>1.0358796296296199E-2</v>
      </c>
      <c r="C577" s="5">
        <v>178</v>
      </c>
    </row>
    <row r="578" spans="1:3">
      <c r="A578" s="68">
        <v>36977.732638888891</v>
      </c>
      <c r="B578" s="6">
        <v>1.04166666666666E-2</v>
      </c>
      <c r="C578" s="5">
        <v>179</v>
      </c>
    </row>
    <row r="579" spans="1:3">
      <c r="A579" s="68">
        <v>36977.732638888891</v>
      </c>
      <c r="B579" s="6">
        <v>1.04745370370369E-2</v>
      </c>
      <c r="C579" s="5">
        <v>180</v>
      </c>
    </row>
    <row r="580" spans="1:3">
      <c r="A580" s="68">
        <v>36977.732638888891</v>
      </c>
      <c r="B580" s="6">
        <v>1.0532407407407299E-2</v>
      </c>
      <c r="C580" s="5">
        <v>180</v>
      </c>
    </row>
    <row r="581" spans="1:3">
      <c r="A581" s="68">
        <v>36977.732638888891</v>
      </c>
      <c r="B581" s="6">
        <v>1.05902777777777E-2</v>
      </c>
      <c r="C581" s="5">
        <v>180</v>
      </c>
    </row>
    <row r="582" spans="1:3">
      <c r="A582" s="68">
        <v>36977.732638888891</v>
      </c>
      <c r="B582" s="6">
        <v>1.0648148148148099E-2</v>
      </c>
      <c r="C582" s="5">
        <v>181</v>
      </c>
    </row>
    <row r="583" spans="1:3">
      <c r="A583" s="68">
        <v>36977.732638888891</v>
      </c>
      <c r="B583" s="6">
        <v>1.07060185185184E-2</v>
      </c>
      <c r="C583" s="5">
        <v>180</v>
      </c>
    </row>
    <row r="584" spans="1:3">
      <c r="A584" s="68">
        <v>36977.732638888891</v>
      </c>
      <c r="B584" s="6">
        <v>1.07638888888888E-2</v>
      </c>
      <c r="C584" s="5">
        <v>181</v>
      </c>
    </row>
    <row r="585" spans="1:3">
      <c r="A585" s="68">
        <v>36977.732638888891</v>
      </c>
      <c r="B585" s="6">
        <v>1.0821759259259199E-2</v>
      </c>
      <c r="C585" s="5">
        <v>182</v>
      </c>
    </row>
    <row r="586" spans="1:3">
      <c r="A586" s="68">
        <v>36977.732638888891</v>
      </c>
      <c r="B586" s="6">
        <v>1.08796296296295E-2</v>
      </c>
      <c r="C586" s="5">
        <v>182</v>
      </c>
    </row>
    <row r="587" spans="1:3">
      <c r="A587" s="68">
        <v>36977.732638888891</v>
      </c>
      <c r="B587" s="6">
        <v>1.09374999999999E-2</v>
      </c>
      <c r="C587" s="5">
        <v>182</v>
      </c>
    </row>
    <row r="588" spans="1:3">
      <c r="A588" s="68">
        <v>36977.732638888891</v>
      </c>
      <c r="B588" s="6">
        <v>1.09953703703703E-2</v>
      </c>
      <c r="C588" s="5">
        <v>182</v>
      </c>
    </row>
    <row r="589" spans="1:3">
      <c r="A589" s="68">
        <v>36977.732638888891</v>
      </c>
      <c r="B589" s="6">
        <v>1.10532407407407E-2</v>
      </c>
      <c r="C589" s="5">
        <v>182</v>
      </c>
    </row>
    <row r="590" spans="1:3">
      <c r="A590" s="68">
        <v>36977.732638888891</v>
      </c>
      <c r="B590" s="6">
        <v>1.1111111111111001E-2</v>
      </c>
      <c r="C590" s="5">
        <v>182</v>
      </c>
    </row>
    <row r="591" spans="1:3">
      <c r="A591" s="68">
        <v>36977.732638888891</v>
      </c>
      <c r="B591" s="6">
        <v>1.11689814814814E-2</v>
      </c>
      <c r="C591" s="5">
        <v>182</v>
      </c>
    </row>
    <row r="592" spans="1:3">
      <c r="A592" s="68">
        <v>36977.732638888891</v>
      </c>
      <c r="B592" s="6">
        <v>1.12268518518518E-2</v>
      </c>
      <c r="C592" s="5">
        <v>182</v>
      </c>
    </row>
    <row r="593" spans="1:3">
      <c r="A593" s="68">
        <v>36977.732638888891</v>
      </c>
      <c r="B593" s="6">
        <v>1.1284722222222101E-2</v>
      </c>
      <c r="C593" s="5">
        <v>182</v>
      </c>
    </row>
    <row r="594" spans="1:3">
      <c r="A594" s="68">
        <v>36977.732638888891</v>
      </c>
      <c r="B594" s="6">
        <v>1.13425925925925E-2</v>
      </c>
      <c r="C594" s="5">
        <v>182</v>
      </c>
    </row>
    <row r="595" spans="1:3">
      <c r="A595" s="68">
        <v>36977.732638888891</v>
      </c>
      <c r="B595" s="6">
        <v>1.14004629629629E-2</v>
      </c>
      <c r="C595" s="5">
        <v>181</v>
      </c>
    </row>
    <row r="596" spans="1:3">
      <c r="A596" s="68">
        <v>36977.732638888891</v>
      </c>
      <c r="B596" s="6">
        <v>1.1458333333333201E-2</v>
      </c>
      <c r="C596" s="5">
        <v>181</v>
      </c>
    </row>
    <row r="597" spans="1:3">
      <c r="A597" s="68">
        <v>36977.732638888891</v>
      </c>
      <c r="B597" s="6">
        <v>1.15162037037036E-2</v>
      </c>
      <c r="C597" s="5">
        <v>181</v>
      </c>
    </row>
    <row r="598" spans="1:3">
      <c r="A598" s="68">
        <v>36977.732638888891</v>
      </c>
      <c r="B598" s="6">
        <v>1.1574074074074001E-2</v>
      </c>
      <c r="C598" s="5">
        <v>181</v>
      </c>
    </row>
    <row r="599" spans="1:3">
      <c r="A599" s="68">
        <v>36977.732638888891</v>
      </c>
      <c r="B599" s="6">
        <v>1.1631944444444301E-2</v>
      </c>
      <c r="C599" s="5">
        <v>181</v>
      </c>
    </row>
    <row r="600" spans="1:3">
      <c r="A600" s="68">
        <v>36977.732638888891</v>
      </c>
      <c r="B600" s="6">
        <v>1.16898148148147E-2</v>
      </c>
      <c r="C600" s="5">
        <v>181</v>
      </c>
    </row>
    <row r="601" spans="1:3">
      <c r="A601" s="68">
        <v>36977.732638888891</v>
      </c>
      <c r="B601" s="6">
        <v>1.1747685185185101E-2</v>
      </c>
      <c r="C601" s="5">
        <v>180</v>
      </c>
    </row>
    <row r="602" spans="1:3">
      <c r="A602" s="68">
        <v>36977.732638888891</v>
      </c>
      <c r="B602" s="6">
        <v>1.18055555555555E-2</v>
      </c>
      <c r="C602" s="5">
        <v>180</v>
      </c>
    </row>
    <row r="603" spans="1:3">
      <c r="A603" s="68">
        <v>36977.732638888891</v>
      </c>
      <c r="B603" s="6">
        <v>1.18634259259258E-2</v>
      </c>
      <c r="C603" s="5">
        <v>179</v>
      </c>
    </row>
    <row r="604" spans="1:3">
      <c r="A604" s="68">
        <v>36977.732638888891</v>
      </c>
      <c r="B604" s="6">
        <v>1.1921296296296201E-2</v>
      </c>
      <c r="C604" s="5">
        <v>180</v>
      </c>
    </row>
    <row r="605" spans="1:3">
      <c r="A605" s="68">
        <v>36977.732638888891</v>
      </c>
      <c r="B605" s="6">
        <v>1.19791666666666E-2</v>
      </c>
      <c r="C605" s="5">
        <v>180</v>
      </c>
    </row>
    <row r="606" spans="1:3">
      <c r="A606" s="68">
        <v>36977.732638888891</v>
      </c>
      <c r="B606" s="6">
        <v>1.20370370370369E-2</v>
      </c>
      <c r="C606" s="5">
        <v>180</v>
      </c>
    </row>
    <row r="607" spans="1:3">
      <c r="A607" s="68">
        <v>36977.732638888891</v>
      </c>
      <c r="B607" s="6">
        <v>1.2094907407407301E-2</v>
      </c>
      <c r="C607" s="5">
        <v>180</v>
      </c>
    </row>
    <row r="608" spans="1:3">
      <c r="A608" s="68">
        <v>36977.732638888891</v>
      </c>
      <c r="B608" s="6">
        <v>1.21527777777777E-2</v>
      </c>
      <c r="C608" s="5">
        <v>179</v>
      </c>
    </row>
    <row r="609" spans="1:3">
      <c r="A609" s="68">
        <v>36977.732638888891</v>
      </c>
      <c r="B609" s="6">
        <v>1.2210648148148E-2</v>
      </c>
      <c r="C609" s="5">
        <v>180</v>
      </c>
    </row>
    <row r="610" spans="1:3">
      <c r="A610" s="68">
        <v>36977.732638888891</v>
      </c>
      <c r="B610" s="6">
        <v>1.2268518518518399E-2</v>
      </c>
      <c r="C610" s="5">
        <v>180</v>
      </c>
    </row>
    <row r="611" spans="1:3">
      <c r="A611" s="68">
        <v>36977.732638888891</v>
      </c>
      <c r="B611" s="6">
        <v>1.23263888888888E-2</v>
      </c>
      <c r="C611" s="5">
        <v>181</v>
      </c>
    </row>
    <row r="612" spans="1:3">
      <c r="A612" s="68">
        <v>36977.732638888891</v>
      </c>
      <c r="B612" s="6">
        <v>1.2384259259259201E-2</v>
      </c>
      <c r="C612" s="5">
        <v>182</v>
      </c>
    </row>
    <row r="613" spans="1:3">
      <c r="A613" s="68">
        <v>36977.732638888891</v>
      </c>
      <c r="B613" s="6">
        <v>1.2442129629629499E-2</v>
      </c>
      <c r="C613" s="5">
        <v>182</v>
      </c>
    </row>
    <row r="614" spans="1:3">
      <c r="A614" s="68">
        <v>36977.732638888891</v>
      </c>
      <c r="B614" s="6">
        <v>1.24999999999999E-2</v>
      </c>
      <c r="C614" s="5">
        <v>182</v>
      </c>
    </row>
    <row r="615" spans="1:3">
      <c r="A615" s="68">
        <v>36977.732638888891</v>
      </c>
      <c r="B615" s="6">
        <v>1.2557870370370299E-2</v>
      </c>
      <c r="C615" s="5">
        <v>182</v>
      </c>
    </row>
    <row r="616" spans="1:3">
      <c r="A616" s="68">
        <v>36977.732638888891</v>
      </c>
      <c r="B616" s="6">
        <v>1.2615740740740599E-2</v>
      </c>
      <c r="C616" s="5">
        <v>181</v>
      </c>
    </row>
    <row r="617" spans="1:3">
      <c r="A617" s="68">
        <v>36977.732638888891</v>
      </c>
      <c r="B617" s="6">
        <v>1.2673611111111E-2</v>
      </c>
      <c r="C617" s="5">
        <v>182</v>
      </c>
    </row>
    <row r="618" spans="1:3">
      <c r="A618" s="68">
        <v>36977.732638888891</v>
      </c>
      <c r="B618" s="6">
        <v>1.2731481481481399E-2</v>
      </c>
      <c r="C618" s="5">
        <v>183</v>
      </c>
    </row>
    <row r="619" spans="1:3">
      <c r="A619" s="68">
        <v>36977.732638888891</v>
      </c>
      <c r="B619" s="6">
        <v>1.2789351851851699E-2</v>
      </c>
      <c r="C619" s="5">
        <v>182</v>
      </c>
    </row>
    <row r="620" spans="1:3">
      <c r="A620" s="68">
        <v>36977.732638888891</v>
      </c>
      <c r="B620" s="6">
        <v>1.28472222222221E-2</v>
      </c>
      <c r="C620" s="5">
        <v>182</v>
      </c>
    </row>
    <row r="621" spans="1:3">
      <c r="A621" s="68">
        <v>36977.732638888891</v>
      </c>
      <c r="B621" s="6">
        <v>1.2905092592592499E-2</v>
      </c>
      <c r="C621" s="5">
        <v>182</v>
      </c>
    </row>
    <row r="622" spans="1:3">
      <c r="A622" s="68">
        <v>36977.732638888891</v>
      </c>
      <c r="B622" s="6">
        <v>1.29629629629628E-2</v>
      </c>
      <c r="C622" s="5">
        <v>182</v>
      </c>
    </row>
    <row r="623" spans="1:3">
      <c r="A623" s="68">
        <v>36977.732638888891</v>
      </c>
      <c r="B623" s="6">
        <v>1.30208333333332E-2</v>
      </c>
      <c r="C623" s="5">
        <v>182</v>
      </c>
    </row>
    <row r="624" spans="1:3">
      <c r="A624" s="68">
        <v>36977.732638888891</v>
      </c>
      <c r="B624" s="6">
        <v>1.3078703703703599E-2</v>
      </c>
      <c r="C624" s="5">
        <v>182</v>
      </c>
    </row>
    <row r="625" spans="1:3">
      <c r="A625" s="68">
        <v>36977.732638888891</v>
      </c>
      <c r="B625" s="6">
        <v>1.31365740740739E-2</v>
      </c>
      <c r="C625" s="5">
        <v>183</v>
      </c>
    </row>
    <row r="626" spans="1:3">
      <c r="A626" s="68">
        <v>36977.732638888891</v>
      </c>
      <c r="B626" s="6">
        <v>1.31944444444443E-2</v>
      </c>
      <c r="C626" s="5">
        <v>182</v>
      </c>
    </row>
    <row r="627" spans="1:3">
      <c r="A627" s="68">
        <v>36977.732638888891</v>
      </c>
      <c r="B627" s="6">
        <v>1.32523148148147E-2</v>
      </c>
      <c r="C627" s="5">
        <v>182</v>
      </c>
    </row>
    <row r="628" spans="1:3">
      <c r="A628" s="68">
        <v>36977.732638888891</v>
      </c>
      <c r="B628" s="6">
        <v>1.33101851851851E-2</v>
      </c>
      <c r="C628" s="5">
        <v>182</v>
      </c>
    </row>
    <row r="629" spans="1:3">
      <c r="A629" s="68">
        <v>36977.732638888891</v>
      </c>
      <c r="B629" s="6">
        <v>1.3368055555555401E-2</v>
      </c>
      <c r="C629" s="5">
        <v>182</v>
      </c>
    </row>
    <row r="630" spans="1:3">
      <c r="A630" s="68">
        <v>36977.732638888891</v>
      </c>
      <c r="B630" s="6">
        <v>1.34259259259258E-2</v>
      </c>
      <c r="C630" s="5">
        <v>182</v>
      </c>
    </row>
    <row r="631" spans="1:3">
      <c r="A631" s="68">
        <v>36977.732638888891</v>
      </c>
      <c r="B631" s="6">
        <v>1.34837962962962E-2</v>
      </c>
      <c r="C631" s="5">
        <v>182</v>
      </c>
    </row>
    <row r="632" spans="1:3">
      <c r="A632" s="68">
        <v>36977.732638888891</v>
      </c>
      <c r="B632" s="6">
        <v>1.3541666666666501E-2</v>
      </c>
      <c r="C632" s="5">
        <v>183</v>
      </c>
    </row>
    <row r="633" spans="1:3">
      <c r="A633" s="68">
        <v>36977.732638888891</v>
      </c>
      <c r="B633" s="6">
        <v>1.35995370370369E-2</v>
      </c>
      <c r="C633" s="5">
        <v>183</v>
      </c>
    </row>
    <row r="634" spans="1:3">
      <c r="A634" s="68">
        <v>36977.732638888891</v>
      </c>
      <c r="B634" s="6">
        <v>1.36574074074073E-2</v>
      </c>
      <c r="C634" s="5">
        <v>184</v>
      </c>
    </row>
    <row r="635" spans="1:3">
      <c r="A635" s="68">
        <v>36977.732638888891</v>
      </c>
      <c r="B635" s="6">
        <v>1.3715277777777601E-2</v>
      </c>
      <c r="C635" s="5">
        <v>184</v>
      </c>
    </row>
    <row r="636" spans="1:3">
      <c r="A636" s="68">
        <v>36977.732638888891</v>
      </c>
      <c r="B636" s="6">
        <v>1.3773148148148E-2</v>
      </c>
      <c r="C636" s="5">
        <v>184</v>
      </c>
    </row>
    <row r="637" spans="1:3">
      <c r="A637" s="68">
        <v>36977.732638888891</v>
      </c>
      <c r="B637" s="6">
        <v>1.3831018518518401E-2</v>
      </c>
      <c r="C637" s="5">
        <v>185</v>
      </c>
    </row>
    <row r="638" spans="1:3">
      <c r="A638" s="68">
        <v>36977.732638888891</v>
      </c>
      <c r="B638" s="6">
        <v>1.38888888888888E-2</v>
      </c>
      <c r="C638" s="5">
        <v>185</v>
      </c>
    </row>
    <row r="639" spans="1:3">
      <c r="A639" s="68">
        <v>36977.732638888891</v>
      </c>
      <c r="B639" s="6">
        <v>1.39467592592591E-2</v>
      </c>
      <c r="C639" s="5">
        <v>185</v>
      </c>
    </row>
    <row r="640" spans="1:3">
      <c r="A640" s="68">
        <v>36977.732638888891</v>
      </c>
      <c r="B640" s="6">
        <v>1.4004629629629501E-2</v>
      </c>
      <c r="C640" s="5">
        <v>185</v>
      </c>
    </row>
    <row r="641" spans="1:3">
      <c r="A641" s="68">
        <v>36977.732638888891</v>
      </c>
      <c r="B641" s="6">
        <v>1.40624999999999E-2</v>
      </c>
      <c r="C641" s="5">
        <v>185</v>
      </c>
    </row>
    <row r="642" spans="1:3">
      <c r="A642" s="68">
        <v>36977.732638888891</v>
      </c>
      <c r="B642" s="6">
        <v>1.41203703703702E-2</v>
      </c>
      <c r="C642" s="5">
        <v>185</v>
      </c>
    </row>
    <row r="643" spans="1:3">
      <c r="A643" s="68">
        <v>36977.732638888891</v>
      </c>
      <c r="B643" s="6">
        <v>1.4178240740740601E-2</v>
      </c>
      <c r="C643" s="5">
        <v>185</v>
      </c>
    </row>
    <row r="644" spans="1:3">
      <c r="A644" s="68">
        <v>36977.732638888891</v>
      </c>
      <c r="B644" s="6">
        <v>1.4236111111111E-2</v>
      </c>
      <c r="C644" s="5">
        <v>185</v>
      </c>
    </row>
    <row r="645" spans="1:3">
      <c r="A645" s="68">
        <v>36977.732638888891</v>
      </c>
      <c r="B645" s="6">
        <v>1.4293981481481401E-2</v>
      </c>
      <c r="C645" s="5">
        <v>184</v>
      </c>
    </row>
    <row r="646" spans="1:3">
      <c r="A646" s="68">
        <v>36977.732638888891</v>
      </c>
      <c r="B646" s="6">
        <v>1.43518518518518E-2</v>
      </c>
      <c r="C646" s="5">
        <v>184</v>
      </c>
    </row>
    <row r="647" spans="1:3">
      <c r="A647" s="68">
        <v>36977.732638888891</v>
      </c>
      <c r="B647" s="6">
        <v>1.4409722222222201E-2</v>
      </c>
      <c r="C647" s="5">
        <v>184</v>
      </c>
    </row>
    <row r="648" spans="1:3">
      <c r="A648" s="68">
        <v>36977.732638888891</v>
      </c>
      <c r="B648" s="6">
        <v>1.44675925925926E-2</v>
      </c>
      <c r="C648" s="5">
        <v>184</v>
      </c>
    </row>
    <row r="649" spans="1:3">
      <c r="A649" s="68">
        <v>36977.732638888891</v>
      </c>
      <c r="B649" s="6">
        <v>1.4525462962963E-2</v>
      </c>
      <c r="C649" s="5">
        <v>183</v>
      </c>
    </row>
    <row r="650" spans="1:3">
      <c r="A650" s="68">
        <v>36977.732638888891</v>
      </c>
      <c r="B650" s="6">
        <v>1.4583333333333399E-2</v>
      </c>
      <c r="C650" s="5">
        <v>183</v>
      </c>
    </row>
    <row r="651" spans="1:3">
      <c r="A651" s="68">
        <v>36977.732638888891</v>
      </c>
      <c r="B651" s="6">
        <v>1.46412037037038E-2</v>
      </c>
      <c r="C651" s="5">
        <v>184</v>
      </c>
    </row>
    <row r="652" spans="1:3">
      <c r="A652" s="68">
        <v>36977.732638888891</v>
      </c>
      <c r="B652" s="6">
        <v>1.4699074074074199E-2</v>
      </c>
      <c r="C652" s="5">
        <v>185</v>
      </c>
    </row>
    <row r="653" spans="1:3">
      <c r="A653" s="68">
        <v>36977.732638888891</v>
      </c>
      <c r="B653" s="6">
        <v>1.47569444444446E-2</v>
      </c>
      <c r="C653" s="5">
        <v>185</v>
      </c>
    </row>
    <row r="654" spans="1:3">
      <c r="A654" s="68">
        <v>36977.732638888891</v>
      </c>
      <c r="B654" s="6">
        <v>1.4814814814814999E-2</v>
      </c>
      <c r="C654" s="5">
        <v>185</v>
      </c>
    </row>
    <row r="655" spans="1:3">
      <c r="A655" s="68">
        <v>36977.732638888891</v>
      </c>
      <c r="B655" s="6">
        <v>1.48726851851854E-2</v>
      </c>
      <c r="C655" s="5">
        <v>185</v>
      </c>
    </row>
    <row r="656" spans="1:3">
      <c r="A656" s="68">
        <v>36977.732638888891</v>
      </c>
      <c r="B656" s="6">
        <v>1.4930555555555799E-2</v>
      </c>
      <c r="C656" s="5">
        <v>185</v>
      </c>
    </row>
    <row r="657" spans="1:3">
      <c r="A657" s="68">
        <v>36977.732638888891</v>
      </c>
      <c r="B657" s="6">
        <v>1.49884259259262E-2</v>
      </c>
      <c r="C657" s="5">
        <v>185</v>
      </c>
    </row>
    <row r="658" spans="1:3">
      <c r="A658" s="68">
        <v>36977.732638888891</v>
      </c>
      <c r="B658" s="6">
        <v>1.5046296296296601E-2</v>
      </c>
      <c r="C658" s="5">
        <v>185</v>
      </c>
    </row>
    <row r="659" spans="1:3">
      <c r="A659" s="68">
        <v>36977.732638888891</v>
      </c>
      <c r="B659" s="6">
        <v>1.5104166666667E-2</v>
      </c>
      <c r="C659" s="5">
        <v>185</v>
      </c>
    </row>
    <row r="660" spans="1:3">
      <c r="A660" s="68">
        <v>36977.732638888891</v>
      </c>
      <c r="B660" s="6">
        <v>1.5162037037037401E-2</v>
      </c>
      <c r="C660" s="5">
        <v>184</v>
      </c>
    </row>
    <row r="661" spans="1:3">
      <c r="A661" s="68">
        <v>36977.732638888891</v>
      </c>
      <c r="B661" s="6">
        <v>1.52199074074078E-2</v>
      </c>
      <c r="C661" s="5">
        <v>183</v>
      </c>
    </row>
    <row r="662" spans="1:3">
      <c r="A662" s="68">
        <v>36977.732638888891</v>
      </c>
      <c r="B662" s="6">
        <v>1.5277777777778201E-2</v>
      </c>
      <c r="C662" s="5">
        <v>184</v>
      </c>
    </row>
    <row r="663" spans="1:3">
      <c r="A663" s="68">
        <v>36977.732638888891</v>
      </c>
      <c r="B663" s="6">
        <v>1.54513888888894E-2</v>
      </c>
      <c r="C663" s="5">
        <v>185</v>
      </c>
    </row>
    <row r="664" spans="1:3">
      <c r="A664" s="68">
        <v>36977.732638888891</v>
      </c>
      <c r="B664" s="6">
        <v>1.55092592592598E-2</v>
      </c>
      <c r="C664" s="5">
        <v>186</v>
      </c>
    </row>
    <row r="665" spans="1:3">
      <c r="A665" s="68">
        <v>36977.732638888891</v>
      </c>
      <c r="B665" s="6">
        <v>1.5567129629630199E-2</v>
      </c>
      <c r="C665" s="5">
        <v>187</v>
      </c>
    </row>
    <row r="666" spans="1:3">
      <c r="A666" s="68">
        <v>36977.732638888891</v>
      </c>
      <c r="B666" s="6">
        <v>1.56250000000006E-2</v>
      </c>
      <c r="C666" s="5">
        <v>187</v>
      </c>
    </row>
    <row r="667" spans="1:3">
      <c r="A667" s="68">
        <v>36977.732638888891</v>
      </c>
      <c r="B667" s="6">
        <v>1.5682870370370999E-2</v>
      </c>
      <c r="C667" s="5">
        <v>186</v>
      </c>
    </row>
    <row r="668" spans="1:3">
      <c r="A668" s="68">
        <v>36977.732638888891</v>
      </c>
      <c r="B668" s="6">
        <v>1.5740740740741398E-2</v>
      </c>
      <c r="C668" s="5">
        <v>187</v>
      </c>
    </row>
    <row r="669" spans="1:3">
      <c r="A669" s="68">
        <v>36977.732638888891</v>
      </c>
      <c r="B669" s="6">
        <v>1.5798611111111801E-2</v>
      </c>
      <c r="C669" s="5">
        <v>187</v>
      </c>
    </row>
    <row r="670" spans="1:3">
      <c r="A670" s="68">
        <v>36977.732638888891</v>
      </c>
      <c r="B670" s="6">
        <v>1.58564814814822E-2</v>
      </c>
      <c r="C670" s="5">
        <v>187</v>
      </c>
    </row>
    <row r="671" spans="1:3">
      <c r="A671" s="68">
        <v>36977.732638888891</v>
      </c>
      <c r="B671" s="6">
        <v>1.5914351851852599E-2</v>
      </c>
      <c r="C671" s="5">
        <v>188</v>
      </c>
    </row>
    <row r="672" spans="1:3">
      <c r="A672" s="68">
        <v>36977.732638888891</v>
      </c>
      <c r="B672" s="6">
        <v>1.5972222222223002E-2</v>
      </c>
      <c r="C672" s="5">
        <v>188</v>
      </c>
    </row>
    <row r="673" spans="1:3">
      <c r="A673" s="68">
        <v>36977.732638888891</v>
      </c>
      <c r="B673" s="6">
        <v>1.6030092592593401E-2</v>
      </c>
      <c r="C673" s="5">
        <v>189</v>
      </c>
    </row>
    <row r="674" spans="1:3">
      <c r="A674" s="68">
        <v>36977.732638888891</v>
      </c>
      <c r="B674" s="6">
        <v>1.60879629629638E-2</v>
      </c>
      <c r="C674" s="5">
        <v>189</v>
      </c>
    </row>
    <row r="675" spans="1:3">
      <c r="A675" s="68">
        <v>36977.732638888891</v>
      </c>
      <c r="B675" s="6">
        <v>1.6145833333334199E-2</v>
      </c>
      <c r="C675" s="5">
        <v>189</v>
      </c>
    </row>
    <row r="676" spans="1:3">
      <c r="A676" s="68">
        <v>36977.732638888891</v>
      </c>
      <c r="B676" s="6">
        <v>1.6203703703704601E-2</v>
      </c>
      <c r="C676" s="5">
        <v>189</v>
      </c>
    </row>
    <row r="677" spans="1:3">
      <c r="A677" s="68">
        <v>36977.732638888891</v>
      </c>
      <c r="B677" s="6">
        <v>1.6261574074075E-2</v>
      </c>
      <c r="C677" s="5">
        <v>189</v>
      </c>
    </row>
    <row r="678" spans="1:3">
      <c r="A678" s="68">
        <v>36977.732638888891</v>
      </c>
      <c r="B678" s="6">
        <v>1.63194444444454E-2</v>
      </c>
      <c r="C678" s="5">
        <v>190</v>
      </c>
    </row>
    <row r="679" spans="1:3">
      <c r="A679" s="68">
        <v>36977.732638888891</v>
      </c>
      <c r="B679" s="6">
        <v>1.6377314814815799E-2</v>
      </c>
      <c r="C679" s="5">
        <v>190</v>
      </c>
    </row>
    <row r="680" spans="1:3">
      <c r="A680" s="68">
        <v>36977.732638888891</v>
      </c>
      <c r="B680" s="6">
        <v>1.6435185185186201E-2</v>
      </c>
      <c r="C680" s="5">
        <v>190</v>
      </c>
    </row>
    <row r="681" spans="1:3">
      <c r="A681" s="68">
        <v>36977.732638888891</v>
      </c>
      <c r="B681" s="6">
        <v>1.64930555555566E-2</v>
      </c>
      <c r="C681" s="5">
        <v>190</v>
      </c>
    </row>
    <row r="682" spans="1:3">
      <c r="A682" s="68">
        <v>36977.732638888891</v>
      </c>
      <c r="B682" s="6">
        <v>1.6550925925926999E-2</v>
      </c>
      <c r="C682" s="5">
        <v>190</v>
      </c>
    </row>
    <row r="683" spans="1:3">
      <c r="A683" s="68">
        <v>36977.732638888891</v>
      </c>
      <c r="B683" s="6">
        <v>1.6608796296297398E-2</v>
      </c>
      <c r="C683" s="5">
        <v>190</v>
      </c>
    </row>
    <row r="684" spans="1:3">
      <c r="A684" s="68">
        <v>36977.732638888891</v>
      </c>
      <c r="B684" s="6">
        <v>1.6666666666667801E-2</v>
      </c>
      <c r="C684" s="5">
        <v>190</v>
      </c>
    </row>
    <row r="685" spans="1:3">
      <c r="A685" s="68">
        <v>36979.879861111112</v>
      </c>
      <c r="B685" s="6">
        <v>0</v>
      </c>
      <c r="C685" s="5">
        <v>97</v>
      </c>
    </row>
    <row r="686" spans="1:3">
      <c r="A686" s="68">
        <v>36979.879861111112</v>
      </c>
      <c r="B686" s="6">
        <v>6.9444444444444447E-4</v>
      </c>
      <c r="C686" s="5">
        <v>147</v>
      </c>
    </row>
    <row r="687" spans="1:3">
      <c r="A687" s="68">
        <v>36979.879861111112</v>
      </c>
      <c r="B687" s="6">
        <v>1.38888888888889E-3</v>
      </c>
      <c r="C687" s="5">
        <v>153</v>
      </c>
    </row>
    <row r="688" spans="1:3">
      <c r="A688" s="68">
        <v>36979.879861111112</v>
      </c>
      <c r="B688" s="6">
        <v>2.0833333333333298E-3</v>
      </c>
      <c r="C688" s="5">
        <v>154</v>
      </c>
    </row>
    <row r="689" spans="1:3">
      <c r="A689" s="68">
        <v>36979.879861111112</v>
      </c>
      <c r="B689" s="6">
        <v>2.7777777777777801E-3</v>
      </c>
      <c r="C689" s="5">
        <v>157</v>
      </c>
    </row>
    <row r="690" spans="1:3">
      <c r="A690" s="68">
        <v>36979.879861111112</v>
      </c>
      <c r="B690" s="6">
        <v>3.4722222222222199E-3</v>
      </c>
      <c r="C690" s="5">
        <v>161</v>
      </c>
    </row>
    <row r="691" spans="1:3">
      <c r="A691" s="68">
        <v>36979.879861111112</v>
      </c>
      <c r="B691" s="6">
        <v>4.1666666666666701E-3</v>
      </c>
      <c r="C691" s="5">
        <v>160</v>
      </c>
    </row>
    <row r="692" spans="1:3">
      <c r="A692" s="68">
        <v>36979.879861111112</v>
      </c>
      <c r="B692" s="6">
        <v>4.8611111111111103E-3</v>
      </c>
      <c r="C692" s="5">
        <v>158</v>
      </c>
    </row>
    <row r="693" spans="1:3">
      <c r="A693" s="68">
        <v>36979.879861111112</v>
      </c>
      <c r="B693" s="6">
        <v>5.5555555555555601E-3</v>
      </c>
      <c r="C693" s="5">
        <v>162</v>
      </c>
    </row>
    <row r="694" spans="1:3">
      <c r="A694" s="68">
        <v>36979.879861111112</v>
      </c>
      <c r="B694" s="6">
        <v>6.2500000000000003E-3</v>
      </c>
      <c r="C694" s="5">
        <v>160</v>
      </c>
    </row>
    <row r="695" spans="1:3">
      <c r="A695" s="68">
        <v>36979.879861111112</v>
      </c>
      <c r="B695" s="6">
        <v>6.9444444444444397E-3</v>
      </c>
      <c r="C695" s="5">
        <v>163</v>
      </c>
    </row>
    <row r="696" spans="1:3">
      <c r="A696" s="68">
        <v>36979.879861111112</v>
      </c>
      <c r="B696" s="6">
        <v>7.6388888888888904E-3</v>
      </c>
      <c r="C696" s="5">
        <v>160</v>
      </c>
    </row>
    <row r="697" spans="1:3">
      <c r="A697" s="68">
        <v>36979.879861111112</v>
      </c>
      <c r="B697" s="6">
        <v>8.3333333333333297E-3</v>
      </c>
      <c r="C697" s="5">
        <v>161</v>
      </c>
    </row>
    <row r="698" spans="1:3">
      <c r="A698" s="68">
        <v>36979.879861111112</v>
      </c>
      <c r="B698" s="6">
        <v>9.0277777777777804E-3</v>
      </c>
      <c r="C698" s="5">
        <v>160</v>
      </c>
    </row>
    <row r="699" spans="1:3">
      <c r="A699" s="68">
        <v>36979.879861111112</v>
      </c>
      <c r="B699" s="6">
        <v>9.7222222222222206E-3</v>
      </c>
      <c r="C699" s="5">
        <v>163</v>
      </c>
    </row>
    <row r="700" spans="1:3">
      <c r="A700" s="68">
        <v>36979.879861111112</v>
      </c>
      <c r="B700" s="6">
        <v>1.0416666666666701E-2</v>
      </c>
      <c r="C700" s="5">
        <v>161</v>
      </c>
    </row>
    <row r="701" spans="1:3">
      <c r="A701" s="68">
        <v>36979.879861111112</v>
      </c>
      <c r="B701" s="6">
        <v>1.1111111111111099E-2</v>
      </c>
      <c r="C701" s="5">
        <v>160</v>
      </c>
    </row>
    <row r="702" spans="1:3">
      <c r="A702" s="68">
        <v>36979.879861111112</v>
      </c>
      <c r="B702" s="6">
        <v>1.18055555555556E-2</v>
      </c>
      <c r="C702" s="5">
        <v>158</v>
      </c>
    </row>
    <row r="703" spans="1:3">
      <c r="A703" s="68">
        <v>36979.879861111112</v>
      </c>
      <c r="B703" s="6">
        <v>1.2500000000000001E-2</v>
      </c>
      <c r="C703" s="5">
        <v>160</v>
      </c>
    </row>
    <row r="704" spans="1:3">
      <c r="A704" s="68">
        <v>36979.879861111112</v>
      </c>
      <c r="B704" s="6">
        <v>1.3194444444444399E-2</v>
      </c>
      <c r="C704" s="5">
        <v>158</v>
      </c>
    </row>
    <row r="705" spans="1:3">
      <c r="A705" s="68">
        <v>36979.879861111112</v>
      </c>
      <c r="B705" s="6">
        <v>1.38888888888889E-2</v>
      </c>
      <c r="C705" s="5">
        <v>161</v>
      </c>
    </row>
    <row r="706" spans="1:3">
      <c r="A706" s="68">
        <v>36979.879861111112</v>
      </c>
      <c r="B706" s="6">
        <v>1.4583333333333301E-2</v>
      </c>
      <c r="C706" s="5">
        <v>161</v>
      </c>
    </row>
    <row r="707" spans="1:3">
      <c r="A707" s="68">
        <v>36979.879861111112</v>
      </c>
      <c r="B707" s="6">
        <v>1.52777777777778E-2</v>
      </c>
      <c r="C707" s="5">
        <v>162</v>
      </c>
    </row>
    <row r="708" spans="1:3">
      <c r="A708" s="68">
        <v>36979.879861111112</v>
      </c>
      <c r="B708" s="6">
        <v>1.59722222222222E-2</v>
      </c>
      <c r="C708" s="5">
        <v>163</v>
      </c>
    </row>
    <row r="709" spans="1:3">
      <c r="A709" s="68">
        <v>36979.879861111112</v>
      </c>
      <c r="B709" s="6">
        <v>1.6666666666666701E-2</v>
      </c>
      <c r="C709" s="5">
        <v>161</v>
      </c>
    </row>
    <row r="710" spans="1:3">
      <c r="A710" s="68">
        <v>36979.879861111112</v>
      </c>
      <c r="B710" s="6">
        <v>1.7361111111111101E-2</v>
      </c>
      <c r="C710" s="5">
        <v>163</v>
      </c>
    </row>
    <row r="711" spans="1:3">
      <c r="A711" s="68">
        <v>36979.879861111112</v>
      </c>
      <c r="B711" s="6">
        <v>1.8055555555555599E-2</v>
      </c>
      <c r="C711" s="5">
        <v>161</v>
      </c>
    </row>
    <row r="712" spans="1:3">
      <c r="A712" s="68">
        <v>36979.879861111112</v>
      </c>
      <c r="B712" s="6">
        <v>1.8749999999999999E-2</v>
      </c>
      <c r="C712" s="5">
        <v>163</v>
      </c>
    </row>
    <row r="713" spans="1:3">
      <c r="A713" s="68">
        <v>36979.879861111112</v>
      </c>
      <c r="B713" s="6">
        <v>1.94444444444444E-2</v>
      </c>
      <c r="C713" s="5">
        <v>161</v>
      </c>
    </row>
    <row r="714" spans="1:3">
      <c r="A714" s="68">
        <v>36979.879861111112</v>
      </c>
      <c r="B714" s="6">
        <v>2.0138888888888901E-2</v>
      </c>
      <c r="C714" s="5">
        <v>162</v>
      </c>
    </row>
    <row r="715" spans="1:3">
      <c r="A715" s="68">
        <v>36979.879861111112</v>
      </c>
      <c r="B715" s="6">
        <v>2.0833333333333301E-2</v>
      </c>
      <c r="C715" s="5">
        <v>157</v>
      </c>
    </row>
    <row r="716" spans="1:3">
      <c r="A716" s="68">
        <v>36979.879861111112</v>
      </c>
      <c r="B716" s="6">
        <v>2.1527777777777798E-2</v>
      </c>
      <c r="C716" s="5">
        <v>158</v>
      </c>
    </row>
    <row r="717" spans="1:3">
      <c r="A717" s="68">
        <v>36979.879861111112</v>
      </c>
      <c r="B717" s="6">
        <v>2.2222222222222299E-2</v>
      </c>
      <c r="C717" s="5">
        <v>160</v>
      </c>
    </row>
    <row r="718" spans="1:3">
      <c r="A718" s="68">
        <v>36979.879861111112</v>
      </c>
      <c r="B718" s="6">
        <v>2.29166666666668E-2</v>
      </c>
      <c r="C718" s="5">
        <v>161</v>
      </c>
    </row>
    <row r="719" spans="1:3">
      <c r="A719" s="68">
        <v>36979.879861111112</v>
      </c>
      <c r="B719" s="6">
        <v>2.3611111111111301E-2</v>
      </c>
      <c r="C719" s="5">
        <v>163</v>
      </c>
    </row>
    <row r="720" spans="1:3">
      <c r="A720" s="68">
        <v>36979.879861111112</v>
      </c>
      <c r="B720" s="6">
        <v>2.4305555555555799E-2</v>
      </c>
      <c r="C720" s="5">
        <v>164</v>
      </c>
    </row>
    <row r="721" spans="1:3">
      <c r="A721" s="68">
        <v>36979.879861111112</v>
      </c>
      <c r="B721" s="6">
        <v>2.50000000000003E-2</v>
      </c>
      <c r="C721" s="5">
        <v>160</v>
      </c>
    </row>
    <row r="722" spans="1:3">
      <c r="A722" s="68">
        <v>36979.879861111112</v>
      </c>
      <c r="B722" s="6">
        <v>2.5694444444444801E-2</v>
      </c>
      <c r="C722" s="5">
        <v>160</v>
      </c>
    </row>
    <row r="723" spans="1:3">
      <c r="A723" s="68">
        <v>36979.879861111112</v>
      </c>
      <c r="B723" s="6">
        <v>2.6388888888889302E-2</v>
      </c>
      <c r="C723" s="5">
        <v>162</v>
      </c>
    </row>
    <row r="724" spans="1:3">
      <c r="A724" s="68">
        <v>36979.879861111112</v>
      </c>
      <c r="B724" s="6">
        <v>2.7083333333333799E-2</v>
      </c>
      <c r="C724" s="5">
        <v>162</v>
      </c>
    </row>
    <row r="725" spans="1:3">
      <c r="A725" s="68">
        <v>36979.879861111112</v>
      </c>
      <c r="B725" s="6">
        <v>2.77777777777783E-2</v>
      </c>
      <c r="C725" s="5">
        <v>164</v>
      </c>
    </row>
    <row r="726" spans="1:3">
      <c r="A726" s="68">
        <v>36979.879861111112</v>
      </c>
      <c r="B726" s="6">
        <v>2.8472222222222801E-2</v>
      </c>
      <c r="C726" s="5">
        <v>161</v>
      </c>
    </row>
    <row r="727" spans="1:3">
      <c r="A727" s="68">
        <v>36979.879861111112</v>
      </c>
      <c r="B727" s="6">
        <v>2.9166666666667299E-2</v>
      </c>
      <c r="C727" s="5">
        <v>160</v>
      </c>
    </row>
    <row r="728" spans="1:3">
      <c r="A728" s="68">
        <v>36979.879861111112</v>
      </c>
      <c r="B728" s="6">
        <v>2.98611111111118E-2</v>
      </c>
      <c r="C728" s="5">
        <v>161</v>
      </c>
    </row>
    <row r="729" spans="1:3">
      <c r="A729" s="68">
        <v>36979.879861111112</v>
      </c>
      <c r="B729" s="6">
        <v>3.05555555555563E-2</v>
      </c>
      <c r="C729" s="5">
        <v>162</v>
      </c>
    </row>
    <row r="730" spans="1:3">
      <c r="A730" s="68">
        <v>36979.879861111112</v>
      </c>
      <c r="B730" s="6">
        <v>3.1250000000000798E-2</v>
      </c>
      <c r="C730" s="5">
        <v>162</v>
      </c>
    </row>
    <row r="731" spans="1:3">
      <c r="A731" s="68">
        <v>36979.879861111112</v>
      </c>
      <c r="B731" s="6">
        <v>3.1944444444445302E-2</v>
      </c>
      <c r="C731" s="5">
        <v>160</v>
      </c>
    </row>
    <row r="732" spans="1:3">
      <c r="A732" s="68">
        <v>36979.879861111112</v>
      </c>
      <c r="B732" s="6">
        <v>3.26388888888898E-2</v>
      </c>
      <c r="C732" s="5">
        <v>159</v>
      </c>
    </row>
    <row r="733" spans="1:3">
      <c r="A733" s="68">
        <v>36979.879861111112</v>
      </c>
      <c r="B733" s="6">
        <v>3.3333333333334297E-2</v>
      </c>
      <c r="C733" s="5">
        <v>159</v>
      </c>
    </row>
    <row r="734" spans="1:3">
      <c r="A734" s="68">
        <v>36979.879861111112</v>
      </c>
      <c r="B734" s="6">
        <v>3.4027777777778802E-2</v>
      </c>
      <c r="C734" s="5">
        <v>160</v>
      </c>
    </row>
    <row r="735" spans="1:3">
      <c r="A735" s="68">
        <v>36979.879861111112</v>
      </c>
      <c r="B735" s="6">
        <v>3.4722222222223202E-2</v>
      </c>
      <c r="C735" s="5">
        <v>161</v>
      </c>
    </row>
    <row r="736" spans="1:3">
      <c r="A736" s="68">
        <v>36979.879861111112</v>
      </c>
      <c r="B736" s="6">
        <v>3.54166666666677E-2</v>
      </c>
      <c r="C736" s="5">
        <v>163</v>
      </c>
    </row>
    <row r="737" spans="1:3">
      <c r="A737" s="68">
        <v>36979.879861111112</v>
      </c>
      <c r="B737" s="6">
        <v>3.6111111111112197E-2</v>
      </c>
      <c r="C737" s="5">
        <v>162</v>
      </c>
    </row>
    <row r="738" spans="1:3">
      <c r="A738" s="68">
        <v>36979.879861111112</v>
      </c>
      <c r="B738" s="6">
        <v>3.6805555555556702E-2</v>
      </c>
      <c r="C738" s="5">
        <v>161</v>
      </c>
    </row>
    <row r="739" spans="1:3">
      <c r="A739" s="68">
        <v>36979.879861111112</v>
      </c>
      <c r="B739" s="6">
        <v>3.7500000000001199E-2</v>
      </c>
      <c r="C739" s="5">
        <v>161</v>
      </c>
    </row>
    <row r="740" spans="1:3">
      <c r="A740" s="68">
        <v>36979.879861111112</v>
      </c>
      <c r="B740" s="6">
        <v>3.8194444444445697E-2</v>
      </c>
      <c r="C740" s="5">
        <v>163</v>
      </c>
    </row>
    <row r="741" spans="1:3">
      <c r="A741" s="68">
        <v>36979.879861111112</v>
      </c>
      <c r="B741" s="6">
        <v>3.8888888888890201E-2</v>
      </c>
      <c r="C741" s="5">
        <v>162</v>
      </c>
    </row>
    <row r="742" spans="1:3">
      <c r="A742" s="68">
        <v>36979.879861111112</v>
      </c>
      <c r="B742" s="6">
        <v>3.9583333333334698E-2</v>
      </c>
      <c r="C742" s="5">
        <v>163</v>
      </c>
    </row>
    <row r="743" spans="1:3">
      <c r="A743" s="68">
        <v>36979.879861111112</v>
      </c>
      <c r="B743" s="6">
        <v>4.0277777777779203E-2</v>
      </c>
      <c r="C743" s="5">
        <v>163</v>
      </c>
    </row>
    <row r="744" spans="1:3">
      <c r="A744" s="68">
        <v>36988.626388888886</v>
      </c>
      <c r="B744" s="6">
        <v>0</v>
      </c>
      <c r="C744" s="5">
        <v>119</v>
      </c>
    </row>
    <row r="745" spans="1:3">
      <c r="A745" s="68">
        <v>36988.626388888886</v>
      </c>
      <c r="B745" s="6">
        <v>1.7361111111111112E-4</v>
      </c>
      <c r="C745" s="5">
        <v>145</v>
      </c>
    </row>
    <row r="746" spans="1:3">
      <c r="A746" s="68">
        <v>36988.626388888886</v>
      </c>
      <c r="B746" s="6">
        <v>3.4722222222222202E-4</v>
      </c>
      <c r="C746" s="5">
        <v>145</v>
      </c>
    </row>
    <row r="747" spans="1:3">
      <c r="A747" s="68">
        <v>36988.626388888886</v>
      </c>
      <c r="B747" s="6">
        <v>1.21527777777778E-3</v>
      </c>
      <c r="C747" s="5">
        <v>154</v>
      </c>
    </row>
    <row r="748" spans="1:3">
      <c r="A748" s="68">
        <v>36988.626388888886</v>
      </c>
      <c r="B748" s="6">
        <v>1.38888888888889E-3</v>
      </c>
      <c r="C748" s="5">
        <v>154</v>
      </c>
    </row>
    <row r="749" spans="1:3">
      <c r="A749" s="68">
        <v>36988.626388888886</v>
      </c>
      <c r="B749" s="6">
        <v>1.5625000000000001E-3</v>
      </c>
      <c r="C749" s="5">
        <v>161</v>
      </c>
    </row>
    <row r="750" spans="1:3">
      <c r="A750" s="68">
        <v>36988.626388888886</v>
      </c>
      <c r="B750" s="6">
        <v>1.90972222222222E-3</v>
      </c>
      <c r="C750" s="5">
        <v>153</v>
      </c>
    </row>
    <row r="751" spans="1:3">
      <c r="A751" s="68">
        <v>36988.626388888886</v>
      </c>
      <c r="B751" s="6">
        <v>2.0833333333333298E-3</v>
      </c>
      <c r="C751" s="5">
        <v>156</v>
      </c>
    </row>
    <row r="752" spans="1:3">
      <c r="A752" s="68">
        <v>36988.626388888886</v>
      </c>
      <c r="B752" s="6">
        <v>2.2569444444444399E-3</v>
      </c>
      <c r="C752" s="5">
        <v>156</v>
      </c>
    </row>
    <row r="753" spans="1:3">
      <c r="A753" s="68">
        <v>36988.626388888886</v>
      </c>
      <c r="B753" s="6">
        <v>2.4305555555555599E-3</v>
      </c>
      <c r="C753" s="5">
        <v>160</v>
      </c>
    </row>
    <row r="754" spans="1:3">
      <c r="A754" s="68">
        <v>36988.626388888886</v>
      </c>
      <c r="B754" s="6">
        <v>2.60416666666667E-3</v>
      </c>
      <c r="C754" s="5">
        <v>161</v>
      </c>
    </row>
    <row r="755" spans="1:3">
      <c r="A755" s="68">
        <v>36988.626388888886</v>
      </c>
      <c r="B755" s="6">
        <v>2.7777777777777801E-3</v>
      </c>
      <c r="C755" s="5">
        <v>163</v>
      </c>
    </row>
    <row r="756" spans="1:3">
      <c r="A756" s="68">
        <v>36988.626388888886</v>
      </c>
      <c r="B756" s="6">
        <v>2.9513888888888901E-3</v>
      </c>
      <c r="C756" s="5">
        <v>163</v>
      </c>
    </row>
    <row r="757" spans="1:3">
      <c r="A757" s="68">
        <v>36988.626388888886</v>
      </c>
      <c r="B757" s="6">
        <v>3.1250000000000002E-3</v>
      </c>
      <c r="C757" s="5">
        <v>164</v>
      </c>
    </row>
    <row r="758" spans="1:3">
      <c r="A758" s="68">
        <v>36988.626388888886</v>
      </c>
      <c r="B758" s="6">
        <v>3.2986111111111098E-3</v>
      </c>
      <c r="C758" s="5">
        <v>165</v>
      </c>
    </row>
    <row r="759" spans="1:3">
      <c r="A759" s="68">
        <v>36988.626388888886</v>
      </c>
      <c r="B759" s="6">
        <v>3.4722222222222199E-3</v>
      </c>
      <c r="C759" s="5">
        <v>163</v>
      </c>
    </row>
    <row r="760" spans="1:3">
      <c r="A760" s="68">
        <v>36988.626388888886</v>
      </c>
      <c r="B760" s="6">
        <v>3.6458333333333299E-3</v>
      </c>
      <c r="C760" s="5">
        <v>164</v>
      </c>
    </row>
    <row r="761" spans="1:3">
      <c r="A761" s="68">
        <v>36988.626388888886</v>
      </c>
      <c r="B761" s="6">
        <v>3.81944444444444E-3</v>
      </c>
      <c r="C761" s="5">
        <v>164</v>
      </c>
    </row>
    <row r="762" spans="1:3">
      <c r="A762" s="68">
        <v>36988.626388888886</v>
      </c>
      <c r="B762" s="6">
        <v>3.9930555555555596E-3</v>
      </c>
      <c r="C762" s="5">
        <v>165</v>
      </c>
    </row>
    <row r="763" spans="1:3">
      <c r="A763" s="68">
        <v>36988.626388888886</v>
      </c>
      <c r="B763" s="6">
        <v>4.1666666666666701E-3</v>
      </c>
      <c r="C763" s="5">
        <v>167</v>
      </c>
    </row>
    <row r="764" spans="1:3">
      <c r="A764" s="68">
        <v>36988.626388888886</v>
      </c>
      <c r="B764" s="6">
        <v>4.3402777777777797E-3</v>
      </c>
      <c r="C764" s="5">
        <v>167</v>
      </c>
    </row>
    <row r="765" spans="1:3">
      <c r="A765" s="68">
        <v>36988.626388888886</v>
      </c>
      <c r="B765" s="6">
        <v>4.5138888888888902E-3</v>
      </c>
      <c r="C765" s="5">
        <v>166</v>
      </c>
    </row>
    <row r="766" spans="1:3">
      <c r="A766" s="68">
        <v>36988.626388888886</v>
      </c>
      <c r="B766" s="6">
        <v>4.6874999999999998E-3</v>
      </c>
      <c r="C766" s="5">
        <v>166</v>
      </c>
    </row>
    <row r="767" spans="1:3">
      <c r="A767" s="68">
        <v>36988.626388888886</v>
      </c>
      <c r="B767" s="6">
        <v>4.8611111111111103E-3</v>
      </c>
      <c r="C767" s="5">
        <v>161</v>
      </c>
    </row>
    <row r="768" spans="1:3">
      <c r="A768" s="68">
        <v>36988.626388888886</v>
      </c>
      <c r="B768" s="6">
        <v>5.0347222222222199E-3</v>
      </c>
      <c r="C768" s="5">
        <v>160</v>
      </c>
    </row>
    <row r="769" spans="1:3">
      <c r="A769" s="68">
        <v>36988.626388888886</v>
      </c>
      <c r="B769" s="6">
        <v>5.2083333333333296E-3</v>
      </c>
      <c r="C769" s="5">
        <v>166</v>
      </c>
    </row>
    <row r="770" spans="1:3">
      <c r="A770" s="68">
        <v>36988.626388888886</v>
      </c>
      <c r="B770" s="6">
        <v>5.3819444444444401E-3</v>
      </c>
      <c r="C770" s="5">
        <v>162</v>
      </c>
    </row>
    <row r="771" spans="1:3">
      <c r="A771" s="68">
        <v>36988.626388888886</v>
      </c>
      <c r="B771" s="6">
        <v>5.5555555555555601E-3</v>
      </c>
      <c r="C771" s="5">
        <v>167</v>
      </c>
    </row>
    <row r="772" spans="1:3">
      <c r="A772" s="68">
        <v>36988.626388888886</v>
      </c>
      <c r="B772" s="6">
        <v>5.7291666666666697E-3</v>
      </c>
      <c r="C772" s="5">
        <v>165</v>
      </c>
    </row>
    <row r="773" spans="1:3">
      <c r="A773" s="68">
        <v>36988.626388888886</v>
      </c>
      <c r="B773" s="6">
        <v>5.9027777777777802E-3</v>
      </c>
      <c r="C773" s="5">
        <v>168</v>
      </c>
    </row>
    <row r="774" spans="1:3">
      <c r="A774" s="68">
        <v>36988.626388888886</v>
      </c>
      <c r="B774" s="6">
        <v>6.0763888888888899E-3</v>
      </c>
      <c r="C774" s="5">
        <v>170</v>
      </c>
    </row>
    <row r="775" spans="1:3">
      <c r="A775" s="68">
        <v>36988.626388888886</v>
      </c>
      <c r="B775" s="6">
        <v>6.2500000000000003E-3</v>
      </c>
      <c r="C775" s="5">
        <v>169</v>
      </c>
    </row>
    <row r="776" spans="1:3">
      <c r="A776" s="68">
        <v>36988.626388888886</v>
      </c>
      <c r="B776" s="6">
        <v>6.42361111111111E-3</v>
      </c>
      <c r="C776" s="5">
        <v>168</v>
      </c>
    </row>
    <row r="777" spans="1:3">
      <c r="A777" s="68">
        <v>36988.626388888886</v>
      </c>
      <c r="B777" s="6">
        <v>6.5972222222222196E-3</v>
      </c>
      <c r="C777" s="5">
        <v>167</v>
      </c>
    </row>
    <row r="778" spans="1:3">
      <c r="A778" s="68">
        <v>36988.626388888886</v>
      </c>
      <c r="B778" s="6">
        <v>6.7708333333333301E-3</v>
      </c>
      <c r="C778" s="5">
        <v>170</v>
      </c>
    </row>
    <row r="779" spans="1:3">
      <c r="A779" s="68">
        <v>36988.626388888886</v>
      </c>
      <c r="B779" s="6">
        <v>6.9444444444444397E-3</v>
      </c>
      <c r="C779" s="5">
        <v>168</v>
      </c>
    </row>
    <row r="780" spans="1:3">
      <c r="A780" s="68">
        <v>36988.626388888886</v>
      </c>
      <c r="B780" s="6">
        <v>7.1180555555555598E-3</v>
      </c>
      <c r="C780" s="5">
        <v>169</v>
      </c>
    </row>
    <row r="781" spans="1:3">
      <c r="A781" s="68">
        <v>36988.626388888886</v>
      </c>
      <c r="B781" s="6">
        <v>7.2916666666666703E-3</v>
      </c>
      <c r="C781" s="5">
        <v>168</v>
      </c>
    </row>
    <row r="782" spans="1:3">
      <c r="A782" s="68">
        <v>36988.626388888886</v>
      </c>
      <c r="B782" s="6">
        <v>7.4652777777777799E-3</v>
      </c>
      <c r="C782" s="5">
        <v>168</v>
      </c>
    </row>
    <row r="783" spans="1:3">
      <c r="A783" s="68">
        <v>36988.626388888886</v>
      </c>
      <c r="B783" s="6">
        <v>7.6388888888888904E-3</v>
      </c>
      <c r="C783" s="5">
        <v>170</v>
      </c>
    </row>
    <row r="784" spans="1:3">
      <c r="A784" s="68">
        <v>36988.626388888886</v>
      </c>
      <c r="B784" s="6">
        <v>7.8125E-3</v>
      </c>
      <c r="C784" s="5">
        <v>172</v>
      </c>
    </row>
    <row r="785" spans="1:3">
      <c r="A785" s="68">
        <v>36988.626388888886</v>
      </c>
      <c r="B785" s="6">
        <v>7.9861111111111105E-3</v>
      </c>
      <c r="C785" s="5">
        <v>171</v>
      </c>
    </row>
    <row r="786" spans="1:3">
      <c r="A786" s="68">
        <v>36988.626388888886</v>
      </c>
      <c r="B786" s="6">
        <v>8.1597222222222193E-3</v>
      </c>
      <c r="C786" s="5">
        <v>171</v>
      </c>
    </row>
    <row r="787" spans="1:3">
      <c r="A787" s="68">
        <v>36988.626388888886</v>
      </c>
      <c r="B787" s="6">
        <v>8.3333333333333297E-3</v>
      </c>
      <c r="C787" s="5">
        <v>170</v>
      </c>
    </row>
    <row r="788" spans="1:3">
      <c r="A788" s="68">
        <v>36988.626388888886</v>
      </c>
      <c r="B788" s="6">
        <v>8.5069444444444507E-3</v>
      </c>
      <c r="C788" s="5">
        <v>171</v>
      </c>
    </row>
    <row r="789" spans="1:3">
      <c r="A789" s="68">
        <v>36988.626388888886</v>
      </c>
      <c r="B789" s="6">
        <v>8.6805555555555594E-3</v>
      </c>
      <c r="C789" s="5">
        <v>171</v>
      </c>
    </row>
    <row r="790" spans="1:3">
      <c r="A790" s="68">
        <v>36988.626388888886</v>
      </c>
      <c r="B790" s="6">
        <v>8.8541666666666699E-3</v>
      </c>
      <c r="C790" s="5">
        <v>170</v>
      </c>
    </row>
    <row r="791" spans="1:3">
      <c r="A791" s="68">
        <v>36988.626388888886</v>
      </c>
      <c r="B791" s="6">
        <v>9.0277777777777804E-3</v>
      </c>
      <c r="C791" s="5">
        <v>169</v>
      </c>
    </row>
    <row r="792" spans="1:3">
      <c r="A792" s="68">
        <v>36988.626388888886</v>
      </c>
      <c r="B792" s="6">
        <v>9.2013888888888892E-3</v>
      </c>
      <c r="C792" s="5">
        <v>171</v>
      </c>
    </row>
    <row r="793" spans="1:3">
      <c r="A793" s="68">
        <v>36988.626388888886</v>
      </c>
      <c r="B793" s="6">
        <v>9.3749999999999997E-3</v>
      </c>
      <c r="C793" s="5">
        <v>172</v>
      </c>
    </row>
    <row r="794" spans="1:3">
      <c r="A794" s="68">
        <v>36988.626388888886</v>
      </c>
      <c r="B794" s="6">
        <v>9.5486111111111101E-3</v>
      </c>
      <c r="C794" s="5">
        <v>170</v>
      </c>
    </row>
    <row r="795" spans="1:3">
      <c r="A795" s="68">
        <v>36988.626388888886</v>
      </c>
      <c r="B795" s="6">
        <v>9.7222222222222206E-3</v>
      </c>
      <c r="C795" s="5">
        <v>171</v>
      </c>
    </row>
    <row r="796" spans="1:3">
      <c r="A796" s="68">
        <v>36988.626388888886</v>
      </c>
      <c r="B796" s="6">
        <v>9.8958333333333294E-3</v>
      </c>
      <c r="C796" s="5">
        <v>172</v>
      </c>
    </row>
    <row r="797" spans="1:3">
      <c r="A797" s="68">
        <v>36988.626388888886</v>
      </c>
      <c r="B797" s="6">
        <v>1.00694444444444E-2</v>
      </c>
      <c r="C797" s="5">
        <v>171</v>
      </c>
    </row>
    <row r="798" spans="1:3">
      <c r="A798" s="68">
        <v>36988.626388888886</v>
      </c>
      <c r="B798" s="6">
        <v>1.0243055555555601E-2</v>
      </c>
      <c r="C798" s="5">
        <v>172</v>
      </c>
    </row>
    <row r="799" spans="1:3">
      <c r="A799" s="68">
        <v>36988.626388888886</v>
      </c>
      <c r="B799" s="6">
        <v>1.0416666666666701E-2</v>
      </c>
      <c r="C799" s="5">
        <v>172</v>
      </c>
    </row>
    <row r="800" spans="1:3">
      <c r="A800" s="68">
        <v>36988.626388888886</v>
      </c>
      <c r="B800" s="6">
        <v>1.0590277777777799E-2</v>
      </c>
      <c r="C800" s="5">
        <v>172</v>
      </c>
    </row>
    <row r="801" spans="1:3">
      <c r="A801" s="68">
        <v>36988.626388888886</v>
      </c>
      <c r="B801" s="6">
        <v>1.0763888888888899E-2</v>
      </c>
      <c r="C801" s="5">
        <v>170</v>
      </c>
    </row>
    <row r="802" spans="1:3">
      <c r="A802" s="68">
        <v>36988.626388888886</v>
      </c>
      <c r="B802" s="6">
        <v>1.0937499999999999E-2</v>
      </c>
      <c r="C802" s="5">
        <v>170</v>
      </c>
    </row>
    <row r="803" spans="1:3">
      <c r="A803" s="68">
        <v>36988.626388888886</v>
      </c>
      <c r="B803" s="6">
        <v>1.1111111111111099E-2</v>
      </c>
      <c r="C803" s="5">
        <v>173</v>
      </c>
    </row>
    <row r="804" spans="1:3">
      <c r="A804" s="68">
        <v>36988.626388888886</v>
      </c>
      <c r="B804" s="6">
        <v>1.1284722222222199E-2</v>
      </c>
      <c r="C804" s="5">
        <v>176</v>
      </c>
    </row>
    <row r="805" spans="1:3">
      <c r="A805" s="68">
        <v>36988.626388888886</v>
      </c>
      <c r="B805" s="6">
        <v>1.14583333333333E-2</v>
      </c>
      <c r="C805" s="5">
        <v>174</v>
      </c>
    </row>
    <row r="806" spans="1:3">
      <c r="A806" s="68">
        <v>36988.626388888886</v>
      </c>
      <c r="B806" s="6">
        <v>1.16319444444444E-2</v>
      </c>
      <c r="C806" s="5">
        <v>172</v>
      </c>
    </row>
    <row r="807" spans="1:3">
      <c r="A807" s="68">
        <v>36988.626388888886</v>
      </c>
      <c r="B807" s="6">
        <v>1.18055555555556E-2</v>
      </c>
      <c r="C807" s="5">
        <v>169</v>
      </c>
    </row>
    <row r="808" spans="1:3">
      <c r="A808" s="68">
        <v>36988.626388888886</v>
      </c>
      <c r="B808" s="6">
        <v>1.19791666666667E-2</v>
      </c>
      <c r="C808" s="5">
        <v>172</v>
      </c>
    </row>
    <row r="809" spans="1:3">
      <c r="A809" s="68">
        <v>36988.626388888886</v>
      </c>
      <c r="B809" s="6">
        <v>1.2152777777777801E-2</v>
      </c>
      <c r="C809" s="5">
        <v>174</v>
      </c>
    </row>
    <row r="810" spans="1:3">
      <c r="A810" s="68">
        <v>36988.626388888886</v>
      </c>
      <c r="B810" s="6">
        <v>1.2326388888888901E-2</v>
      </c>
      <c r="C810" s="5">
        <v>174</v>
      </c>
    </row>
    <row r="811" spans="1:3">
      <c r="A811" s="68">
        <v>36988.626388888886</v>
      </c>
      <c r="B811" s="6">
        <v>1.2500000000000001E-2</v>
      </c>
      <c r="C811" s="5">
        <v>174</v>
      </c>
    </row>
    <row r="812" spans="1:3">
      <c r="A812" s="68">
        <v>36988.626388888886</v>
      </c>
      <c r="B812" s="6">
        <v>1.2673611111111101E-2</v>
      </c>
      <c r="C812" s="5">
        <v>172</v>
      </c>
    </row>
    <row r="813" spans="1:3">
      <c r="A813" s="68">
        <v>36988.626388888886</v>
      </c>
      <c r="B813" s="6">
        <v>1.2847222222222201E-2</v>
      </c>
      <c r="C813" s="5">
        <v>173</v>
      </c>
    </row>
    <row r="814" spans="1:3">
      <c r="A814" s="68">
        <v>36988.626388888886</v>
      </c>
      <c r="B814" s="6">
        <v>1.3020833333333299E-2</v>
      </c>
      <c r="C814" s="5">
        <v>173</v>
      </c>
    </row>
    <row r="815" spans="1:3">
      <c r="A815" s="68">
        <v>36988.626388888886</v>
      </c>
      <c r="B815" s="6">
        <v>1.3194444444444399E-2</v>
      </c>
      <c r="C815" s="5">
        <v>174</v>
      </c>
    </row>
    <row r="816" spans="1:3">
      <c r="A816" s="68">
        <v>36988.626388888886</v>
      </c>
      <c r="B816" s="6">
        <v>1.33680555555556E-2</v>
      </c>
      <c r="C816" s="5">
        <v>175</v>
      </c>
    </row>
    <row r="817" spans="1:3">
      <c r="A817" s="68">
        <v>36988.626388888886</v>
      </c>
      <c r="B817" s="6">
        <v>1.35416666666667E-2</v>
      </c>
      <c r="C817" s="5">
        <v>172</v>
      </c>
    </row>
    <row r="818" spans="1:3">
      <c r="A818" s="68">
        <v>36988.626388888886</v>
      </c>
      <c r="B818" s="6">
        <v>1.37152777777778E-2</v>
      </c>
      <c r="C818" s="5">
        <v>174</v>
      </c>
    </row>
    <row r="819" spans="1:3">
      <c r="A819" s="68">
        <v>36988.626388888886</v>
      </c>
      <c r="B819" s="6">
        <v>1.38888888888889E-2</v>
      </c>
      <c r="C819" s="5">
        <v>175</v>
      </c>
    </row>
    <row r="820" spans="1:3">
      <c r="A820" s="68">
        <v>36988.626388888886</v>
      </c>
      <c r="B820" s="6">
        <v>1.40625E-2</v>
      </c>
      <c r="C820" s="5">
        <v>176</v>
      </c>
    </row>
    <row r="821" spans="1:3">
      <c r="A821" s="68">
        <v>36988.626388888886</v>
      </c>
      <c r="B821" s="6">
        <v>1.42361111111111E-2</v>
      </c>
      <c r="C821" s="5">
        <v>175</v>
      </c>
    </row>
    <row r="822" spans="1:3">
      <c r="A822" s="68">
        <v>36988.626388888886</v>
      </c>
      <c r="B822" s="6">
        <v>1.4409722222222201E-2</v>
      </c>
      <c r="C822" s="5">
        <v>177</v>
      </c>
    </row>
    <row r="823" spans="1:3">
      <c r="A823" s="68">
        <v>36988.626388888886</v>
      </c>
      <c r="B823" s="6">
        <v>1.4583333333333301E-2</v>
      </c>
      <c r="C823" s="5">
        <v>176</v>
      </c>
    </row>
    <row r="824" spans="1:3">
      <c r="A824" s="68">
        <v>36988.626388888886</v>
      </c>
      <c r="B824" s="6">
        <v>1.4756944444444401E-2</v>
      </c>
      <c r="C824" s="5">
        <v>177</v>
      </c>
    </row>
    <row r="825" spans="1:3">
      <c r="A825" s="68">
        <v>36988.626388888886</v>
      </c>
      <c r="B825" s="6">
        <v>1.49305555555556E-2</v>
      </c>
      <c r="C825" s="5">
        <v>177</v>
      </c>
    </row>
    <row r="826" spans="1:3">
      <c r="A826" s="68">
        <v>36988.626388888886</v>
      </c>
      <c r="B826" s="6">
        <v>1.51041666666667E-2</v>
      </c>
      <c r="C826" s="5">
        <v>178</v>
      </c>
    </row>
    <row r="827" spans="1:3">
      <c r="A827" s="68">
        <v>36988.626388888886</v>
      </c>
      <c r="B827" s="6">
        <v>1.52777777777778E-2</v>
      </c>
      <c r="C827" s="5">
        <v>178</v>
      </c>
    </row>
    <row r="828" spans="1:3">
      <c r="A828" s="68">
        <v>36988.626388888886</v>
      </c>
      <c r="B828" s="6">
        <v>1.54513888888889E-2</v>
      </c>
      <c r="C828" s="5">
        <v>178</v>
      </c>
    </row>
    <row r="829" spans="1:3">
      <c r="A829" s="68">
        <v>36988.626388888886</v>
      </c>
      <c r="B829" s="6">
        <v>1.5625E-2</v>
      </c>
      <c r="C829" s="5">
        <v>176</v>
      </c>
    </row>
    <row r="830" spans="1:3">
      <c r="A830" s="68">
        <v>36988.626388888886</v>
      </c>
      <c r="B830" s="6">
        <v>1.57986111111111E-2</v>
      </c>
      <c r="C830" s="5">
        <v>176</v>
      </c>
    </row>
    <row r="831" spans="1:3">
      <c r="A831" s="68">
        <v>36988.626388888886</v>
      </c>
      <c r="B831" s="6">
        <v>1.59722222222222E-2</v>
      </c>
      <c r="C831" s="5">
        <v>173</v>
      </c>
    </row>
    <row r="832" spans="1:3">
      <c r="A832" s="68">
        <v>36988.626388888886</v>
      </c>
      <c r="B832" s="6">
        <v>1.61458333333333E-2</v>
      </c>
      <c r="C832" s="5">
        <v>175</v>
      </c>
    </row>
    <row r="833" spans="1:3">
      <c r="A833" s="68">
        <v>36988.626388888886</v>
      </c>
      <c r="B833" s="6">
        <v>1.63194444444444E-2</v>
      </c>
      <c r="C833" s="5">
        <v>175</v>
      </c>
    </row>
    <row r="834" spans="1:3">
      <c r="A834" s="68">
        <v>36988.626388888886</v>
      </c>
      <c r="B834" s="6">
        <v>1.6493055555555601E-2</v>
      </c>
      <c r="C834" s="5">
        <v>175</v>
      </c>
    </row>
    <row r="835" spans="1:3">
      <c r="A835" s="68">
        <v>36988.626388888886</v>
      </c>
      <c r="B835" s="6">
        <v>1.6666666666666701E-2</v>
      </c>
      <c r="C835" s="5">
        <v>177</v>
      </c>
    </row>
    <row r="836" spans="1:3">
      <c r="A836" s="68">
        <v>36988.626388888886</v>
      </c>
      <c r="B836" s="6">
        <v>1.6840277777777801E-2</v>
      </c>
      <c r="C836" s="5">
        <v>180</v>
      </c>
    </row>
    <row r="837" spans="1:3">
      <c r="A837" s="68">
        <v>36988.626388888886</v>
      </c>
      <c r="B837" s="6">
        <v>1.7013888888888901E-2</v>
      </c>
      <c r="C837" s="5">
        <v>178</v>
      </c>
    </row>
    <row r="838" spans="1:3">
      <c r="A838" s="68">
        <v>36988.626388888886</v>
      </c>
      <c r="B838" s="6">
        <v>1.7187500000000001E-2</v>
      </c>
      <c r="C838" s="5">
        <v>179</v>
      </c>
    </row>
    <row r="839" spans="1:3">
      <c r="A839" s="68">
        <v>36988.626388888886</v>
      </c>
      <c r="B839" s="6">
        <v>1.7361111111111101E-2</v>
      </c>
      <c r="C839" s="5">
        <v>180</v>
      </c>
    </row>
    <row r="840" spans="1:3">
      <c r="A840" s="68">
        <v>36988.626388888886</v>
      </c>
      <c r="B840" s="6">
        <v>1.7534722222222202E-2</v>
      </c>
      <c r="C840" s="5">
        <v>179</v>
      </c>
    </row>
    <row r="841" spans="1:3">
      <c r="A841" s="68">
        <v>36988.626388888886</v>
      </c>
      <c r="B841" s="6">
        <v>1.7708333333333302E-2</v>
      </c>
      <c r="C841" s="5">
        <v>179</v>
      </c>
    </row>
    <row r="842" spans="1:3">
      <c r="A842" s="68">
        <v>36988.626388888886</v>
      </c>
      <c r="B842" s="6">
        <v>1.7881944444444402E-2</v>
      </c>
      <c r="C842" s="5">
        <v>176</v>
      </c>
    </row>
    <row r="843" spans="1:3">
      <c r="A843" s="68">
        <v>36988.626388888886</v>
      </c>
      <c r="B843" s="6">
        <v>1.8055555555555599E-2</v>
      </c>
      <c r="C843" s="5">
        <v>178</v>
      </c>
    </row>
    <row r="844" spans="1:3">
      <c r="A844" s="68">
        <v>36988.626388888886</v>
      </c>
      <c r="B844" s="6">
        <v>1.8229166666666699E-2</v>
      </c>
      <c r="C844" s="5">
        <v>177</v>
      </c>
    </row>
    <row r="845" spans="1:3">
      <c r="A845" s="68">
        <v>36988.626388888886</v>
      </c>
      <c r="B845" s="6">
        <v>1.8402777777777799E-2</v>
      </c>
      <c r="C845" s="5">
        <v>180</v>
      </c>
    </row>
    <row r="846" spans="1:3">
      <c r="A846" s="68">
        <v>36988.626388888886</v>
      </c>
      <c r="B846" s="6">
        <v>1.8576388888888899E-2</v>
      </c>
      <c r="C846" s="5">
        <v>180</v>
      </c>
    </row>
    <row r="847" spans="1:3">
      <c r="A847" s="68">
        <v>36988.626388888886</v>
      </c>
      <c r="B847" s="6">
        <v>1.8749999999999999E-2</v>
      </c>
      <c r="C847" s="5">
        <v>180</v>
      </c>
    </row>
    <row r="848" spans="1:3">
      <c r="A848" s="68">
        <v>36988.626388888886</v>
      </c>
      <c r="B848" s="6">
        <v>1.8923611111111099E-2</v>
      </c>
      <c r="C848" s="5">
        <v>181</v>
      </c>
    </row>
    <row r="849" spans="1:3">
      <c r="A849" s="68">
        <v>36988.626388888886</v>
      </c>
      <c r="B849" s="6">
        <v>1.9097222222222199E-2</v>
      </c>
      <c r="C849" s="5">
        <v>178</v>
      </c>
    </row>
    <row r="850" spans="1:3">
      <c r="A850" s="68">
        <v>36988.626388888886</v>
      </c>
      <c r="B850" s="6">
        <v>1.92708333333333E-2</v>
      </c>
      <c r="C850" s="5">
        <v>178</v>
      </c>
    </row>
    <row r="851" spans="1:3">
      <c r="A851" s="68">
        <v>36988.626388888886</v>
      </c>
      <c r="B851" s="6">
        <v>1.94444444444444E-2</v>
      </c>
      <c r="C851" s="5">
        <v>179</v>
      </c>
    </row>
    <row r="852" spans="1:3">
      <c r="A852" s="68">
        <v>36988.626388888886</v>
      </c>
      <c r="B852" s="6">
        <v>1.96180555555556E-2</v>
      </c>
      <c r="C852" s="5">
        <v>180</v>
      </c>
    </row>
    <row r="853" spans="1:3">
      <c r="A853" s="68">
        <v>36988.626388888886</v>
      </c>
      <c r="B853" s="6">
        <v>1.97916666666667E-2</v>
      </c>
      <c r="C853" s="5">
        <v>178</v>
      </c>
    </row>
    <row r="854" spans="1:3">
      <c r="A854" s="68">
        <v>36988.626388888886</v>
      </c>
      <c r="B854" s="6">
        <v>1.9965277777777801E-2</v>
      </c>
      <c r="C854" s="5">
        <v>179</v>
      </c>
    </row>
    <row r="855" spans="1:3">
      <c r="A855" s="68">
        <v>36988.626388888886</v>
      </c>
      <c r="B855" s="6">
        <v>2.0138888888888901E-2</v>
      </c>
      <c r="C855" s="5">
        <v>177</v>
      </c>
    </row>
    <row r="856" spans="1:3">
      <c r="A856" s="68">
        <v>36988.626388888886</v>
      </c>
      <c r="B856" s="6">
        <v>2.0312500000000001E-2</v>
      </c>
      <c r="C856" s="5">
        <v>175</v>
      </c>
    </row>
    <row r="857" spans="1:3">
      <c r="A857" s="68">
        <v>36988.626388888886</v>
      </c>
      <c r="B857" s="6">
        <v>2.0486111111111101E-2</v>
      </c>
      <c r="C857" s="5">
        <v>179</v>
      </c>
    </row>
    <row r="858" spans="1:3">
      <c r="A858" s="68">
        <v>36988.626388888886</v>
      </c>
      <c r="B858" s="6">
        <v>2.0659722222222201E-2</v>
      </c>
      <c r="C858" s="5">
        <v>177</v>
      </c>
    </row>
    <row r="859" spans="1:3">
      <c r="A859" s="68">
        <v>36988.626388888886</v>
      </c>
      <c r="B859" s="6">
        <v>2.0833333333333301E-2</v>
      </c>
      <c r="C859" s="5">
        <v>178</v>
      </c>
    </row>
    <row r="860" spans="1:3">
      <c r="A860" s="68">
        <v>36988.626388888886</v>
      </c>
      <c r="B860" s="6">
        <v>2.1006944444444401E-2</v>
      </c>
      <c r="C860" s="5">
        <v>178</v>
      </c>
    </row>
    <row r="861" spans="1:3">
      <c r="A861" s="68">
        <v>36988.626388888886</v>
      </c>
      <c r="B861" s="6">
        <v>2.1180555555555598E-2</v>
      </c>
      <c r="C861" s="5">
        <v>178</v>
      </c>
    </row>
    <row r="862" spans="1:3">
      <c r="A862" s="68">
        <v>36988.626388888886</v>
      </c>
      <c r="B862" s="6">
        <v>2.1354166666666698E-2</v>
      </c>
      <c r="C862" s="5">
        <v>182</v>
      </c>
    </row>
    <row r="863" spans="1:3">
      <c r="A863" s="68">
        <v>36988.626388888886</v>
      </c>
      <c r="B863" s="6">
        <v>2.1527777777777798E-2</v>
      </c>
      <c r="C863" s="5">
        <v>175</v>
      </c>
    </row>
    <row r="864" spans="1:3">
      <c r="A864" s="68">
        <v>36988.626388888886</v>
      </c>
      <c r="B864" s="6">
        <v>2.1701388888888899E-2</v>
      </c>
      <c r="C864" s="5">
        <v>179</v>
      </c>
    </row>
    <row r="865" spans="1:3">
      <c r="A865" s="68">
        <v>36988.626388888886</v>
      </c>
      <c r="B865" s="6">
        <v>2.1874999999999999E-2</v>
      </c>
      <c r="C865" s="5">
        <v>177</v>
      </c>
    </row>
    <row r="866" spans="1:3">
      <c r="A866" s="68">
        <v>36988.626388888886</v>
      </c>
      <c r="B866" s="6">
        <v>2.2048611111111099E-2</v>
      </c>
      <c r="C866" s="5">
        <v>179</v>
      </c>
    </row>
    <row r="867" spans="1:3">
      <c r="A867" s="68">
        <v>36988.626388888886</v>
      </c>
      <c r="B867" s="6">
        <v>2.2222222222222199E-2</v>
      </c>
      <c r="C867" s="5">
        <v>180</v>
      </c>
    </row>
    <row r="868" spans="1:3">
      <c r="A868" s="68">
        <v>36988.626388888886</v>
      </c>
      <c r="B868" s="6">
        <v>2.2395833333333299E-2</v>
      </c>
      <c r="C868" s="5">
        <v>179</v>
      </c>
    </row>
    <row r="869" spans="1:3">
      <c r="A869" s="68">
        <v>36988.626388888886</v>
      </c>
      <c r="B869" s="6">
        <v>2.2569444444444399E-2</v>
      </c>
      <c r="C869" s="5">
        <v>179</v>
      </c>
    </row>
    <row r="870" spans="1:3">
      <c r="A870" s="68">
        <v>36988.626388888886</v>
      </c>
      <c r="B870" s="6">
        <v>2.27430555555556E-2</v>
      </c>
      <c r="C870" s="5">
        <v>179</v>
      </c>
    </row>
    <row r="871" spans="1:3">
      <c r="A871" s="68">
        <v>36988.626388888886</v>
      </c>
      <c r="B871" s="6">
        <v>2.29166666666667E-2</v>
      </c>
      <c r="C871" s="5">
        <v>181</v>
      </c>
    </row>
    <row r="872" spans="1:3">
      <c r="A872" s="68">
        <v>36988.626388888886</v>
      </c>
      <c r="B872" s="6">
        <v>2.30902777777778E-2</v>
      </c>
      <c r="C872" s="5">
        <v>180</v>
      </c>
    </row>
    <row r="873" spans="1:3">
      <c r="A873" s="68">
        <v>36988.626388888886</v>
      </c>
      <c r="B873" s="6">
        <v>2.32638888888889E-2</v>
      </c>
      <c r="C873" s="5">
        <v>181</v>
      </c>
    </row>
    <row r="874" spans="1:3">
      <c r="A874" s="68">
        <v>36988.626388888886</v>
      </c>
      <c r="B874" s="6">
        <v>2.34375E-2</v>
      </c>
      <c r="C874" s="5">
        <v>181</v>
      </c>
    </row>
    <row r="875" spans="1:3">
      <c r="A875" s="68">
        <v>36988.626388888886</v>
      </c>
      <c r="B875" s="6">
        <v>2.36111111111111E-2</v>
      </c>
      <c r="C875" s="5">
        <v>180</v>
      </c>
    </row>
    <row r="876" spans="1:3">
      <c r="A876" s="68">
        <v>36988.626388888886</v>
      </c>
      <c r="B876" s="6">
        <v>2.37847222222222E-2</v>
      </c>
      <c r="C876" s="5">
        <v>178</v>
      </c>
    </row>
    <row r="877" spans="1:3">
      <c r="A877" s="68">
        <v>36988.626388888886</v>
      </c>
      <c r="B877" s="6">
        <v>2.39583333333333E-2</v>
      </c>
      <c r="C877" s="5">
        <v>179</v>
      </c>
    </row>
    <row r="878" spans="1:3">
      <c r="A878" s="68">
        <v>36988.626388888886</v>
      </c>
      <c r="B878" s="6">
        <v>2.41319444444444E-2</v>
      </c>
      <c r="C878" s="5">
        <v>181</v>
      </c>
    </row>
    <row r="879" spans="1:3">
      <c r="A879" s="68">
        <v>36988.626388888886</v>
      </c>
      <c r="B879" s="6">
        <v>2.4305555555555601E-2</v>
      </c>
      <c r="C879" s="5">
        <v>181</v>
      </c>
    </row>
    <row r="880" spans="1:3">
      <c r="A880" s="68">
        <v>36988.626388888886</v>
      </c>
      <c r="B880" s="6">
        <v>2.4479166666666701E-2</v>
      </c>
      <c r="C880" s="5">
        <v>179</v>
      </c>
    </row>
    <row r="881" spans="1:3">
      <c r="A881" s="68">
        <v>36988.626388888886</v>
      </c>
      <c r="B881" s="6">
        <v>2.4652777777777801E-2</v>
      </c>
      <c r="C881" s="5">
        <v>181</v>
      </c>
    </row>
    <row r="882" spans="1:3">
      <c r="A882" s="68">
        <v>36988.626388888886</v>
      </c>
      <c r="B882" s="6">
        <v>2.4826388888888901E-2</v>
      </c>
      <c r="C882" s="5">
        <v>184</v>
      </c>
    </row>
    <row r="883" spans="1:3">
      <c r="A883" s="68">
        <v>36988.626388888886</v>
      </c>
      <c r="B883" s="6">
        <v>2.5000000000000001E-2</v>
      </c>
      <c r="C883" s="5">
        <v>183</v>
      </c>
    </row>
    <row r="884" spans="1:3">
      <c r="A884" s="68">
        <v>36988.626388888886</v>
      </c>
      <c r="B884" s="6">
        <v>2.5173611111111101E-2</v>
      </c>
      <c r="C884" s="5">
        <v>182</v>
      </c>
    </row>
    <row r="885" spans="1:3">
      <c r="A885" s="68">
        <v>36988.626388888886</v>
      </c>
      <c r="B885" s="6">
        <v>2.5347222222222202E-2</v>
      </c>
      <c r="C885" s="5">
        <v>182</v>
      </c>
    </row>
    <row r="886" spans="1:3">
      <c r="A886" s="68">
        <v>36988.626388888886</v>
      </c>
      <c r="B886" s="6">
        <v>2.5694444444444402E-2</v>
      </c>
      <c r="C886" s="5">
        <v>184</v>
      </c>
    </row>
    <row r="887" spans="1:3">
      <c r="A887" s="68">
        <v>36988.626388888886</v>
      </c>
      <c r="B887" s="6">
        <v>2.5868055555555599E-2</v>
      </c>
      <c r="C887" s="5">
        <v>181</v>
      </c>
    </row>
    <row r="888" spans="1:3">
      <c r="A888" s="68">
        <v>36988.626388888886</v>
      </c>
      <c r="B888" s="6">
        <v>2.6041666666666699E-2</v>
      </c>
      <c r="C888" s="5">
        <v>182</v>
      </c>
    </row>
    <row r="889" spans="1:3">
      <c r="A889" s="68">
        <v>36988.626388888886</v>
      </c>
      <c r="B889" s="6">
        <v>2.6215277777777799E-2</v>
      </c>
      <c r="C889" s="5">
        <v>181</v>
      </c>
    </row>
    <row r="890" spans="1:3">
      <c r="A890" s="68">
        <v>36988.626388888886</v>
      </c>
      <c r="B890" s="6">
        <v>2.6388888888888899E-2</v>
      </c>
      <c r="C890" s="5">
        <v>181</v>
      </c>
    </row>
    <row r="891" spans="1:3">
      <c r="A891" s="68">
        <v>36988.626388888886</v>
      </c>
      <c r="B891" s="6">
        <v>2.6562499999999999E-2</v>
      </c>
      <c r="C891" s="5">
        <v>182</v>
      </c>
    </row>
    <row r="892" spans="1:3">
      <c r="A892" s="68">
        <v>36988.626388888886</v>
      </c>
      <c r="B892" s="6">
        <v>2.6736111111111099E-2</v>
      </c>
      <c r="C892" s="5">
        <v>180</v>
      </c>
    </row>
    <row r="893" spans="1:3">
      <c r="A893" s="68">
        <v>36988.626388888886</v>
      </c>
      <c r="B893" s="6">
        <v>2.6909722222222199E-2</v>
      </c>
      <c r="C893" s="5">
        <v>181</v>
      </c>
    </row>
    <row r="894" spans="1:3">
      <c r="A894" s="68">
        <v>36988.626388888886</v>
      </c>
      <c r="B894" s="6">
        <v>2.70833333333333E-2</v>
      </c>
      <c r="C894" s="5">
        <v>181</v>
      </c>
    </row>
    <row r="895" spans="1:3">
      <c r="A895" s="68">
        <v>36988.626388888886</v>
      </c>
      <c r="B895" s="6">
        <v>2.72569444444444E-2</v>
      </c>
      <c r="C895" s="5">
        <v>181</v>
      </c>
    </row>
    <row r="896" spans="1:3">
      <c r="A896" s="68">
        <v>36988.626388888886</v>
      </c>
      <c r="B896" s="6">
        <v>2.74305555555556E-2</v>
      </c>
      <c r="C896" s="5">
        <v>184</v>
      </c>
    </row>
    <row r="897" spans="1:3">
      <c r="A897" s="68">
        <v>36988.626388888886</v>
      </c>
      <c r="B897" s="6">
        <v>2.76041666666667E-2</v>
      </c>
      <c r="C897" s="5">
        <v>184</v>
      </c>
    </row>
    <row r="898" spans="1:3">
      <c r="A898" s="68">
        <v>37037.73541666667</v>
      </c>
      <c r="B898" s="6">
        <v>0</v>
      </c>
      <c r="C898" s="5">
        <v>127</v>
      </c>
    </row>
    <row r="899" spans="1:3">
      <c r="A899" s="68">
        <v>37037.73541666667</v>
      </c>
      <c r="B899" s="6">
        <v>6.9444444444444447E-4</v>
      </c>
      <c r="C899" s="5">
        <v>143</v>
      </c>
    </row>
    <row r="900" spans="1:3">
      <c r="A900" s="68">
        <v>37037.73541666667</v>
      </c>
      <c r="B900" s="6">
        <v>1.38888888888889E-3</v>
      </c>
      <c r="C900" s="5">
        <v>149</v>
      </c>
    </row>
    <row r="901" spans="1:3">
      <c r="A901" s="68">
        <v>37037.73541666667</v>
      </c>
      <c r="B901" s="6">
        <v>2.0833333333333298E-3</v>
      </c>
      <c r="C901" s="5">
        <v>152</v>
      </c>
    </row>
    <row r="902" spans="1:3">
      <c r="A902" s="68">
        <v>37037.73541666667</v>
      </c>
      <c r="B902" s="6">
        <v>2.7777777777777801E-3</v>
      </c>
      <c r="C902" s="5">
        <v>156</v>
      </c>
    </row>
    <row r="903" spans="1:3">
      <c r="A903" s="68">
        <v>37037.73541666667</v>
      </c>
      <c r="B903" s="6">
        <v>3.4722222222222199E-3</v>
      </c>
      <c r="C903" s="5">
        <v>159</v>
      </c>
    </row>
    <row r="904" spans="1:3">
      <c r="A904" s="68">
        <v>37037.73541666667</v>
      </c>
      <c r="B904" s="6">
        <v>4.1666666666666701E-3</v>
      </c>
      <c r="C904" s="5">
        <v>158</v>
      </c>
    </row>
    <row r="905" spans="1:3">
      <c r="A905" s="68">
        <v>37037.73541666667</v>
      </c>
      <c r="B905" s="6">
        <v>4.8611111111111103E-3</v>
      </c>
      <c r="C905" s="5">
        <v>163</v>
      </c>
    </row>
    <row r="906" spans="1:3">
      <c r="A906" s="68">
        <v>37037.73541666667</v>
      </c>
      <c r="B906" s="6">
        <v>5.5555555555555601E-3</v>
      </c>
      <c r="C906" s="5">
        <v>165</v>
      </c>
    </row>
    <row r="907" spans="1:3">
      <c r="A907" s="68">
        <v>37037.73541666667</v>
      </c>
      <c r="B907" s="6">
        <v>6.2500000000000003E-3</v>
      </c>
      <c r="C907" s="5">
        <v>163</v>
      </c>
    </row>
    <row r="908" spans="1:3">
      <c r="A908" s="68">
        <v>37037.73541666667</v>
      </c>
      <c r="B908" s="6">
        <v>6.9444444444444397E-3</v>
      </c>
      <c r="C908" s="5">
        <v>163</v>
      </c>
    </row>
    <row r="909" spans="1:3">
      <c r="A909" s="68">
        <v>37037.73541666667</v>
      </c>
      <c r="B909" s="6">
        <v>7.6388888888888904E-3</v>
      </c>
      <c r="C909" s="5">
        <v>165</v>
      </c>
    </row>
    <row r="910" spans="1:3">
      <c r="A910" s="68">
        <v>37037.73541666667</v>
      </c>
      <c r="B910" s="6">
        <v>8.3333333333333297E-3</v>
      </c>
      <c r="C910" s="5">
        <v>167</v>
      </c>
    </row>
    <row r="911" spans="1:3">
      <c r="A911" s="68">
        <v>37037.73541666667</v>
      </c>
      <c r="B911" s="6">
        <v>9.0277777777777804E-3</v>
      </c>
      <c r="C911" s="5">
        <v>169</v>
      </c>
    </row>
    <row r="912" spans="1:3">
      <c r="A912" s="68">
        <v>37037.73541666667</v>
      </c>
      <c r="B912" s="6">
        <v>9.7222222222222206E-3</v>
      </c>
      <c r="C912" s="5">
        <v>168</v>
      </c>
    </row>
    <row r="913" spans="1:3">
      <c r="A913" s="68">
        <v>37037.73541666667</v>
      </c>
      <c r="B913" s="6">
        <v>1.0416666666666701E-2</v>
      </c>
      <c r="C913" s="5">
        <v>169</v>
      </c>
    </row>
    <row r="914" spans="1:3">
      <c r="A914" s="68">
        <v>37037.73541666667</v>
      </c>
      <c r="B914" s="6">
        <v>1.1111111111111099E-2</v>
      </c>
      <c r="C914" s="5">
        <v>169</v>
      </c>
    </row>
    <row r="915" spans="1:3">
      <c r="A915" s="68">
        <v>37037.73541666667</v>
      </c>
      <c r="B915" s="6">
        <v>1.18055555555556E-2</v>
      </c>
      <c r="C915" s="5">
        <v>169</v>
      </c>
    </row>
    <row r="916" spans="1:3">
      <c r="A916" s="68">
        <v>37037.73541666667</v>
      </c>
      <c r="B916" s="6">
        <v>1.2500000000000001E-2</v>
      </c>
      <c r="C916" s="5">
        <v>168</v>
      </c>
    </row>
    <row r="917" spans="1:3">
      <c r="A917" s="68">
        <v>37037.73541666667</v>
      </c>
      <c r="B917" s="6">
        <v>1.3194444444444399E-2</v>
      </c>
      <c r="C917" s="5">
        <v>170</v>
      </c>
    </row>
    <row r="918" spans="1:3">
      <c r="A918" s="68">
        <v>37037.73541666667</v>
      </c>
      <c r="B918" s="6">
        <v>1.38888888888889E-2</v>
      </c>
      <c r="C918" s="5">
        <v>171</v>
      </c>
    </row>
    <row r="919" spans="1:3">
      <c r="A919" s="68">
        <v>37037.73541666667</v>
      </c>
      <c r="B919" s="6">
        <v>1.4583333333333301E-2</v>
      </c>
      <c r="C919" s="5">
        <v>174</v>
      </c>
    </row>
    <row r="920" spans="1:3">
      <c r="A920" s="68">
        <v>37037.73541666667</v>
      </c>
      <c r="B920" s="6">
        <v>1.52777777777778E-2</v>
      </c>
      <c r="C920" s="5">
        <v>174</v>
      </c>
    </row>
    <row r="921" spans="1:3">
      <c r="A921" s="68">
        <v>37037.73541666667</v>
      </c>
      <c r="B921" s="6">
        <v>1.59722222222222E-2</v>
      </c>
      <c r="C921" s="5">
        <v>174</v>
      </c>
    </row>
    <row r="922" spans="1:3">
      <c r="A922" s="68">
        <v>37037.73541666667</v>
      </c>
      <c r="B922" s="6">
        <v>1.6666666666666701E-2</v>
      </c>
      <c r="C922" s="5">
        <v>175</v>
      </c>
    </row>
    <row r="923" spans="1:3">
      <c r="A923" s="68">
        <v>37037.73541666667</v>
      </c>
      <c r="B923" s="6">
        <v>1.7361111111111101E-2</v>
      </c>
      <c r="C923" s="5">
        <v>171</v>
      </c>
    </row>
    <row r="924" spans="1:3">
      <c r="A924" s="68">
        <v>37037.73541666667</v>
      </c>
      <c r="B924" s="6">
        <v>1.8055555555555599E-2</v>
      </c>
      <c r="C924" s="5">
        <v>175</v>
      </c>
    </row>
    <row r="925" spans="1:3">
      <c r="A925" s="68">
        <v>37037.73541666667</v>
      </c>
      <c r="B925" s="6">
        <v>1.8749999999999999E-2</v>
      </c>
      <c r="C925" s="5">
        <v>176</v>
      </c>
    </row>
    <row r="926" spans="1:3">
      <c r="A926" s="68">
        <v>37037.73541666667</v>
      </c>
      <c r="B926" s="6">
        <v>1.94444444444444E-2</v>
      </c>
      <c r="C926" s="5">
        <v>172</v>
      </c>
    </row>
    <row r="927" spans="1:3">
      <c r="A927" s="68">
        <v>37037.73541666667</v>
      </c>
      <c r="B927" s="6">
        <v>2.0138888888888901E-2</v>
      </c>
      <c r="C927" s="5">
        <v>173</v>
      </c>
    </row>
    <row r="928" spans="1:3">
      <c r="A928" s="68">
        <v>37037.73541666667</v>
      </c>
      <c r="B928" s="6">
        <v>2.0833333333333301E-2</v>
      </c>
      <c r="C928" s="5">
        <v>175</v>
      </c>
    </row>
    <row r="929" spans="1:3">
      <c r="A929" s="68">
        <v>37037.73541666667</v>
      </c>
      <c r="B929" s="6">
        <v>2.1527777777777798E-2</v>
      </c>
      <c r="C929" s="5">
        <v>173</v>
      </c>
    </row>
    <row r="930" spans="1:3">
      <c r="A930" s="68">
        <v>37037.73541666667</v>
      </c>
      <c r="B930" s="6">
        <v>2.2222222222222299E-2</v>
      </c>
      <c r="C930" s="5">
        <v>174</v>
      </c>
    </row>
    <row r="931" spans="1:3">
      <c r="A931" s="68">
        <v>37037.73541666667</v>
      </c>
      <c r="B931" s="6">
        <v>2.29166666666668E-2</v>
      </c>
      <c r="C931" s="5">
        <v>177</v>
      </c>
    </row>
    <row r="932" spans="1:3">
      <c r="A932" s="68">
        <v>37037.73541666667</v>
      </c>
      <c r="B932" s="6">
        <v>2.3611111111111301E-2</v>
      </c>
      <c r="C932" s="5">
        <v>176</v>
      </c>
    </row>
    <row r="933" spans="1:3">
      <c r="A933" s="68">
        <v>37037.73541666667</v>
      </c>
      <c r="B933" s="6">
        <v>2.4305555555555799E-2</v>
      </c>
      <c r="C933" s="5">
        <v>176</v>
      </c>
    </row>
    <row r="934" spans="1:3">
      <c r="A934" s="68">
        <v>37037.73541666667</v>
      </c>
      <c r="B934" s="6">
        <v>2.50000000000003E-2</v>
      </c>
      <c r="C934" s="5">
        <v>176</v>
      </c>
    </row>
    <row r="935" spans="1:3">
      <c r="A935" s="68">
        <v>37037.73541666667</v>
      </c>
      <c r="B935" s="6">
        <v>2.5694444444444801E-2</v>
      </c>
      <c r="C935" s="5">
        <v>178</v>
      </c>
    </row>
    <row r="936" spans="1:3">
      <c r="A936" s="68">
        <v>37037.73541666667</v>
      </c>
      <c r="B936" s="6">
        <v>2.6388888888889302E-2</v>
      </c>
      <c r="C936" s="5">
        <v>177</v>
      </c>
    </row>
    <row r="937" spans="1:3">
      <c r="A937" s="68">
        <v>37037.73541666667</v>
      </c>
      <c r="B937" s="6">
        <v>2.7083333333333799E-2</v>
      </c>
      <c r="C937" s="5">
        <v>178</v>
      </c>
    </row>
    <row r="938" spans="1:3">
      <c r="A938" s="68">
        <v>37040.879861111112</v>
      </c>
      <c r="B938" s="6">
        <v>0</v>
      </c>
      <c r="C938" s="5">
        <v>113</v>
      </c>
    </row>
    <row r="939" spans="1:3">
      <c r="A939" s="68">
        <v>37040.879861111112</v>
      </c>
      <c r="B939" s="6">
        <v>6.9444444444444447E-4</v>
      </c>
      <c r="C939" s="5">
        <v>149</v>
      </c>
    </row>
    <row r="940" spans="1:3">
      <c r="A940" s="68">
        <v>37040.879861111112</v>
      </c>
      <c r="B940" s="6">
        <v>1.38888888888889E-3</v>
      </c>
      <c r="C940" s="5">
        <v>154</v>
      </c>
    </row>
    <row r="941" spans="1:3">
      <c r="A941" s="68">
        <v>37040.879861111112</v>
      </c>
      <c r="B941" s="6">
        <v>2.0833333333333298E-3</v>
      </c>
      <c r="C941" s="5">
        <v>154</v>
      </c>
    </row>
    <row r="942" spans="1:3">
      <c r="A942" s="68">
        <v>37040.879861111112</v>
      </c>
      <c r="B942" s="6">
        <v>2.7777777777777801E-3</v>
      </c>
      <c r="C942" s="5">
        <v>158</v>
      </c>
    </row>
    <row r="943" spans="1:3">
      <c r="A943" s="68">
        <v>37040.879861111112</v>
      </c>
      <c r="B943" s="6">
        <v>3.4722222222222199E-3</v>
      </c>
      <c r="C943" s="5">
        <v>160</v>
      </c>
    </row>
    <row r="944" spans="1:3">
      <c r="A944" s="68">
        <v>37040.879861111112</v>
      </c>
      <c r="B944" s="6">
        <v>4.1666666666666701E-3</v>
      </c>
      <c r="C944" s="5">
        <v>164</v>
      </c>
    </row>
    <row r="945" spans="1:3">
      <c r="A945" s="68">
        <v>37040.879861111112</v>
      </c>
      <c r="B945" s="6">
        <v>4.8611111111111103E-3</v>
      </c>
      <c r="C945" s="5">
        <v>163</v>
      </c>
    </row>
    <row r="946" spans="1:3">
      <c r="A946" s="68">
        <v>37040.879861111112</v>
      </c>
      <c r="B946" s="6">
        <v>5.5555555555555601E-3</v>
      </c>
      <c r="C946" s="5">
        <v>166</v>
      </c>
    </row>
    <row r="947" spans="1:3">
      <c r="A947" s="68">
        <v>37040.879861111112</v>
      </c>
      <c r="B947" s="6">
        <v>6.2500000000000003E-3</v>
      </c>
      <c r="C947" s="5">
        <v>165</v>
      </c>
    </row>
    <row r="948" spans="1:3">
      <c r="A948" s="68">
        <v>37040.879861111112</v>
      </c>
      <c r="B948" s="6">
        <v>6.9444444444444397E-3</v>
      </c>
      <c r="C948" s="5">
        <v>165</v>
      </c>
    </row>
    <row r="949" spans="1:3">
      <c r="A949" s="68">
        <v>37040.879861111112</v>
      </c>
      <c r="B949" s="6">
        <v>7.6388888888888904E-3</v>
      </c>
      <c r="C949" s="5">
        <v>168</v>
      </c>
    </row>
    <row r="950" spans="1:3">
      <c r="A950" s="68">
        <v>37040.879861111112</v>
      </c>
      <c r="B950" s="6">
        <v>8.3333333333333297E-3</v>
      </c>
      <c r="C950" s="5">
        <v>168</v>
      </c>
    </row>
    <row r="951" spans="1:3">
      <c r="A951" s="68">
        <v>37040.879861111112</v>
      </c>
      <c r="B951" s="6">
        <v>9.0277777777777804E-3</v>
      </c>
      <c r="C951" s="5">
        <v>167</v>
      </c>
    </row>
    <row r="952" spans="1:3">
      <c r="A952" s="68">
        <v>37040.879861111112</v>
      </c>
      <c r="B952" s="6">
        <v>9.7222222222222206E-3</v>
      </c>
      <c r="C952" s="5">
        <v>166</v>
      </c>
    </row>
    <row r="953" spans="1:3">
      <c r="A953" s="68">
        <v>37040.879861111112</v>
      </c>
      <c r="B953" s="6">
        <v>1.0416666666666701E-2</v>
      </c>
      <c r="C953" s="5">
        <v>163</v>
      </c>
    </row>
    <row r="954" spans="1:3">
      <c r="A954" s="68">
        <v>37040.879861111112</v>
      </c>
      <c r="B954" s="6">
        <v>1.1111111111111099E-2</v>
      </c>
      <c r="C954" s="5">
        <v>168</v>
      </c>
    </row>
    <row r="955" spans="1:3">
      <c r="A955" s="68">
        <v>37040.879861111112</v>
      </c>
      <c r="B955" s="6">
        <v>1.18055555555556E-2</v>
      </c>
      <c r="C955" s="5">
        <v>168</v>
      </c>
    </row>
    <row r="956" spans="1:3">
      <c r="A956" s="68">
        <v>37040.879861111112</v>
      </c>
      <c r="B956" s="6">
        <v>1.2500000000000001E-2</v>
      </c>
      <c r="C956" s="5">
        <v>163</v>
      </c>
    </row>
    <row r="957" spans="1:3">
      <c r="A957" s="68">
        <v>37040.879861111112</v>
      </c>
      <c r="B957" s="6">
        <v>1.3194444444444399E-2</v>
      </c>
      <c r="C957" s="5">
        <v>168</v>
      </c>
    </row>
    <row r="958" spans="1:3">
      <c r="A958" s="68">
        <v>37040.879861111112</v>
      </c>
      <c r="B958" s="6">
        <v>1.38888888888889E-2</v>
      </c>
      <c r="C958" s="5">
        <v>167</v>
      </c>
    </row>
    <row r="959" spans="1:3">
      <c r="A959" s="68">
        <v>37040.879861111112</v>
      </c>
      <c r="B959" s="6">
        <v>1.4583333333333301E-2</v>
      </c>
      <c r="C959" s="5">
        <v>167</v>
      </c>
    </row>
    <row r="960" spans="1:3">
      <c r="A960" s="68">
        <v>37040.879861111112</v>
      </c>
      <c r="B960" s="6">
        <v>1.52777777777778E-2</v>
      </c>
      <c r="C960" s="5">
        <v>165</v>
      </c>
    </row>
    <row r="961" spans="1:3">
      <c r="A961" s="68">
        <v>37040.879861111112</v>
      </c>
      <c r="B961" s="6">
        <v>1.59722222222222E-2</v>
      </c>
      <c r="C961" s="5">
        <v>168</v>
      </c>
    </row>
    <row r="962" spans="1:3">
      <c r="A962" s="68">
        <v>37040.879861111112</v>
      </c>
      <c r="B962" s="6">
        <v>1.6666666666666701E-2</v>
      </c>
      <c r="C962" s="5">
        <v>167</v>
      </c>
    </row>
    <row r="963" spans="1:3">
      <c r="A963" s="68">
        <v>37040.879861111112</v>
      </c>
      <c r="B963" s="6">
        <v>1.7361111111111101E-2</v>
      </c>
      <c r="C963" s="5">
        <v>168</v>
      </c>
    </row>
    <row r="964" spans="1:3">
      <c r="A964" s="68">
        <v>37040.879861111112</v>
      </c>
      <c r="B964" s="6">
        <v>1.8055555555555599E-2</v>
      </c>
      <c r="C964" s="5">
        <v>168</v>
      </c>
    </row>
    <row r="965" spans="1:3">
      <c r="A965" s="68">
        <v>37040.879861111112</v>
      </c>
      <c r="B965" s="6">
        <v>1.8749999999999999E-2</v>
      </c>
      <c r="C965" s="5">
        <v>167</v>
      </c>
    </row>
    <row r="966" spans="1:3">
      <c r="A966" s="68">
        <v>37040.879861111112</v>
      </c>
      <c r="B966" s="6">
        <v>1.94444444444444E-2</v>
      </c>
      <c r="C966" s="5">
        <v>168</v>
      </c>
    </row>
    <row r="967" spans="1:3">
      <c r="A967" s="68">
        <v>37040.879861111112</v>
      </c>
      <c r="B967" s="6">
        <v>2.0138888888888901E-2</v>
      </c>
      <c r="C967" s="5">
        <v>169</v>
      </c>
    </row>
    <row r="968" spans="1:3">
      <c r="A968" s="68">
        <v>37040.879861111112</v>
      </c>
      <c r="B968" s="6">
        <v>2.0833333333333301E-2</v>
      </c>
      <c r="C968" s="5">
        <v>170</v>
      </c>
    </row>
    <row r="969" spans="1:3">
      <c r="A969" s="68">
        <v>37040.879861111112</v>
      </c>
      <c r="B969" s="6">
        <v>2.1527777777777798E-2</v>
      </c>
      <c r="C969" s="5">
        <v>172</v>
      </c>
    </row>
    <row r="970" spans="1:3">
      <c r="A970" s="68">
        <v>37040.879861111112</v>
      </c>
      <c r="B970" s="6">
        <v>2.2222222222222299E-2</v>
      </c>
      <c r="C970" s="5">
        <v>174</v>
      </c>
    </row>
    <row r="971" spans="1:3">
      <c r="A971" s="68">
        <v>37040.879861111112</v>
      </c>
      <c r="B971" s="6">
        <v>2.29166666666668E-2</v>
      </c>
      <c r="C971" s="5">
        <v>174</v>
      </c>
    </row>
    <row r="972" spans="1:3">
      <c r="A972" s="68">
        <v>37040.879861111112</v>
      </c>
      <c r="B972" s="6">
        <v>2.3611111111111301E-2</v>
      </c>
      <c r="C972" s="5">
        <v>173</v>
      </c>
    </row>
    <row r="973" spans="1:3">
      <c r="A973" s="68">
        <v>37040.879861111112</v>
      </c>
      <c r="B973" s="6">
        <v>2.4305555555555799E-2</v>
      </c>
      <c r="C973" s="5">
        <v>174</v>
      </c>
    </row>
    <row r="974" spans="1:3">
      <c r="A974" s="68">
        <v>37040.879861111112</v>
      </c>
      <c r="B974" s="6">
        <v>2.50000000000003E-2</v>
      </c>
      <c r="C974" s="5">
        <v>175</v>
      </c>
    </row>
    <row r="975" spans="1:3">
      <c r="A975" s="68">
        <v>37040.879861111112</v>
      </c>
      <c r="B975" s="6">
        <v>2.5694444444444801E-2</v>
      </c>
      <c r="C975" s="5">
        <v>173</v>
      </c>
    </row>
    <row r="976" spans="1:3">
      <c r="A976" s="68">
        <v>37040.879861111112</v>
      </c>
      <c r="B976" s="6">
        <v>2.6388888888889302E-2</v>
      </c>
      <c r="C976" s="5">
        <v>165</v>
      </c>
    </row>
    <row r="977" spans="1:3">
      <c r="A977" s="68">
        <v>37040.879861111112</v>
      </c>
      <c r="B977" s="6">
        <v>2.7083333333333799E-2</v>
      </c>
      <c r="C977" s="5">
        <v>169</v>
      </c>
    </row>
    <row r="978" spans="1:3">
      <c r="A978" s="68">
        <v>37040.879861111112</v>
      </c>
      <c r="B978" s="6">
        <v>2.77777777777783E-2</v>
      </c>
      <c r="C978" s="5">
        <v>172</v>
      </c>
    </row>
    <row r="979" spans="1:3">
      <c r="A979" s="68">
        <v>37040.879861111112</v>
      </c>
      <c r="B979" s="6">
        <v>2.8472222222222801E-2</v>
      </c>
      <c r="C979" s="5">
        <v>171</v>
      </c>
    </row>
    <row r="980" spans="1:3">
      <c r="A980" s="68">
        <v>37040.879861111112</v>
      </c>
      <c r="B980" s="6">
        <v>2.9166666666667299E-2</v>
      </c>
      <c r="C980" s="5">
        <v>170</v>
      </c>
    </row>
    <row r="981" spans="1:3">
      <c r="A981" s="68">
        <v>37040.879861111112</v>
      </c>
      <c r="B981" s="6">
        <v>2.98611111111118E-2</v>
      </c>
      <c r="C981" s="5">
        <v>171</v>
      </c>
    </row>
    <row r="982" spans="1:3">
      <c r="A982" s="68">
        <v>37040.879861111112</v>
      </c>
      <c r="B982" s="6">
        <v>3.05555555555563E-2</v>
      </c>
      <c r="C982" s="5">
        <v>173</v>
      </c>
    </row>
    <row r="983" spans="1:3">
      <c r="A983" s="68">
        <v>37040.879861111112</v>
      </c>
      <c r="B983" s="6">
        <v>3.1250000000000798E-2</v>
      </c>
      <c r="C983" s="5">
        <v>175</v>
      </c>
    </row>
    <row r="984" spans="1:3">
      <c r="A984" s="68">
        <v>37040.879861111112</v>
      </c>
      <c r="B984" s="6">
        <v>3.1944444444445302E-2</v>
      </c>
      <c r="C984" s="5">
        <v>176</v>
      </c>
    </row>
    <row r="985" spans="1:3">
      <c r="A985" s="68">
        <v>37040.879861111112</v>
      </c>
      <c r="B985" s="6">
        <v>3.26388888888898E-2</v>
      </c>
      <c r="C985" s="5">
        <v>177</v>
      </c>
    </row>
    <row r="986" spans="1:3">
      <c r="A986" s="68">
        <v>37040.879861111112</v>
      </c>
      <c r="B986" s="6">
        <v>3.3333333333334297E-2</v>
      </c>
      <c r="C986" s="5">
        <v>180</v>
      </c>
    </row>
    <row r="987" spans="1:3">
      <c r="A987" s="68">
        <v>37040.879861111112</v>
      </c>
      <c r="B987" s="6">
        <v>3.4027777777778802E-2</v>
      </c>
      <c r="C987" s="5">
        <v>180</v>
      </c>
    </row>
    <row r="988" spans="1:3">
      <c r="A988" s="68">
        <v>37040.879861111112</v>
      </c>
      <c r="B988" s="6">
        <v>3.4722222222223299E-2</v>
      </c>
      <c r="C988" s="5">
        <v>178</v>
      </c>
    </row>
    <row r="989" spans="1:3">
      <c r="A989" s="68">
        <v>37042.795138888891</v>
      </c>
      <c r="B989" s="6">
        <v>0</v>
      </c>
      <c r="C989" s="5">
        <v>82</v>
      </c>
    </row>
    <row r="990" spans="1:3">
      <c r="A990" s="68">
        <v>37042.795138888891</v>
      </c>
      <c r="B990" s="6">
        <v>5.7870370370370366E-5</v>
      </c>
      <c r="C990" s="5">
        <v>82</v>
      </c>
    </row>
    <row r="991" spans="1:3">
      <c r="A991" s="68">
        <v>37042.795138888891</v>
      </c>
      <c r="B991" s="6">
        <v>1.15740740740741E-4</v>
      </c>
      <c r="C991" s="5">
        <v>82</v>
      </c>
    </row>
    <row r="992" spans="1:3">
      <c r="A992" s="68">
        <v>37042.795138888891</v>
      </c>
      <c r="B992" s="6">
        <v>1.7361111111111101E-4</v>
      </c>
      <c r="C992" s="5">
        <v>139</v>
      </c>
    </row>
    <row r="993" spans="1:3">
      <c r="A993" s="68">
        <v>37042.795138888891</v>
      </c>
      <c r="B993" s="6">
        <v>2.31481481481481E-4</v>
      </c>
      <c r="C993" s="5">
        <v>150</v>
      </c>
    </row>
    <row r="994" spans="1:3">
      <c r="A994" s="68">
        <v>37042.795138888891</v>
      </c>
      <c r="B994" s="6">
        <v>2.89351851851852E-4</v>
      </c>
      <c r="C994" s="5">
        <v>156</v>
      </c>
    </row>
    <row r="995" spans="1:3">
      <c r="A995" s="68">
        <v>37042.795138888891</v>
      </c>
      <c r="B995" s="6">
        <v>3.4722222222222202E-4</v>
      </c>
      <c r="C995" s="5">
        <v>159</v>
      </c>
    </row>
    <row r="996" spans="1:3">
      <c r="A996" s="68">
        <v>37042.795138888891</v>
      </c>
      <c r="B996" s="6">
        <v>4.0509259259259301E-4</v>
      </c>
      <c r="C996" s="5">
        <v>160</v>
      </c>
    </row>
    <row r="997" spans="1:3">
      <c r="A997" s="68">
        <v>37042.795138888891</v>
      </c>
      <c r="B997" s="6">
        <v>4.6296296296296298E-4</v>
      </c>
      <c r="C997" s="5">
        <v>162</v>
      </c>
    </row>
    <row r="998" spans="1:3">
      <c r="A998" s="68">
        <v>37042.795138888891</v>
      </c>
      <c r="B998" s="6">
        <v>5.20833333333333E-4</v>
      </c>
      <c r="C998" s="5">
        <v>163</v>
      </c>
    </row>
    <row r="999" spans="1:3">
      <c r="A999" s="68">
        <v>37042.795138888891</v>
      </c>
      <c r="B999" s="6">
        <v>5.78703703703704E-4</v>
      </c>
      <c r="C999" s="5">
        <v>165</v>
      </c>
    </row>
    <row r="1000" spans="1:3">
      <c r="A1000" s="68">
        <v>37042.795138888891</v>
      </c>
      <c r="B1000" s="6">
        <v>6.3657407407407402E-4</v>
      </c>
      <c r="C1000" s="5">
        <v>168</v>
      </c>
    </row>
    <row r="1001" spans="1:3">
      <c r="A1001" s="68">
        <v>37042.795138888891</v>
      </c>
      <c r="B1001" s="6">
        <v>6.9444444444444404E-4</v>
      </c>
      <c r="C1001" s="5">
        <v>170</v>
      </c>
    </row>
    <row r="1002" spans="1:3">
      <c r="A1002" s="68">
        <v>37042.795138888891</v>
      </c>
      <c r="B1002" s="6">
        <v>7.5231481481481503E-4</v>
      </c>
      <c r="C1002" s="5">
        <v>172</v>
      </c>
    </row>
    <row r="1003" spans="1:3">
      <c r="A1003" s="68">
        <v>37042.795138888891</v>
      </c>
      <c r="B1003" s="6">
        <v>8.1018518518518505E-4</v>
      </c>
      <c r="C1003" s="5">
        <v>172</v>
      </c>
    </row>
    <row r="1004" spans="1:3">
      <c r="A1004" s="68">
        <v>37042.795138888891</v>
      </c>
      <c r="B1004" s="6">
        <v>8.6805555555555605E-4</v>
      </c>
      <c r="C1004" s="5">
        <v>172</v>
      </c>
    </row>
    <row r="1005" spans="1:3">
      <c r="A1005" s="68">
        <v>37042.795138888891</v>
      </c>
      <c r="B1005" s="6">
        <v>9.2592592592592596E-4</v>
      </c>
      <c r="C1005" s="5">
        <v>174</v>
      </c>
    </row>
    <row r="1006" spans="1:3">
      <c r="A1006" s="68">
        <v>37042.795138888891</v>
      </c>
      <c r="B1006" s="6">
        <v>9.8379629629629598E-4</v>
      </c>
      <c r="C1006" s="5">
        <v>176</v>
      </c>
    </row>
    <row r="1007" spans="1:3">
      <c r="A1007" s="68">
        <v>37042.795138888891</v>
      </c>
      <c r="B1007" s="6">
        <v>1.0416666666666699E-3</v>
      </c>
      <c r="C1007" s="5">
        <v>176</v>
      </c>
    </row>
    <row r="1008" spans="1:3">
      <c r="A1008" s="68">
        <v>37042.795138888891</v>
      </c>
      <c r="B1008" s="6">
        <v>1.0995370370370399E-3</v>
      </c>
      <c r="C1008" s="5">
        <v>178</v>
      </c>
    </row>
    <row r="1009" spans="1:3">
      <c r="A1009" s="68">
        <v>37042.795138888891</v>
      </c>
      <c r="B1009" s="6">
        <v>1.1574074074074099E-3</v>
      </c>
      <c r="C1009" s="5">
        <v>178</v>
      </c>
    </row>
    <row r="1010" spans="1:3">
      <c r="A1010" s="68">
        <v>37042.795138888891</v>
      </c>
      <c r="B1010" s="6">
        <v>1.21527777777778E-3</v>
      </c>
      <c r="C1010" s="5">
        <v>178</v>
      </c>
    </row>
    <row r="1011" spans="1:3">
      <c r="A1011" s="68">
        <v>37042.795138888891</v>
      </c>
      <c r="B1011" s="6">
        <v>1.27314814814815E-3</v>
      </c>
      <c r="C1011" s="5">
        <v>178</v>
      </c>
    </row>
    <row r="1012" spans="1:3">
      <c r="A1012" s="68">
        <v>37042.795138888891</v>
      </c>
      <c r="B1012" s="6">
        <v>1.33101851851852E-3</v>
      </c>
      <c r="C1012" s="5">
        <v>180</v>
      </c>
    </row>
    <row r="1013" spans="1:3">
      <c r="A1013" s="68">
        <v>37042.795138888891</v>
      </c>
      <c r="B1013" s="6">
        <v>1.38888888888889E-3</v>
      </c>
      <c r="C1013" s="5">
        <v>180</v>
      </c>
    </row>
    <row r="1014" spans="1:3">
      <c r="A1014" s="68">
        <v>37042.795138888891</v>
      </c>
      <c r="B1014" s="6">
        <v>1.44675925925926E-3</v>
      </c>
      <c r="C1014" s="5">
        <v>180</v>
      </c>
    </row>
    <row r="1015" spans="1:3">
      <c r="A1015" s="68">
        <v>37042.795138888891</v>
      </c>
      <c r="B1015" s="6">
        <v>1.5046296296296301E-3</v>
      </c>
      <c r="C1015" s="5">
        <v>181</v>
      </c>
    </row>
    <row r="1016" spans="1:3">
      <c r="A1016" s="68">
        <v>37042.795138888891</v>
      </c>
      <c r="B1016" s="6">
        <v>1.5625000000000001E-3</v>
      </c>
      <c r="C1016" s="5">
        <v>182</v>
      </c>
    </row>
    <row r="1017" spans="1:3">
      <c r="A1017" s="68">
        <v>37042.795138888891</v>
      </c>
      <c r="B1017" s="6">
        <v>1.6203703703703701E-3</v>
      </c>
      <c r="C1017" s="5">
        <v>183</v>
      </c>
    </row>
    <row r="1018" spans="1:3">
      <c r="A1018" s="68">
        <v>37042.795138888891</v>
      </c>
      <c r="B1018" s="6">
        <v>1.6782407407407399E-3</v>
      </c>
      <c r="C1018" s="5">
        <v>182</v>
      </c>
    </row>
    <row r="1019" spans="1:3">
      <c r="A1019" s="68">
        <v>37042.795138888891</v>
      </c>
      <c r="B1019" s="6">
        <v>1.7361111111111099E-3</v>
      </c>
      <c r="C1019" s="5">
        <v>183</v>
      </c>
    </row>
    <row r="1020" spans="1:3">
      <c r="A1020" s="68">
        <v>37042.795138888891</v>
      </c>
      <c r="B1020" s="6">
        <v>1.79398148148148E-3</v>
      </c>
      <c r="C1020" s="5">
        <v>183</v>
      </c>
    </row>
    <row r="1021" spans="1:3">
      <c r="A1021" s="68">
        <v>37042.795138888891</v>
      </c>
      <c r="B1021" s="6">
        <v>1.85185185185185E-3</v>
      </c>
      <c r="C1021" s="5">
        <v>183</v>
      </c>
    </row>
    <row r="1022" spans="1:3">
      <c r="A1022" s="68">
        <v>37042.795138888891</v>
      </c>
      <c r="B1022" s="6">
        <v>1.90972222222222E-3</v>
      </c>
      <c r="C1022" s="5">
        <v>185</v>
      </c>
    </row>
    <row r="1023" spans="1:3">
      <c r="A1023" s="68">
        <v>37042.795138888891</v>
      </c>
      <c r="B1023" s="6">
        <v>1.9675925925925898E-3</v>
      </c>
      <c r="C1023" s="5">
        <v>184</v>
      </c>
    </row>
    <row r="1024" spans="1:3">
      <c r="A1024" s="68">
        <v>37042.795138888891</v>
      </c>
      <c r="B1024" s="6">
        <v>2.0254629629629598E-3</v>
      </c>
      <c r="C1024" s="5">
        <v>185</v>
      </c>
    </row>
    <row r="1025" spans="1:3">
      <c r="A1025" s="68">
        <v>37043.81527777778</v>
      </c>
      <c r="B1025" s="9">
        <v>0</v>
      </c>
      <c r="C1025" s="5">
        <v>83</v>
      </c>
    </row>
    <row r="1026" spans="1:3">
      <c r="A1026" s="68">
        <v>37043.81527777778</v>
      </c>
      <c r="B1026" s="9">
        <v>6.9444444444444447E-4</v>
      </c>
      <c r="C1026" s="5">
        <v>159</v>
      </c>
    </row>
    <row r="1027" spans="1:3">
      <c r="A1027" s="68">
        <v>37043.81527777778</v>
      </c>
      <c r="B1027" s="9">
        <v>1.3888888888888889E-3</v>
      </c>
      <c r="C1027" s="5">
        <v>167</v>
      </c>
    </row>
    <row r="1028" spans="1:3">
      <c r="A1028" s="68">
        <v>37043.81527777778</v>
      </c>
      <c r="B1028" s="9">
        <v>2.0833333333333333E-3</v>
      </c>
      <c r="C1028" s="5">
        <v>168</v>
      </c>
    </row>
    <row r="1029" spans="1:3">
      <c r="A1029" s="68">
        <v>37043.81527777778</v>
      </c>
      <c r="B1029" s="9">
        <v>2.7777777777777779E-3</v>
      </c>
      <c r="C1029" s="5">
        <v>171</v>
      </c>
    </row>
    <row r="1030" spans="1:3">
      <c r="A1030" s="68">
        <v>37043.81527777778</v>
      </c>
      <c r="B1030" s="9">
        <v>3.472222222222222E-3</v>
      </c>
      <c r="C1030" s="5">
        <v>170</v>
      </c>
    </row>
    <row r="1031" spans="1:3">
      <c r="A1031" s="68">
        <v>37043.81527777778</v>
      </c>
      <c r="B1031" s="9">
        <v>4.1666666666666666E-3</v>
      </c>
      <c r="C1031" s="5">
        <v>173</v>
      </c>
    </row>
    <row r="1032" spans="1:3">
      <c r="A1032" s="68">
        <v>37043.81527777778</v>
      </c>
      <c r="B1032" s="9">
        <v>4.8611111111111112E-3</v>
      </c>
      <c r="C1032" s="5">
        <v>172</v>
      </c>
    </row>
    <row r="1033" spans="1:3">
      <c r="A1033" s="68">
        <v>37043.81527777778</v>
      </c>
      <c r="B1033" s="9">
        <v>5.5555555555555558E-3</v>
      </c>
      <c r="C1033" s="5">
        <v>172</v>
      </c>
    </row>
    <row r="1034" spans="1:3">
      <c r="A1034" s="68">
        <v>37043.81527777778</v>
      </c>
      <c r="B1034" s="9">
        <v>6.2500000000000003E-3</v>
      </c>
      <c r="C1034" s="5">
        <v>174</v>
      </c>
    </row>
    <row r="1035" spans="1:3">
      <c r="A1035" s="68">
        <v>37043.81527777778</v>
      </c>
      <c r="B1035" s="9">
        <v>6.9444444444444441E-3</v>
      </c>
      <c r="C1035" s="5">
        <v>175</v>
      </c>
    </row>
    <row r="1036" spans="1:3">
      <c r="A1036" s="68">
        <v>37043.81527777778</v>
      </c>
      <c r="B1036" s="9">
        <v>7.6388888888888886E-3</v>
      </c>
      <c r="C1036" s="5">
        <v>174</v>
      </c>
    </row>
    <row r="1037" spans="1:3">
      <c r="A1037" s="68">
        <v>37043.81527777778</v>
      </c>
      <c r="B1037" s="9">
        <v>8.3333333333333332E-3</v>
      </c>
      <c r="C1037" s="5">
        <v>175</v>
      </c>
    </row>
    <row r="1038" spans="1:3">
      <c r="A1038" s="68">
        <v>37043.81527777778</v>
      </c>
      <c r="B1038" s="9">
        <v>9.0277777777777769E-3</v>
      </c>
      <c r="C1038" s="5">
        <v>176</v>
      </c>
    </row>
    <row r="1039" spans="1:3">
      <c r="A1039" s="68">
        <v>37043.81527777778</v>
      </c>
      <c r="B1039" s="9">
        <v>9.7222222222222224E-3</v>
      </c>
      <c r="C1039" s="5">
        <v>178</v>
      </c>
    </row>
    <row r="1040" spans="1:3">
      <c r="A1040" s="68">
        <v>37043.81527777778</v>
      </c>
      <c r="B1040" s="9">
        <v>1.0416666666666666E-2</v>
      </c>
      <c r="C1040" s="5">
        <v>177</v>
      </c>
    </row>
    <row r="1041" spans="1:3">
      <c r="A1041" s="68">
        <v>37043.81527777778</v>
      </c>
      <c r="B1041" s="9">
        <v>1.1111111111111112E-2</v>
      </c>
      <c r="C1041" s="5">
        <v>178</v>
      </c>
    </row>
    <row r="1042" spans="1:3">
      <c r="A1042" s="68">
        <v>37043.81527777778</v>
      </c>
      <c r="B1042" s="9">
        <v>1.1805555555555555E-2</v>
      </c>
      <c r="C1042" s="5">
        <v>177</v>
      </c>
    </row>
    <row r="1043" spans="1:3">
      <c r="A1043" s="68">
        <v>37043.81527777778</v>
      </c>
      <c r="B1043" s="9">
        <v>1.2500000000000001E-2</v>
      </c>
      <c r="C1043" s="5">
        <v>176</v>
      </c>
    </row>
    <row r="1044" spans="1:3">
      <c r="A1044" s="68">
        <v>37043.81527777778</v>
      </c>
      <c r="B1044" s="9">
        <v>1.3194444444444444E-2</v>
      </c>
      <c r="C1044" s="5">
        <v>175</v>
      </c>
    </row>
    <row r="1045" spans="1:3">
      <c r="A1045" s="68">
        <v>37043.81527777778</v>
      </c>
      <c r="B1045" s="9">
        <v>1.3888888888888888E-2</v>
      </c>
      <c r="C1045" s="5">
        <v>177</v>
      </c>
    </row>
    <row r="1046" spans="1:3">
      <c r="A1046" s="68">
        <v>37043.81527777778</v>
      </c>
      <c r="B1046" s="9">
        <v>1.4583333333333334E-2</v>
      </c>
      <c r="C1046" s="5">
        <v>175</v>
      </c>
    </row>
    <row r="1047" spans="1:3">
      <c r="A1047" s="68">
        <v>37043.81527777778</v>
      </c>
      <c r="B1047" s="9">
        <v>1.5277777777777777E-2</v>
      </c>
      <c r="C1047" s="5">
        <v>178</v>
      </c>
    </row>
    <row r="1048" spans="1:3">
      <c r="A1048" s="68">
        <v>37043.81527777778</v>
      </c>
      <c r="B1048" s="9">
        <v>1.5972222222222221E-2</v>
      </c>
      <c r="C1048" s="5">
        <v>175</v>
      </c>
    </row>
    <row r="1049" spans="1:3">
      <c r="A1049" s="68">
        <v>37043.81527777778</v>
      </c>
      <c r="B1049" s="9">
        <v>1.6666666666666666E-2</v>
      </c>
      <c r="C1049" s="5">
        <v>174</v>
      </c>
    </row>
    <row r="1050" spans="1:3">
      <c r="A1050" s="68">
        <v>37043.81527777778</v>
      </c>
      <c r="B1050" s="9">
        <v>1.7361111111111112E-2</v>
      </c>
      <c r="C1050" s="5">
        <v>175</v>
      </c>
    </row>
    <row r="1051" spans="1:3">
      <c r="A1051" s="68">
        <v>37043.81527777778</v>
      </c>
      <c r="B1051" s="9">
        <v>1.8055555555555554E-2</v>
      </c>
      <c r="C1051" s="5">
        <v>178</v>
      </c>
    </row>
    <row r="1052" spans="1:3">
      <c r="A1052" s="68">
        <v>37043.81527777778</v>
      </c>
      <c r="B1052" s="9">
        <v>1.8749999999999999E-2</v>
      </c>
      <c r="C1052" s="5">
        <v>179</v>
      </c>
    </row>
    <row r="1053" spans="1:3">
      <c r="A1053" s="68">
        <v>37043.81527777778</v>
      </c>
      <c r="B1053" s="9">
        <v>1.94444444444444E-2</v>
      </c>
      <c r="C1053" s="5">
        <v>177</v>
      </c>
    </row>
    <row r="1054" spans="1:3">
      <c r="A1054" s="68">
        <v>37043.81527777778</v>
      </c>
      <c r="B1054" s="9">
        <v>2.0138888888888901E-2</v>
      </c>
      <c r="C1054" s="5">
        <v>179</v>
      </c>
    </row>
    <row r="1055" spans="1:3">
      <c r="A1055" s="68">
        <v>37043.81527777778</v>
      </c>
      <c r="B1055" s="9">
        <v>2.0833333333333301E-2</v>
      </c>
      <c r="C1055" s="5">
        <v>180</v>
      </c>
    </row>
    <row r="1056" spans="1:3">
      <c r="A1056" s="68">
        <v>37043.81527777778</v>
      </c>
      <c r="B1056" s="9">
        <v>2.1527777777777798E-2</v>
      </c>
      <c r="C1056" s="5">
        <v>179</v>
      </c>
    </row>
    <row r="1057" spans="1:3">
      <c r="A1057" s="68">
        <v>37043.81527777778</v>
      </c>
      <c r="B1057" s="9">
        <v>2.2222222222222199E-2</v>
      </c>
      <c r="C1057" s="5">
        <v>178</v>
      </c>
    </row>
    <row r="1058" spans="1:3">
      <c r="A1058" s="68">
        <v>37043.81527777778</v>
      </c>
      <c r="B1058" s="9">
        <v>2.29166666666667E-2</v>
      </c>
      <c r="C1058" s="5">
        <v>180</v>
      </c>
    </row>
    <row r="1059" spans="1:3">
      <c r="A1059" s="68">
        <v>37043.81527777778</v>
      </c>
      <c r="B1059" s="9">
        <v>2.36111111111111E-2</v>
      </c>
      <c r="C1059" s="5">
        <v>181</v>
      </c>
    </row>
    <row r="1060" spans="1:3">
      <c r="A1060" s="68">
        <v>37043.81527777778</v>
      </c>
      <c r="B1060" s="9">
        <v>2.4305555555555601E-2</v>
      </c>
      <c r="C1060" s="5">
        <v>180</v>
      </c>
    </row>
    <row r="1061" spans="1:3">
      <c r="A1061" s="68">
        <v>37043.81527777778</v>
      </c>
      <c r="B1061" s="9">
        <v>2.5000000000000001E-2</v>
      </c>
      <c r="C1061" s="5">
        <v>182</v>
      </c>
    </row>
    <row r="1062" spans="1:3">
      <c r="A1062" s="68">
        <v>37043.81527777778</v>
      </c>
      <c r="B1062" s="9">
        <v>2.5694444444444499E-2</v>
      </c>
      <c r="C1062" s="5">
        <v>181</v>
      </c>
    </row>
    <row r="1063" spans="1:3">
      <c r="A1063" s="68">
        <v>37043.81527777778</v>
      </c>
      <c r="B1063" s="9">
        <v>2.6388888888888899E-2</v>
      </c>
      <c r="C1063" s="5">
        <v>183</v>
      </c>
    </row>
    <row r="1064" spans="1:3">
      <c r="A1064" s="68">
        <v>37043.81527777778</v>
      </c>
      <c r="B1064" s="9">
        <v>2.70833333333333E-2</v>
      </c>
      <c r="C1064" s="5">
        <v>183</v>
      </c>
    </row>
    <row r="1065" spans="1:3">
      <c r="A1065" s="68">
        <v>37043.81527777778</v>
      </c>
      <c r="B1065" s="9">
        <v>2.7777777777777801E-2</v>
      </c>
      <c r="C1065" s="5">
        <v>183</v>
      </c>
    </row>
    <row r="1066" spans="1:3">
      <c r="A1066" s="68">
        <v>37043.81527777778</v>
      </c>
      <c r="B1066" s="9">
        <v>2.8472222222222301E-2</v>
      </c>
      <c r="C1066" s="5">
        <v>183</v>
      </c>
    </row>
    <row r="1067" spans="1:3">
      <c r="A1067" s="68">
        <v>37043.81527777778</v>
      </c>
      <c r="B1067" s="9">
        <v>2.9166666666666698E-2</v>
      </c>
      <c r="C1067" s="5">
        <v>183</v>
      </c>
    </row>
    <row r="1068" spans="1:3">
      <c r="A1068" s="68">
        <v>37043.81527777778</v>
      </c>
      <c r="B1068" s="9">
        <v>2.9861111111111199E-2</v>
      </c>
      <c r="C1068" s="5">
        <v>184</v>
      </c>
    </row>
    <row r="1069" spans="1:3">
      <c r="A1069" s="68">
        <v>37043.81527777778</v>
      </c>
      <c r="B1069" s="9">
        <v>3.05555555555556E-2</v>
      </c>
      <c r="C1069" s="5">
        <v>184</v>
      </c>
    </row>
    <row r="1070" spans="1:3">
      <c r="A1070" s="68">
        <v>37043.81527777778</v>
      </c>
      <c r="B1070" s="9">
        <v>3.125E-2</v>
      </c>
      <c r="C1070" s="5">
        <v>184</v>
      </c>
    </row>
    <row r="1071" spans="1:3">
      <c r="A1071" s="68">
        <v>37043.81527777778</v>
      </c>
      <c r="B1071" s="9">
        <v>3.19444444444444E-2</v>
      </c>
      <c r="C1071" s="5">
        <v>183</v>
      </c>
    </row>
    <row r="1072" spans="1:3">
      <c r="A1072" s="68">
        <v>37043.81527777778</v>
      </c>
      <c r="B1072" s="9">
        <v>3.2638888888888801E-2</v>
      </c>
      <c r="C1072" s="5">
        <v>185</v>
      </c>
    </row>
    <row r="1073" spans="1:3">
      <c r="A1073" s="68">
        <v>37043.81527777778</v>
      </c>
      <c r="B1073" s="9">
        <v>3.3333333333333201E-2</v>
      </c>
      <c r="C1073" s="5">
        <v>187</v>
      </c>
    </row>
    <row r="1074" spans="1:3">
      <c r="A1074" s="68">
        <v>37043.81527777778</v>
      </c>
      <c r="B1074" s="9">
        <v>3.4027777777777601E-2</v>
      </c>
      <c r="C1074" s="5">
        <v>185</v>
      </c>
    </row>
    <row r="1075" spans="1:3">
      <c r="A1075" s="68">
        <v>37049.772222222222</v>
      </c>
      <c r="B1075" s="9">
        <v>0</v>
      </c>
      <c r="C1075" s="5">
        <v>119</v>
      </c>
    </row>
    <row r="1076" spans="1:3">
      <c r="A1076" s="68">
        <v>37049.772222222222</v>
      </c>
      <c r="B1076" s="9">
        <v>6.9444444444444447E-4</v>
      </c>
      <c r="C1076" s="5">
        <v>139</v>
      </c>
    </row>
    <row r="1077" spans="1:3">
      <c r="A1077" s="68">
        <v>37049.772222222222</v>
      </c>
      <c r="B1077" s="9">
        <v>1.38888888888889E-3</v>
      </c>
      <c r="C1077" s="5">
        <v>154</v>
      </c>
    </row>
    <row r="1078" spans="1:3">
      <c r="A1078" s="68">
        <v>37049.772222222222</v>
      </c>
      <c r="B1078" s="9">
        <v>2.0833333333333298E-3</v>
      </c>
      <c r="C1078" s="5">
        <v>155</v>
      </c>
    </row>
    <row r="1079" spans="1:3">
      <c r="A1079" s="68">
        <v>37049.772222222222</v>
      </c>
      <c r="B1079" s="9">
        <v>2.7777777777777801E-3</v>
      </c>
      <c r="C1079" s="5">
        <v>151</v>
      </c>
    </row>
    <row r="1080" spans="1:3">
      <c r="A1080" s="68">
        <v>37049.772222222222</v>
      </c>
      <c r="B1080" s="9">
        <v>3.4722222222222199E-3</v>
      </c>
      <c r="C1080" s="5">
        <v>153</v>
      </c>
    </row>
    <row r="1081" spans="1:3">
      <c r="A1081" s="68">
        <v>37049.772222222222</v>
      </c>
      <c r="B1081" s="9">
        <v>4.1666666666666701E-3</v>
      </c>
      <c r="C1081" s="5">
        <v>154</v>
      </c>
    </row>
    <row r="1082" spans="1:3">
      <c r="A1082" s="68">
        <v>37049.772222222222</v>
      </c>
      <c r="B1082" s="9">
        <v>4.8611111111111103E-3</v>
      </c>
      <c r="C1082" s="5">
        <v>152</v>
      </c>
    </row>
    <row r="1083" spans="1:3">
      <c r="A1083" s="68">
        <v>37049.772222222222</v>
      </c>
      <c r="B1083" s="9">
        <v>5.5555555555555601E-3</v>
      </c>
      <c r="C1083" s="5">
        <v>152</v>
      </c>
    </row>
    <row r="1084" spans="1:3">
      <c r="A1084" s="68">
        <v>37049.772222222222</v>
      </c>
      <c r="B1084" s="9">
        <v>6.2500000000000003E-3</v>
      </c>
      <c r="C1084" s="5">
        <v>150</v>
      </c>
    </row>
    <row r="1085" spans="1:3">
      <c r="A1085" s="68">
        <v>37049.772222222222</v>
      </c>
      <c r="B1085" s="9">
        <v>6.9444444444444397E-3</v>
      </c>
      <c r="C1085" s="5">
        <v>152</v>
      </c>
    </row>
    <row r="1086" spans="1:3">
      <c r="A1086" s="68">
        <v>37049.772222222222</v>
      </c>
      <c r="B1086" s="9">
        <v>7.6388888888888904E-3</v>
      </c>
      <c r="C1086" s="5">
        <v>149</v>
      </c>
    </row>
    <row r="1087" spans="1:3">
      <c r="A1087" s="68">
        <v>37049.772222222222</v>
      </c>
      <c r="B1087" s="9">
        <v>8.3333333333333297E-3</v>
      </c>
      <c r="C1087" s="5">
        <v>151</v>
      </c>
    </row>
    <row r="1088" spans="1:3">
      <c r="A1088" s="68">
        <v>37049.772222222222</v>
      </c>
      <c r="B1088" s="9">
        <v>9.0277777777777804E-3</v>
      </c>
      <c r="C1088" s="5">
        <v>151</v>
      </c>
    </row>
    <row r="1089" spans="1:3">
      <c r="A1089" s="68">
        <v>37049.772222222222</v>
      </c>
      <c r="B1089" s="9">
        <v>9.7222222222222206E-3</v>
      </c>
      <c r="C1089" s="5">
        <v>148</v>
      </c>
    </row>
    <row r="1090" spans="1:3">
      <c r="A1090" s="68">
        <v>37049.772222222222</v>
      </c>
      <c r="B1090" s="9">
        <v>1.0416666666666701E-2</v>
      </c>
      <c r="C1090" s="5">
        <v>149</v>
      </c>
    </row>
    <row r="1091" spans="1:3">
      <c r="A1091" s="68">
        <v>37049.772222222222</v>
      </c>
      <c r="B1091" s="9">
        <v>1.1111111111111099E-2</v>
      </c>
      <c r="C1091" s="5">
        <v>153</v>
      </c>
    </row>
    <row r="1092" spans="1:3">
      <c r="A1092" s="68">
        <v>37049.772222222222</v>
      </c>
      <c r="B1092" s="9">
        <v>1.18055555555556E-2</v>
      </c>
      <c r="C1092" s="5">
        <v>151</v>
      </c>
    </row>
    <row r="1093" spans="1:3">
      <c r="A1093" s="68">
        <v>37049.772222222222</v>
      </c>
      <c r="B1093" s="9">
        <v>1.2500000000000001E-2</v>
      </c>
      <c r="C1093" s="5">
        <v>152</v>
      </c>
    </row>
    <row r="1094" spans="1:3">
      <c r="A1094" s="68">
        <v>37049.772222222222</v>
      </c>
      <c r="B1094" s="9">
        <v>1.3194444444444399E-2</v>
      </c>
      <c r="C1094" s="5">
        <v>148</v>
      </c>
    </row>
    <row r="1095" spans="1:3">
      <c r="A1095" s="68">
        <v>37049.772222222222</v>
      </c>
      <c r="B1095" s="9">
        <v>1.38888888888889E-2</v>
      </c>
      <c r="C1095" s="5">
        <v>156</v>
      </c>
    </row>
    <row r="1096" spans="1:3">
      <c r="A1096" s="68">
        <v>37049.772222222222</v>
      </c>
      <c r="B1096" s="9">
        <v>1.4583333333333301E-2</v>
      </c>
      <c r="C1096" s="5">
        <v>152</v>
      </c>
    </row>
    <row r="1097" spans="1:3">
      <c r="A1097" s="68">
        <v>37049.772222222222</v>
      </c>
      <c r="B1097" s="9">
        <v>1.52777777777778E-2</v>
      </c>
      <c r="C1097" s="5">
        <v>154</v>
      </c>
    </row>
    <row r="1098" spans="1:3">
      <c r="A1098" s="68">
        <v>37049.772222222222</v>
      </c>
      <c r="B1098" s="9">
        <v>1.59722222222222E-2</v>
      </c>
      <c r="C1098" s="5">
        <v>151</v>
      </c>
    </row>
    <row r="1099" spans="1:3">
      <c r="A1099" s="68">
        <v>37049.772222222222</v>
      </c>
      <c r="B1099" s="9">
        <v>1.6666666666666701E-2</v>
      </c>
      <c r="C1099" s="5">
        <v>152</v>
      </c>
    </row>
    <row r="1100" spans="1:3">
      <c r="A1100" s="68">
        <v>37049.772222222222</v>
      </c>
      <c r="B1100" s="9">
        <v>1.7361111111111101E-2</v>
      </c>
      <c r="C1100" s="5">
        <v>155</v>
      </c>
    </row>
    <row r="1101" spans="1:3">
      <c r="A1101" s="68">
        <v>37049.772222222222</v>
      </c>
      <c r="B1101" s="9">
        <v>1.8055555555555599E-2</v>
      </c>
      <c r="C1101" s="5">
        <v>150</v>
      </c>
    </row>
    <row r="1102" spans="1:3">
      <c r="A1102" s="68">
        <v>37049.772222222222</v>
      </c>
      <c r="B1102" s="9">
        <v>1.8749999999999999E-2</v>
      </c>
      <c r="C1102" s="5">
        <v>153</v>
      </c>
    </row>
    <row r="1103" spans="1:3">
      <c r="A1103" s="68">
        <v>37049.772222222222</v>
      </c>
      <c r="B1103" s="9">
        <v>1.94444444444444E-2</v>
      </c>
      <c r="C1103" s="5">
        <v>150</v>
      </c>
    </row>
    <row r="1104" spans="1:3">
      <c r="A1104" s="68">
        <v>37050.713194444441</v>
      </c>
      <c r="B1104" s="9">
        <v>0</v>
      </c>
      <c r="C1104" s="5">
        <v>138</v>
      </c>
    </row>
    <row r="1105" spans="1:3">
      <c r="A1105" s="68">
        <v>37050.713194444441</v>
      </c>
      <c r="B1105" s="9">
        <v>6.9444444444444447E-4</v>
      </c>
      <c r="C1105" s="5">
        <v>154</v>
      </c>
    </row>
    <row r="1106" spans="1:3">
      <c r="A1106" s="68">
        <v>37050.713194444441</v>
      </c>
      <c r="B1106" s="9">
        <v>1.38888888888889E-3</v>
      </c>
      <c r="C1106" s="5">
        <v>155</v>
      </c>
    </row>
    <row r="1107" spans="1:3">
      <c r="A1107" s="68">
        <v>37050.713194444441</v>
      </c>
      <c r="B1107" s="9">
        <v>2.0833333333333298E-3</v>
      </c>
      <c r="C1107" s="5">
        <v>154</v>
      </c>
    </row>
    <row r="1108" spans="1:3">
      <c r="A1108" s="68">
        <v>37050.713194444441</v>
      </c>
      <c r="B1108" s="9">
        <v>2.7777777777777801E-3</v>
      </c>
      <c r="C1108" s="5">
        <v>154</v>
      </c>
    </row>
    <row r="1109" spans="1:3">
      <c r="A1109" s="68">
        <v>37050.713194444441</v>
      </c>
      <c r="B1109" s="9">
        <v>3.4722222222222199E-3</v>
      </c>
      <c r="C1109" s="5">
        <v>152</v>
      </c>
    </row>
    <row r="1110" spans="1:3">
      <c r="A1110" s="68">
        <v>37050.713194444441</v>
      </c>
      <c r="B1110" s="9">
        <v>4.1666666666666701E-3</v>
      </c>
      <c r="C1110" s="5">
        <v>152</v>
      </c>
    </row>
    <row r="1111" spans="1:3">
      <c r="A1111" s="68">
        <v>37050.713194444441</v>
      </c>
      <c r="B1111" s="9">
        <v>4.8611111111111103E-3</v>
      </c>
      <c r="C1111" s="5">
        <v>154</v>
      </c>
    </row>
    <row r="1112" spans="1:3">
      <c r="A1112" s="68">
        <v>37050.713194444441</v>
      </c>
      <c r="B1112" s="9">
        <v>5.5555555555555601E-3</v>
      </c>
      <c r="C1112" s="5">
        <v>150</v>
      </c>
    </row>
    <row r="1113" spans="1:3">
      <c r="A1113" s="68">
        <v>37050.713194444441</v>
      </c>
      <c r="B1113" s="9">
        <v>6.2500000000000003E-3</v>
      </c>
      <c r="C1113" s="5">
        <v>154</v>
      </c>
    </row>
    <row r="1114" spans="1:3">
      <c r="A1114" s="68">
        <v>37050.713194444441</v>
      </c>
      <c r="B1114" s="9">
        <v>6.9444444444444397E-3</v>
      </c>
      <c r="C1114" s="5">
        <v>150</v>
      </c>
    </row>
    <row r="1115" spans="1:3">
      <c r="A1115" s="68">
        <v>37050.713194444441</v>
      </c>
      <c r="B1115" s="9">
        <v>7.6388888888888904E-3</v>
      </c>
      <c r="C1115" s="5">
        <v>155</v>
      </c>
    </row>
    <row r="1116" spans="1:3">
      <c r="A1116" s="68">
        <v>37050.713194444441</v>
      </c>
      <c r="B1116" s="9">
        <v>8.3333333333333297E-3</v>
      </c>
      <c r="C1116" s="5">
        <v>153</v>
      </c>
    </row>
    <row r="1117" spans="1:3">
      <c r="A1117" s="68">
        <v>37050.713194444441</v>
      </c>
      <c r="B1117" s="9">
        <v>9.0277777777777804E-3</v>
      </c>
      <c r="C1117" s="5">
        <v>152</v>
      </c>
    </row>
    <row r="1118" spans="1:3">
      <c r="A1118" s="68">
        <v>37050.713194444441</v>
      </c>
      <c r="B1118" s="9">
        <v>9.7222222222222206E-3</v>
      </c>
      <c r="C1118" s="5">
        <v>150</v>
      </c>
    </row>
    <row r="1119" spans="1:3">
      <c r="A1119" s="68">
        <v>37050.713194444441</v>
      </c>
      <c r="B1119" s="9">
        <v>1.0416666666666701E-2</v>
      </c>
      <c r="C1119" s="5">
        <v>152</v>
      </c>
    </row>
    <row r="1120" spans="1:3">
      <c r="A1120" s="68">
        <v>37050.713194444441</v>
      </c>
      <c r="B1120" s="9">
        <v>1.1111111111111099E-2</v>
      </c>
      <c r="C1120" s="5">
        <v>153</v>
      </c>
    </row>
    <row r="1121" spans="1:3">
      <c r="A1121" s="68">
        <v>37050.713194444441</v>
      </c>
      <c r="B1121" s="9">
        <v>1.18055555555556E-2</v>
      </c>
      <c r="C1121" s="5">
        <v>151</v>
      </c>
    </row>
    <row r="1122" spans="1:3">
      <c r="A1122" s="68">
        <v>37050.713194444441</v>
      </c>
      <c r="B1122" s="9">
        <v>1.2500000000000001E-2</v>
      </c>
      <c r="C1122" s="5">
        <v>152</v>
      </c>
    </row>
    <row r="1123" spans="1:3">
      <c r="A1123" s="68">
        <v>37050.713194444441</v>
      </c>
      <c r="B1123" s="9">
        <v>1.3194444444444399E-2</v>
      </c>
      <c r="C1123" s="5">
        <v>154</v>
      </c>
    </row>
    <row r="1124" spans="1:3">
      <c r="A1124" s="68">
        <v>37050.713194444441</v>
      </c>
      <c r="B1124" s="9">
        <v>1.38888888888889E-2</v>
      </c>
      <c r="C1124" s="5">
        <v>148</v>
      </c>
    </row>
    <row r="1125" spans="1:3">
      <c r="A1125" s="68">
        <v>37050.713194444441</v>
      </c>
      <c r="B1125" s="9">
        <v>1.4583333333333301E-2</v>
      </c>
      <c r="C1125" s="5">
        <v>154</v>
      </c>
    </row>
    <row r="1126" spans="1:3">
      <c r="A1126" s="68">
        <v>37050.713194444441</v>
      </c>
      <c r="B1126" s="9">
        <v>1.52777777777778E-2</v>
      </c>
      <c r="C1126" s="5">
        <v>154</v>
      </c>
    </row>
    <row r="1127" spans="1:3">
      <c r="A1127" s="68">
        <v>37050.713194444441</v>
      </c>
      <c r="B1127" s="9">
        <v>1.59722222222222E-2</v>
      </c>
      <c r="C1127" s="5">
        <v>152</v>
      </c>
    </row>
    <row r="1128" spans="1:3">
      <c r="A1128" s="68">
        <v>37050.713194444441</v>
      </c>
      <c r="B1128" s="9">
        <v>1.6666666666666701E-2</v>
      </c>
      <c r="C1128" s="5">
        <v>149</v>
      </c>
    </row>
    <row r="1129" spans="1:3">
      <c r="A1129" s="68">
        <v>37050.713194444441</v>
      </c>
      <c r="B1129" s="9">
        <v>1.7361111111111101E-2</v>
      </c>
      <c r="C1129" s="5">
        <v>152</v>
      </c>
    </row>
    <row r="1130" spans="1:3">
      <c r="A1130" s="68">
        <v>37050.713194444441</v>
      </c>
      <c r="B1130" s="9">
        <v>1.8055555555555599E-2</v>
      </c>
      <c r="C1130" s="5">
        <v>150</v>
      </c>
    </row>
    <row r="1131" spans="1:3">
      <c r="A1131" s="68">
        <v>37050.713194444441</v>
      </c>
      <c r="B1131" s="9">
        <v>1.8749999999999999E-2</v>
      </c>
      <c r="C1131" s="5">
        <v>151</v>
      </c>
    </row>
    <row r="1132" spans="1:3">
      <c r="A1132" s="68">
        <v>37050.713194444441</v>
      </c>
      <c r="B1132" s="9">
        <v>1.94444444444444E-2</v>
      </c>
      <c r="C1132" s="5">
        <v>153</v>
      </c>
    </row>
    <row r="1133" spans="1:3">
      <c r="A1133" s="68">
        <v>37050.713194444441</v>
      </c>
      <c r="B1133" s="9">
        <v>2.0138888888888901E-2</v>
      </c>
      <c r="C1133" s="5">
        <v>151</v>
      </c>
    </row>
    <row r="1134" spans="1:3">
      <c r="A1134" s="68">
        <v>37050.713194444441</v>
      </c>
      <c r="B1134" s="9">
        <v>2.0833333333333301E-2</v>
      </c>
      <c r="C1134" s="5">
        <v>153</v>
      </c>
    </row>
    <row r="1135" spans="1:3">
      <c r="A1135" s="68">
        <v>37050.713194444441</v>
      </c>
      <c r="B1135" s="9">
        <v>2.1527777777777798E-2</v>
      </c>
      <c r="C1135" s="5">
        <v>152</v>
      </c>
    </row>
    <row r="1136" spans="1:3">
      <c r="A1136" s="68">
        <v>37050.713194444441</v>
      </c>
      <c r="B1136" s="9">
        <v>2.2222222222222199E-2</v>
      </c>
      <c r="C1136" s="5">
        <v>152</v>
      </c>
    </row>
    <row r="1137" spans="1:3">
      <c r="A1137" s="68">
        <v>37050.713194444441</v>
      </c>
      <c r="B1137" s="9">
        <v>2.29166666666667E-2</v>
      </c>
      <c r="C1137" s="5">
        <v>151</v>
      </c>
    </row>
    <row r="1138" spans="1:3">
      <c r="A1138" s="68">
        <v>37050.713194444441</v>
      </c>
      <c r="B1138" s="9">
        <v>2.36111111111111E-2</v>
      </c>
      <c r="C1138" s="5">
        <v>152</v>
      </c>
    </row>
    <row r="1139" spans="1:3">
      <c r="A1139" s="68">
        <v>37050.713194444441</v>
      </c>
      <c r="B1139" s="9">
        <v>2.4305555555555601E-2</v>
      </c>
      <c r="C1139" s="5">
        <v>148</v>
      </c>
    </row>
    <row r="1140" spans="1:3">
      <c r="A1140" s="68">
        <v>37050.713194444441</v>
      </c>
      <c r="B1140" s="9">
        <v>2.5000000000000001E-2</v>
      </c>
      <c r="C1140" s="5">
        <v>152</v>
      </c>
    </row>
    <row r="1141" spans="1:3">
      <c r="A1141" s="68">
        <v>37050.713194444441</v>
      </c>
      <c r="B1141" s="9">
        <v>2.5694444444444402E-2</v>
      </c>
      <c r="C1141" s="5">
        <v>154</v>
      </c>
    </row>
    <row r="1142" spans="1:3">
      <c r="A1142" s="68">
        <v>37050.713194444441</v>
      </c>
      <c r="B1142" s="9">
        <v>2.6388888888888899E-2</v>
      </c>
      <c r="C1142" s="5">
        <v>149</v>
      </c>
    </row>
    <row r="1143" spans="1:3">
      <c r="A1143" s="68">
        <v>37050.713194444441</v>
      </c>
      <c r="B1143" s="9">
        <v>2.70833333333334E-2</v>
      </c>
      <c r="C1143" s="5">
        <v>151</v>
      </c>
    </row>
    <row r="1144" spans="1:3">
      <c r="A1144" s="68">
        <v>37050.713194444441</v>
      </c>
      <c r="B1144" s="9">
        <v>2.7777777777777901E-2</v>
      </c>
      <c r="C1144" s="5">
        <v>154</v>
      </c>
    </row>
    <row r="1145" spans="1:3">
      <c r="A1145" s="68">
        <v>37050.713194444441</v>
      </c>
      <c r="B1145" s="9">
        <v>2.8472222222222399E-2</v>
      </c>
      <c r="C1145" s="5">
        <v>147</v>
      </c>
    </row>
    <row r="1146" spans="1:3">
      <c r="A1146" s="68">
        <v>37050.713194444441</v>
      </c>
      <c r="B1146" s="9">
        <v>2.91666666666669E-2</v>
      </c>
      <c r="C1146" s="5">
        <v>155</v>
      </c>
    </row>
    <row r="1147" spans="1:3">
      <c r="A1147" s="68">
        <v>37050.713194444441</v>
      </c>
      <c r="B1147" s="9">
        <v>2.9861111111111401E-2</v>
      </c>
      <c r="C1147" s="5">
        <v>151</v>
      </c>
    </row>
    <row r="1148" spans="1:3">
      <c r="A1148" s="68">
        <v>37050.713194444441</v>
      </c>
      <c r="B1148" s="9">
        <v>3.0555555555555901E-2</v>
      </c>
      <c r="C1148" s="5">
        <v>156</v>
      </c>
    </row>
    <row r="1149" spans="1:3">
      <c r="A1149" s="68">
        <v>37050.713194444441</v>
      </c>
      <c r="B1149" s="9">
        <v>3.1250000000000402E-2</v>
      </c>
      <c r="C1149" s="5">
        <v>151</v>
      </c>
    </row>
    <row r="1150" spans="1:3">
      <c r="A1150" s="68">
        <v>37050.713194444441</v>
      </c>
      <c r="B1150" s="9">
        <v>3.19444444444449E-2</v>
      </c>
      <c r="C1150" s="5">
        <v>153</v>
      </c>
    </row>
    <row r="1151" spans="1:3">
      <c r="A1151" s="68">
        <v>37050.713194444441</v>
      </c>
      <c r="B1151" s="9">
        <v>3.2638888888889397E-2</v>
      </c>
      <c r="C1151" s="5">
        <v>151</v>
      </c>
    </row>
    <row r="1152" spans="1:3">
      <c r="A1152" s="68">
        <v>37058.769444444442</v>
      </c>
      <c r="B1152" s="9">
        <v>0</v>
      </c>
      <c r="C1152" s="5">
        <v>79</v>
      </c>
    </row>
    <row r="1153" spans="1:3">
      <c r="A1153" s="68">
        <v>37058.769444444442</v>
      </c>
      <c r="B1153" s="9">
        <v>6.9444444444444447E-4</v>
      </c>
      <c r="C1153" s="5">
        <v>158</v>
      </c>
    </row>
    <row r="1154" spans="1:3">
      <c r="A1154" s="68">
        <v>37058.769444444442</v>
      </c>
      <c r="B1154" s="9">
        <v>1.38888888888889E-3</v>
      </c>
      <c r="C1154" s="5">
        <v>170</v>
      </c>
    </row>
    <row r="1155" spans="1:3">
      <c r="A1155" s="68">
        <v>37058.769444444442</v>
      </c>
      <c r="B1155" s="9">
        <v>2.0833333333333298E-3</v>
      </c>
      <c r="C1155" s="5">
        <v>171</v>
      </c>
    </row>
    <row r="1156" spans="1:3">
      <c r="A1156" s="68">
        <v>37058.769444444442</v>
      </c>
      <c r="B1156" s="9">
        <v>2.7777777777777801E-3</v>
      </c>
      <c r="C1156" s="5">
        <v>173</v>
      </c>
    </row>
    <row r="1157" spans="1:3">
      <c r="A1157" s="68">
        <v>37058.769444444442</v>
      </c>
      <c r="B1157" s="9">
        <v>3.4722222222222199E-3</v>
      </c>
      <c r="C1157" s="5">
        <v>176</v>
      </c>
    </row>
    <row r="1158" spans="1:3">
      <c r="A1158" s="68">
        <v>37058.769444444442</v>
      </c>
      <c r="B1158" s="9">
        <v>4.1666666666666701E-3</v>
      </c>
      <c r="C1158" s="5">
        <v>179</v>
      </c>
    </row>
    <row r="1159" spans="1:3">
      <c r="A1159" s="68">
        <v>37058.769444444442</v>
      </c>
      <c r="B1159" s="9">
        <v>4.8611111111111103E-3</v>
      </c>
      <c r="C1159" s="5">
        <v>177</v>
      </c>
    </row>
    <row r="1160" spans="1:3">
      <c r="A1160" s="68">
        <v>37058.769444444442</v>
      </c>
      <c r="B1160" s="9">
        <v>5.5555555555555601E-3</v>
      </c>
      <c r="C1160" s="5">
        <v>176</v>
      </c>
    </row>
    <row r="1161" spans="1:3">
      <c r="A1161" s="68">
        <v>37058.769444444442</v>
      </c>
      <c r="B1161" s="9">
        <v>6.2500000000000003E-3</v>
      </c>
      <c r="C1161" s="5">
        <v>175</v>
      </c>
    </row>
    <row r="1162" spans="1:3">
      <c r="A1162" s="68">
        <v>37058.769444444442</v>
      </c>
      <c r="B1162" s="9">
        <v>6.9444444444444397E-3</v>
      </c>
      <c r="C1162" s="5">
        <v>176</v>
      </c>
    </row>
    <row r="1163" spans="1:3">
      <c r="A1163" s="68">
        <v>37058.769444444442</v>
      </c>
      <c r="B1163" s="9">
        <v>7.6388888888888904E-3</v>
      </c>
      <c r="C1163" s="5">
        <v>179</v>
      </c>
    </row>
    <row r="1164" spans="1:3">
      <c r="A1164" s="68">
        <v>37058.769444444442</v>
      </c>
      <c r="B1164" s="9">
        <v>8.3333333333333297E-3</v>
      </c>
      <c r="C1164" s="5">
        <v>181</v>
      </c>
    </row>
    <row r="1165" spans="1:3">
      <c r="A1165" s="68">
        <v>37058.769444444442</v>
      </c>
      <c r="B1165" s="9">
        <v>9.0277777777777804E-3</v>
      </c>
      <c r="C1165" s="5">
        <v>178</v>
      </c>
    </row>
    <row r="1166" spans="1:3">
      <c r="A1166" s="68">
        <v>37058.769444444442</v>
      </c>
      <c r="B1166" s="9">
        <v>9.7222222222222206E-3</v>
      </c>
      <c r="C1166" s="5">
        <v>179</v>
      </c>
    </row>
    <row r="1167" spans="1:3">
      <c r="A1167" s="68">
        <v>37058.769444444442</v>
      </c>
      <c r="B1167" s="9">
        <v>1.0416666666666701E-2</v>
      </c>
      <c r="C1167" s="5">
        <v>182</v>
      </c>
    </row>
    <row r="1168" spans="1:3">
      <c r="A1168" s="68">
        <v>37058.769444444442</v>
      </c>
      <c r="B1168" s="9">
        <v>1.1111111111111099E-2</v>
      </c>
      <c r="C1168" s="5">
        <v>179</v>
      </c>
    </row>
    <row r="1169" spans="1:3">
      <c r="A1169" s="68">
        <v>37058.769444444442</v>
      </c>
      <c r="B1169" s="9">
        <v>1.18055555555556E-2</v>
      </c>
      <c r="C1169" s="5">
        <v>181</v>
      </c>
    </row>
    <row r="1170" spans="1:3">
      <c r="A1170" s="68">
        <v>37058.769444444442</v>
      </c>
      <c r="B1170" s="9">
        <v>1.2500000000000001E-2</v>
      </c>
      <c r="C1170" s="5">
        <v>181</v>
      </c>
    </row>
    <row r="1171" spans="1:3">
      <c r="A1171" s="68">
        <v>37058.769444444442</v>
      </c>
      <c r="B1171" s="9">
        <v>1.3194444444444399E-2</v>
      </c>
      <c r="C1171" s="5">
        <v>183</v>
      </c>
    </row>
    <row r="1172" spans="1:3">
      <c r="A1172" s="68">
        <v>37058.769444444442</v>
      </c>
      <c r="B1172" s="9">
        <v>1.38888888888889E-2</v>
      </c>
      <c r="C1172" s="5">
        <v>184</v>
      </c>
    </row>
    <row r="1173" spans="1:3">
      <c r="A1173" s="68">
        <v>37058.769444444442</v>
      </c>
      <c r="B1173" s="9">
        <v>1.4583333333333301E-2</v>
      </c>
      <c r="C1173" s="5">
        <v>182</v>
      </c>
    </row>
    <row r="1174" spans="1:3">
      <c r="A1174" s="68">
        <v>37058.769444444442</v>
      </c>
      <c r="B1174" s="9">
        <v>1.52777777777778E-2</v>
      </c>
      <c r="C1174" s="5">
        <v>186</v>
      </c>
    </row>
    <row r="1175" spans="1:3">
      <c r="A1175" s="68">
        <v>37058.769444444442</v>
      </c>
      <c r="B1175" s="9">
        <v>1.59722222222222E-2</v>
      </c>
      <c r="C1175" s="5">
        <v>182</v>
      </c>
    </row>
    <row r="1176" spans="1:3">
      <c r="A1176" s="68">
        <v>37058.769444444442</v>
      </c>
      <c r="B1176" s="9">
        <v>1.6666666666666701E-2</v>
      </c>
      <c r="C1176" s="5">
        <v>187</v>
      </c>
    </row>
    <row r="1177" spans="1:3">
      <c r="A1177" s="68">
        <v>37058.769444444442</v>
      </c>
      <c r="B1177" s="9">
        <v>1.7361111111111101E-2</v>
      </c>
      <c r="C1177" s="5">
        <v>185</v>
      </c>
    </row>
    <row r="1178" spans="1:3">
      <c r="A1178" s="68">
        <v>37058.769444444442</v>
      </c>
      <c r="B1178" s="9">
        <v>1.8055555555555599E-2</v>
      </c>
      <c r="C1178" s="5">
        <v>188</v>
      </c>
    </row>
    <row r="1179" spans="1:3">
      <c r="A1179" s="68">
        <v>37058.769444444442</v>
      </c>
      <c r="B1179" s="9">
        <v>1.8749999999999999E-2</v>
      </c>
      <c r="C1179" s="5">
        <v>183</v>
      </c>
    </row>
    <row r="1180" spans="1:3">
      <c r="A1180" s="68">
        <v>37058.769444444442</v>
      </c>
      <c r="B1180" s="9">
        <v>1.94444444444444E-2</v>
      </c>
      <c r="C1180" s="5">
        <v>190</v>
      </c>
    </row>
    <row r="1181" spans="1:3">
      <c r="A1181" s="68">
        <v>37058.769444444442</v>
      </c>
      <c r="B1181" s="9">
        <v>2.01388888888888E-2</v>
      </c>
      <c r="C1181" s="5">
        <v>188</v>
      </c>
    </row>
    <row r="1182" spans="1:3">
      <c r="A1182" s="68">
        <v>37058.769444444442</v>
      </c>
      <c r="B1182" s="9">
        <v>2.08333333333332E-2</v>
      </c>
      <c r="C1182" s="5">
        <v>190</v>
      </c>
    </row>
    <row r="1183" spans="1:3">
      <c r="A1183" s="68">
        <v>37058.769444444442</v>
      </c>
      <c r="B1183" s="9">
        <v>2.1527777777777601E-2</v>
      </c>
      <c r="C1183" s="5">
        <v>191</v>
      </c>
    </row>
    <row r="1184" spans="1:3">
      <c r="A1184" s="68">
        <v>37058.769444444442</v>
      </c>
      <c r="B1184" s="9">
        <v>2.2222222222222001E-2</v>
      </c>
      <c r="C1184" s="5">
        <v>191</v>
      </c>
    </row>
    <row r="1185" spans="1:3">
      <c r="A1185" s="68">
        <v>37058.769444444442</v>
      </c>
      <c r="B1185" s="9">
        <v>2.2916666666666401E-2</v>
      </c>
      <c r="C1185" s="5">
        <v>192</v>
      </c>
    </row>
    <row r="1186" spans="1:3">
      <c r="A1186" s="68">
        <v>37058.769444444442</v>
      </c>
      <c r="B1186" s="9">
        <v>2.361111111111111E-2</v>
      </c>
      <c r="C1186" s="5">
        <v>191</v>
      </c>
    </row>
    <row r="1187" spans="1:3">
      <c r="A1187" s="68">
        <v>37145.472222222219</v>
      </c>
      <c r="B1187" s="9">
        <v>0</v>
      </c>
      <c r="C1187" s="5">
        <v>129</v>
      </c>
    </row>
    <row r="1188" spans="1:3">
      <c r="A1188" s="68">
        <v>37145.472222222219</v>
      </c>
      <c r="B1188" s="9">
        <v>6.9444444444444447E-4</v>
      </c>
      <c r="C1188" s="5">
        <v>157</v>
      </c>
    </row>
    <row r="1189" spans="1:3">
      <c r="A1189" s="68">
        <v>37145.472222222219</v>
      </c>
      <c r="B1189" s="9">
        <v>1.38888888888889E-3</v>
      </c>
      <c r="C1189" s="5">
        <v>164</v>
      </c>
    </row>
    <row r="1190" spans="1:3">
      <c r="A1190" s="68">
        <v>37145.472222222219</v>
      </c>
      <c r="B1190" s="9">
        <v>2.0833333333333298E-3</v>
      </c>
      <c r="C1190" s="5">
        <v>165</v>
      </c>
    </row>
    <row r="1191" spans="1:3">
      <c r="A1191" s="68">
        <v>37145.472222222219</v>
      </c>
      <c r="B1191" s="9">
        <v>2.7777777777777801E-3</v>
      </c>
      <c r="C1191" s="5">
        <v>168</v>
      </c>
    </row>
    <row r="1192" spans="1:3">
      <c r="A1192" s="68">
        <v>37145.472222222219</v>
      </c>
      <c r="B1192" s="9">
        <v>3.4722222222222199E-3</v>
      </c>
      <c r="C1192" s="5">
        <v>165</v>
      </c>
    </row>
    <row r="1193" spans="1:3">
      <c r="A1193" s="68">
        <v>37145.472222222219</v>
      </c>
      <c r="B1193" s="9">
        <v>4.1666666666666701E-3</v>
      </c>
      <c r="C1193" s="5">
        <v>162</v>
      </c>
    </row>
    <row r="1194" spans="1:3">
      <c r="A1194" s="68">
        <v>37145.472222222219</v>
      </c>
      <c r="B1194" s="9">
        <v>4.8611111111111103E-3</v>
      </c>
      <c r="C1194" s="5">
        <v>160</v>
      </c>
    </row>
    <row r="1195" spans="1:3">
      <c r="A1195" s="68">
        <v>37145.472222222219</v>
      </c>
      <c r="B1195" s="9">
        <v>5.5555555555555601E-3</v>
      </c>
      <c r="C1195" s="5">
        <v>163</v>
      </c>
    </row>
    <row r="1196" spans="1:3">
      <c r="A1196" s="68">
        <v>37145.472222222219</v>
      </c>
      <c r="B1196" s="9">
        <v>6.2500000000000003E-3</v>
      </c>
      <c r="C1196" s="5">
        <v>165</v>
      </c>
    </row>
    <row r="1197" spans="1:3">
      <c r="A1197" s="68">
        <v>37145.472222222219</v>
      </c>
      <c r="B1197" s="9">
        <v>6.9444444444444397E-3</v>
      </c>
      <c r="C1197" s="5">
        <v>168</v>
      </c>
    </row>
    <row r="1198" spans="1:3">
      <c r="A1198" s="68">
        <v>37145.472222222219</v>
      </c>
      <c r="B1198" s="9">
        <v>7.6388888888888904E-3</v>
      </c>
      <c r="C1198" s="5">
        <v>163</v>
      </c>
    </row>
    <row r="1199" spans="1:3">
      <c r="A1199" s="68">
        <v>37145.472222222219</v>
      </c>
      <c r="B1199" s="9">
        <v>8.3333333333333297E-3</v>
      </c>
      <c r="C1199" s="5">
        <v>166</v>
      </c>
    </row>
    <row r="1200" spans="1:3">
      <c r="A1200" s="68">
        <v>37145.472222222219</v>
      </c>
      <c r="B1200" s="9">
        <v>9.0277777777777804E-3</v>
      </c>
      <c r="C1200" s="5">
        <v>162</v>
      </c>
    </row>
    <row r="1201" spans="1:3">
      <c r="A1201" s="68">
        <v>37145.472222222219</v>
      </c>
      <c r="B1201" s="9">
        <v>9.7222222222222206E-3</v>
      </c>
      <c r="C1201" s="5">
        <v>163</v>
      </c>
    </row>
    <row r="1202" spans="1:3">
      <c r="A1202" s="68">
        <v>37145.472222222219</v>
      </c>
      <c r="B1202" s="9">
        <v>1.0416666666666701E-2</v>
      </c>
      <c r="C1202" s="5">
        <v>167</v>
      </c>
    </row>
    <row r="1203" spans="1:3">
      <c r="A1203" s="68">
        <v>37145.472222222219</v>
      </c>
      <c r="B1203" s="9">
        <v>1.1111111111111099E-2</v>
      </c>
      <c r="C1203" s="5">
        <v>167</v>
      </c>
    </row>
    <row r="1204" spans="1:3">
      <c r="A1204" s="68">
        <v>37145.472222222219</v>
      </c>
      <c r="B1204" s="9">
        <v>1.18055555555556E-2</v>
      </c>
      <c r="C1204" s="5">
        <v>169</v>
      </c>
    </row>
    <row r="1205" spans="1:3">
      <c r="A1205" s="68">
        <v>37145.472222222219</v>
      </c>
      <c r="B1205" s="9">
        <v>1.2500000000000001E-2</v>
      </c>
      <c r="C1205" s="5">
        <v>164</v>
      </c>
    </row>
    <row r="1206" spans="1:3">
      <c r="A1206" s="68">
        <v>37145.472222222219</v>
      </c>
      <c r="B1206" s="9">
        <v>1.3194444444444399E-2</v>
      </c>
      <c r="C1206" s="5">
        <v>159</v>
      </c>
    </row>
    <row r="1207" spans="1:3">
      <c r="A1207" s="68">
        <v>37145.472222222219</v>
      </c>
      <c r="B1207" s="9">
        <v>1.38888888888889E-2</v>
      </c>
      <c r="C1207" s="5">
        <v>161</v>
      </c>
    </row>
    <row r="1208" spans="1:3">
      <c r="A1208" s="68">
        <v>37145.472222222219</v>
      </c>
      <c r="B1208" s="9">
        <v>1.4583333333333301E-2</v>
      </c>
      <c r="C1208" s="5">
        <v>162</v>
      </c>
    </row>
    <row r="1209" spans="1:3">
      <c r="A1209" s="68">
        <v>37145.472222222219</v>
      </c>
      <c r="B1209" s="9">
        <v>1.52777777777778E-2</v>
      </c>
      <c r="C1209" s="5">
        <v>166</v>
      </c>
    </row>
    <row r="1210" spans="1:3">
      <c r="A1210" s="68">
        <v>37145.472222222219</v>
      </c>
      <c r="B1210" s="9">
        <v>1.59722222222222E-2</v>
      </c>
      <c r="C1210" s="5">
        <v>169</v>
      </c>
    </row>
    <row r="1211" spans="1:3">
      <c r="A1211" s="68">
        <v>37145.472222222219</v>
      </c>
      <c r="B1211" s="9">
        <v>1.6666666666666701E-2</v>
      </c>
      <c r="C1211" s="5">
        <v>168</v>
      </c>
    </row>
    <row r="1212" spans="1:3">
      <c r="A1212" s="68">
        <v>37145.472222222219</v>
      </c>
      <c r="B1212" s="9">
        <v>1.7361111111111101E-2</v>
      </c>
      <c r="C1212" s="5">
        <v>170</v>
      </c>
    </row>
    <row r="1213" spans="1:3">
      <c r="A1213" s="68">
        <v>37145.472222222219</v>
      </c>
      <c r="B1213" s="9">
        <v>1.8055555555555599E-2</v>
      </c>
      <c r="C1213" s="5">
        <v>169</v>
      </c>
    </row>
    <row r="1214" spans="1:3">
      <c r="A1214" s="68">
        <v>37145.472222222219</v>
      </c>
      <c r="B1214" s="9">
        <v>1.8749999999999999E-2</v>
      </c>
      <c r="C1214" s="5">
        <v>171</v>
      </c>
    </row>
    <row r="1215" spans="1:3">
      <c r="A1215" s="68">
        <v>37145.472222222219</v>
      </c>
      <c r="B1215" s="9">
        <v>1.94444444444444E-2</v>
      </c>
      <c r="C1215" s="5">
        <v>171</v>
      </c>
    </row>
    <row r="1216" spans="1:3">
      <c r="A1216" s="68">
        <v>37145.472222222219</v>
      </c>
      <c r="B1216" s="9">
        <v>2.01388888888888E-2</v>
      </c>
      <c r="C1216" s="5">
        <v>173</v>
      </c>
    </row>
    <row r="1217" spans="1:3">
      <c r="A1217" s="68">
        <v>37145.472222222219</v>
      </c>
      <c r="B1217" s="9">
        <v>2.08333333333332E-2</v>
      </c>
      <c r="C1217" s="5">
        <v>167</v>
      </c>
    </row>
    <row r="1218" spans="1:3">
      <c r="A1218" s="68">
        <v>37145.472222222219</v>
      </c>
      <c r="B1218" s="9">
        <v>2.1527777777777601E-2</v>
      </c>
      <c r="C1218" s="5">
        <v>171</v>
      </c>
    </row>
    <row r="1219" spans="1:3">
      <c r="A1219" s="68">
        <v>37145.472222222219</v>
      </c>
      <c r="B1219" s="9">
        <v>2.2222222222222001E-2</v>
      </c>
      <c r="C1219" s="5">
        <v>176</v>
      </c>
    </row>
    <row r="1220" spans="1:3">
      <c r="A1220" s="68">
        <v>37145.472222222219</v>
      </c>
      <c r="B1220" s="9">
        <v>2.2916666666666401E-2</v>
      </c>
      <c r="C1220" s="5">
        <v>187</v>
      </c>
    </row>
    <row r="1221" spans="1:3">
      <c r="A1221" s="68">
        <v>37158.785416666666</v>
      </c>
      <c r="B1221" s="9">
        <v>0</v>
      </c>
      <c r="C1221" s="5">
        <v>116</v>
      </c>
    </row>
    <row r="1222" spans="1:3">
      <c r="A1222" s="68">
        <v>37158.785416666666</v>
      </c>
      <c r="B1222" s="9">
        <v>6.9444444444444447E-4</v>
      </c>
      <c r="C1222" s="5">
        <v>150</v>
      </c>
    </row>
    <row r="1223" spans="1:3">
      <c r="A1223" s="68">
        <v>37158.785416666666</v>
      </c>
      <c r="B1223" s="9">
        <v>1.38888888888889E-3</v>
      </c>
      <c r="C1223" s="5">
        <v>158</v>
      </c>
    </row>
    <row r="1224" spans="1:3">
      <c r="A1224" s="68">
        <v>37158.785416666666</v>
      </c>
      <c r="B1224" s="9">
        <v>2.0833333333333298E-3</v>
      </c>
      <c r="C1224" s="5">
        <v>158</v>
      </c>
    </row>
    <row r="1225" spans="1:3">
      <c r="A1225" s="68">
        <v>37158.785416666666</v>
      </c>
      <c r="B1225" s="9">
        <v>2.7777777777777801E-3</v>
      </c>
      <c r="C1225" s="5">
        <v>161</v>
      </c>
    </row>
    <row r="1226" spans="1:3">
      <c r="A1226" s="68">
        <v>37158.785416666666</v>
      </c>
      <c r="B1226" s="9">
        <v>3.4722222222222199E-3</v>
      </c>
      <c r="C1226" s="5">
        <v>160</v>
      </c>
    </row>
    <row r="1227" spans="1:3">
      <c r="A1227" s="68">
        <v>37158.785416666666</v>
      </c>
      <c r="B1227" s="9">
        <v>4.1666666666666701E-3</v>
      </c>
      <c r="C1227" s="5">
        <v>159</v>
      </c>
    </row>
    <row r="1228" spans="1:3">
      <c r="A1228" s="68">
        <v>37158.785416666666</v>
      </c>
      <c r="B1228" s="9">
        <v>4.8611111111111103E-3</v>
      </c>
      <c r="C1228" s="5">
        <v>158</v>
      </c>
    </row>
    <row r="1229" spans="1:3">
      <c r="A1229" s="68">
        <v>37158.785416666666</v>
      </c>
      <c r="B1229" s="9">
        <v>5.5555555555555601E-3</v>
      </c>
      <c r="C1229" s="5">
        <v>160</v>
      </c>
    </row>
    <row r="1230" spans="1:3">
      <c r="A1230" s="68">
        <v>37158.785416666666</v>
      </c>
      <c r="B1230" s="9">
        <v>6.2500000000000003E-3</v>
      </c>
      <c r="C1230" s="5">
        <v>153</v>
      </c>
    </row>
    <row r="1231" spans="1:3">
      <c r="A1231" s="68">
        <v>37158.785416666666</v>
      </c>
      <c r="B1231" s="9">
        <v>6.9444444444444397E-3</v>
      </c>
      <c r="C1231" s="5">
        <v>158</v>
      </c>
    </row>
    <row r="1232" spans="1:3">
      <c r="A1232" s="68">
        <v>37158.785416666666</v>
      </c>
      <c r="B1232" s="9">
        <v>7.6388888888888904E-3</v>
      </c>
      <c r="C1232" s="5">
        <v>156</v>
      </c>
    </row>
    <row r="1233" spans="1:3">
      <c r="A1233" s="68">
        <v>37158.785416666666</v>
      </c>
      <c r="B1233" s="9">
        <v>8.3333333333333297E-3</v>
      </c>
      <c r="C1233" s="5">
        <v>157</v>
      </c>
    </row>
    <row r="1234" spans="1:3">
      <c r="A1234" s="68">
        <v>37158.785416666666</v>
      </c>
      <c r="B1234" s="9">
        <v>9.0277777777777804E-3</v>
      </c>
      <c r="C1234" s="5">
        <v>155</v>
      </c>
    </row>
    <row r="1235" spans="1:3">
      <c r="A1235" s="68">
        <v>37158.785416666666</v>
      </c>
      <c r="B1235" s="9">
        <v>9.7222222222222206E-3</v>
      </c>
      <c r="C1235" s="5">
        <v>154</v>
      </c>
    </row>
    <row r="1236" spans="1:3">
      <c r="A1236" s="68">
        <v>37158.785416666666</v>
      </c>
      <c r="B1236" s="9">
        <v>1.0416666666666701E-2</v>
      </c>
      <c r="C1236" s="5">
        <v>157</v>
      </c>
    </row>
    <row r="1237" spans="1:3">
      <c r="A1237" s="68">
        <v>37158.785416666666</v>
      </c>
      <c r="B1237" s="9">
        <v>1.1111111111111099E-2</v>
      </c>
      <c r="C1237" s="5">
        <v>161</v>
      </c>
    </row>
    <row r="1238" spans="1:3">
      <c r="A1238" s="68">
        <v>37158.785416666666</v>
      </c>
      <c r="B1238" s="9">
        <v>1.18055555555556E-2</v>
      </c>
      <c r="C1238" s="5">
        <v>152</v>
      </c>
    </row>
    <row r="1239" spans="1:3">
      <c r="A1239" s="68">
        <v>37158.785416666666</v>
      </c>
      <c r="B1239" s="9">
        <v>1.2500000000000001E-2</v>
      </c>
      <c r="C1239" s="5">
        <v>156</v>
      </c>
    </row>
    <row r="1240" spans="1:3">
      <c r="A1240" s="68">
        <v>37158.785416666666</v>
      </c>
      <c r="B1240" s="9">
        <v>1.3194444444444399E-2</v>
      </c>
      <c r="C1240" s="5">
        <v>154</v>
      </c>
    </row>
    <row r="1241" spans="1:3">
      <c r="A1241" s="68">
        <v>37158.785416666666</v>
      </c>
      <c r="B1241" s="9">
        <v>1.38888888888889E-2</v>
      </c>
      <c r="C1241" s="5">
        <v>153</v>
      </c>
    </row>
    <row r="1242" spans="1:3">
      <c r="A1242" s="68">
        <v>37158.785416666666</v>
      </c>
      <c r="B1242" s="9">
        <v>1.4583333333333301E-2</v>
      </c>
      <c r="C1242" s="5">
        <v>153</v>
      </c>
    </row>
    <row r="1243" spans="1:3">
      <c r="A1243" s="68">
        <v>37158.785416666666</v>
      </c>
      <c r="B1243" s="9">
        <v>1.52777777777778E-2</v>
      </c>
      <c r="C1243" s="5">
        <v>153</v>
      </c>
    </row>
    <row r="1244" spans="1:3">
      <c r="A1244" s="68">
        <v>37158.785416666666</v>
      </c>
      <c r="B1244" s="9">
        <v>1.59722222222222E-2</v>
      </c>
      <c r="C1244" s="5">
        <v>157</v>
      </c>
    </row>
    <row r="1245" spans="1:3">
      <c r="A1245" s="68">
        <v>37158.785416666666</v>
      </c>
      <c r="B1245" s="9">
        <v>1.6666666666666701E-2</v>
      </c>
      <c r="C1245" s="5">
        <v>159</v>
      </c>
    </row>
    <row r="1246" spans="1:3">
      <c r="A1246" s="68">
        <v>37158.785416666666</v>
      </c>
      <c r="B1246" s="9">
        <v>1.7361111111111101E-2</v>
      </c>
      <c r="C1246" s="5">
        <v>161</v>
      </c>
    </row>
    <row r="1247" spans="1:3">
      <c r="A1247" s="68">
        <v>37158.785416666666</v>
      </c>
      <c r="B1247" s="9">
        <v>1.8055555555555599E-2</v>
      </c>
      <c r="C1247" s="5">
        <v>155</v>
      </c>
    </row>
    <row r="1248" spans="1:3">
      <c r="A1248" s="68">
        <v>37158.785416666666</v>
      </c>
      <c r="B1248" s="9">
        <v>1.8749999999999999E-2</v>
      </c>
      <c r="C1248" s="5">
        <v>160</v>
      </c>
    </row>
    <row r="1249" spans="1:3">
      <c r="A1249" s="68">
        <v>37158.785416666666</v>
      </c>
      <c r="B1249" s="9">
        <v>1.94444444444444E-2</v>
      </c>
      <c r="C1249" s="5">
        <v>161</v>
      </c>
    </row>
    <row r="1250" spans="1:3">
      <c r="A1250" s="68">
        <v>37158.785416666666</v>
      </c>
      <c r="B1250" s="9">
        <v>2.01388888888888E-2</v>
      </c>
      <c r="C1250" s="5">
        <v>169</v>
      </c>
    </row>
    <row r="1251" spans="1:3">
      <c r="A1251" s="68">
        <v>37158.785416666666</v>
      </c>
      <c r="B1251" s="9">
        <v>2.08333333333332E-2</v>
      </c>
      <c r="C1251" s="5">
        <v>176</v>
      </c>
    </row>
    <row r="1252" spans="1:3">
      <c r="A1252" s="68">
        <v>37158.785416666666</v>
      </c>
      <c r="B1252" s="9">
        <v>2.1527777777777601E-2</v>
      </c>
      <c r="C1252" s="5">
        <v>181</v>
      </c>
    </row>
    <row r="1253" spans="1:3">
      <c r="A1253" s="68">
        <v>37166.879166666666</v>
      </c>
      <c r="B1253" s="9">
        <v>0</v>
      </c>
      <c r="C1253" s="5">
        <v>131</v>
      </c>
    </row>
    <row r="1254" spans="1:3">
      <c r="A1254" s="68">
        <v>37166.879166666666</v>
      </c>
      <c r="B1254" s="9">
        <v>6.9444444444444447E-4</v>
      </c>
      <c r="C1254" s="5">
        <v>150</v>
      </c>
    </row>
    <row r="1255" spans="1:3">
      <c r="A1255" s="68">
        <v>37166.879166666666</v>
      </c>
      <c r="B1255" s="9">
        <v>1.38888888888889E-3</v>
      </c>
      <c r="C1255" s="5">
        <v>158</v>
      </c>
    </row>
    <row r="1256" spans="1:3">
      <c r="A1256" s="68">
        <v>37166.879166666666</v>
      </c>
      <c r="B1256" s="9">
        <v>2.0833333333333298E-3</v>
      </c>
      <c r="C1256" s="5">
        <v>160</v>
      </c>
    </row>
    <row r="1257" spans="1:3">
      <c r="A1257" s="68">
        <v>37166.879166666666</v>
      </c>
      <c r="B1257" s="9">
        <v>2.7777777777777801E-3</v>
      </c>
      <c r="C1257" s="5">
        <v>162</v>
      </c>
    </row>
    <row r="1258" spans="1:3">
      <c r="A1258" s="68">
        <v>37166.879166666666</v>
      </c>
      <c r="B1258" s="9">
        <v>3.4722222222222199E-3</v>
      </c>
      <c r="C1258" s="5">
        <v>164</v>
      </c>
    </row>
    <row r="1259" spans="1:3">
      <c r="A1259" s="68">
        <v>37166.879166666666</v>
      </c>
      <c r="B1259" s="9">
        <v>4.1666666666666701E-3</v>
      </c>
      <c r="C1259" s="5">
        <v>156</v>
      </c>
    </row>
    <row r="1260" spans="1:3">
      <c r="A1260" s="68">
        <v>37166.879166666666</v>
      </c>
      <c r="B1260" s="9">
        <v>4.8611111111111103E-3</v>
      </c>
      <c r="C1260" s="5">
        <v>156</v>
      </c>
    </row>
    <row r="1261" spans="1:3">
      <c r="A1261" s="68">
        <v>37166.879166666666</v>
      </c>
      <c r="B1261" s="9">
        <v>5.5555555555555601E-3</v>
      </c>
      <c r="C1261" s="5">
        <v>157</v>
      </c>
    </row>
    <row r="1262" spans="1:3">
      <c r="A1262" s="68">
        <v>37166.879166666666</v>
      </c>
      <c r="B1262" s="9">
        <v>6.2500000000000003E-3</v>
      </c>
      <c r="C1262" s="5">
        <v>159</v>
      </c>
    </row>
    <row r="1263" spans="1:3">
      <c r="A1263" s="68">
        <v>37166.879166666666</v>
      </c>
      <c r="B1263" s="9">
        <v>6.9444444444444397E-3</v>
      </c>
      <c r="C1263" s="5">
        <v>159</v>
      </c>
    </row>
    <row r="1264" spans="1:3">
      <c r="A1264" s="68">
        <v>37166.879166666666</v>
      </c>
      <c r="B1264" s="9">
        <v>7.6388888888888904E-3</v>
      </c>
      <c r="C1264" s="5">
        <v>157</v>
      </c>
    </row>
    <row r="1265" spans="1:3">
      <c r="A1265" s="68">
        <v>37166.879166666666</v>
      </c>
      <c r="B1265" s="9">
        <v>8.3333333333333297E-3</v>
      </c>
      <c r="C1265" s="5">
        <v>162</v>
      </c>
    </row>
    <row r="1266" spans="1:3">
      <c r="A1266" s="68">
        <v>37166.879166666666</v>
      </c>
      <c r="B1266" s="9">
        <v>9.0277777777777804E-3</v>
      </c>
      <c r="C1266" s="5">
        <v>152</v>
      </c>
    </row>
    <row r="1267" spans="1:3">
      <c r="A1267" s="68">
        <v>37166.879166666666</v>
      </c>
      <c r="B1267" s="9">
        <v>9.7222222222222206E-3</v>
      </c>
      <c r="C1267" s="5">
        <v>159</v>
      </c>
    </row>
    <row r="1268" spans="1:3">
      <c r="A1268" s="68">
        <v>37166.879166666666</v>
      </c>
      <c r="B1268" s="9">
        <v>1.0416666666666701E-2</v>
      </c>
      <c r="C1268" s="5">
        <v>156</v>
      </c>
    </row>
    <row r="1269" spans="1:3">
      <c r="A1269" s="68">
        <v>37166.879166666666</v>
      </c>
      <c r="B1269" s="9">
        <v>1.1111111111111099E-2</v>
      </c>
      <c r="C1269" s="5">
        <v>162</v>
      </c>
    </row>
    <row r="1270" spans="1:3">
      <c r="A1270" s="68">
        <v>37166.879166666666</v>
      </c>
      <c r="B1270" s="9">
        <v>1.18055555555556E-2</v>
      </c>
      <c r="C1270" s="5">
        <v>160</v>
      </c>
    </row>
    <row r="1271" spans="1:3">
      <c r="A1271" s="68">
        <v>37166.879166666666</v>
      </c>
      <c r="B1271" s="9">
        <v>1.2500000000000001E-2</v>
      </c>
      <c r="C1271" s="5">
        <v>159</v>
      </c>
    </row>
    <row r="1272" spans="1:3">
      <c r="A1272" s="68">
        <v>37166.879166666666</v>
      </c>
      <c r="B1272" s="9">
        <v>1.3194444444444399E-2</v>
      </c>
      <c r="C1272" s="5">
        <v>158</v>
      </c>
    </row>
    <row r="1273" spans="1:3">
      <c r="A1273" s="68">
        <v>37166.879166666666</v>
      </c>
      <c r="B1273" s="9">
        <v>1.38888888888889E-2</v>
      </c>
      <c r="C1273" s="5">
        <v>160</v>
      </c>
    </row>
    <row r="1274" spans="1:3">
      <c r="A1274" s="68">
        <v>37166.879166666666</v>
      </c>
      <c r="B1274" s="9">
        <v>1.4583333333333301E-2</v>
      </c>
      <c r="C1274" s="5">
        <v>155</v>
      </c>
    </row>
    <row r="1275" spans="1:3">
      <c r="A1275" s="68">
        <v>37166.879166666666</v>
      </c>
      <c r="B1275" s="9">
        <v>1.52777777777778E-2</v>
      </c>
      <c r="C1275" s="5">
        <v>162</v>
      </c>
    </row>
    <row r="1276" spans="1:3">
      <c r="A1276" s="68">
        <v>37166.879166666666</v>
      </c>
      <c r="B1276" s="9">
        <v>1.59722222222222E-2</v>
      </c>
      <c r="C1276" s="5">
        <v>157</v>
      </c>
    </row>
    <row r="1277" spans="1:3">
      <c r="A1277" s="68">
        <v>37166.879166666666</v>
      </c>
      <c r="B1277" s="9">
        <v>1.6666666666666701E-2</v>
      </c>
      <c r="C1277" s="5">
        <v>157</v>
      </c>
    </row>
    <row r="1278" spans="1:3">
      <c r="A1278" s="68">
        <v>37166.879166666666</v>
      </c>
      <c r="B1278" s="9">
        <v>1.7361111111111101E-2</v>
      </c>
      <c r="C1278" s="5">
        <v>157</v>
      </c>
    </row>
    <row r="1279" spans="1:3">
      <c r="A1279" s="68">
        <v>37166.879166666666</v>
      </c>
      <c r="B1279" s="9">
        <v>1.8055555555555599E-2</v>
      </c>
      <c r="C1279" s="5">
        <v>156</v>
      </c>
    </row>
    <row r="1280" spans="1:3">
      <c r="A1280" s="68">
        <v>37166.879166666666</v>
      </c>
      <c r="B1280" s="9">
        <v>1.8749999999999999E-2</v>
      </c>
      <c r="C1280" s="5">
        <v>169</v>
      </c>
    </row>
    <row r="1281" spans="1:3">
      <c r="A1281" s="68">
        <v>37166.879166666666</v>
      </c>
      <c r="B1281" s="9">
        <v>1.94444444444444E-2</v>
      </c>
      <c r="C1281" s="5">
        <v>174</v>
      </c>
    </row>
    <row r="1282" spans="1:3">
      <c r="A1282" s="68">
        <v>37166.879166666666</v>
      </c>
      <c r="B1282" s="9">
        <v>2.01388888888888E-2</v>
      </c>
      <c r="C1282" s="5">
        <v>173</v>
      </c>
    </row>
    <row r="1283" spans="1:3">
      <c r="A1283" s="68">
        <v>37166.879166666666</v>
      </c>
      <c r="B1283" s="9">
        <v>2.08333333333332E-2</v>
      </c>
      <c r="C1283" s="5">
        <v>183</v>
      </c>
    </row>
    <row r="1284" spans="1:3">
      <c r="A1284" s="68">
        <v>37166.879166666666</v>
      </c>
      <c r="B1284" s="9">
        <v>2.1527777777777601E-2</v>
      </c>
      <c r="C1284" s="5">
        <v>190</v>
      </c>
    </row>
    <row r="1285" spans="1:3">
      <c r="A1285" s="68">
        <v>37166.879166666666</v>
      </c>
      <c r="B1285" s="9">
        <v>2.2222222222222001E-2</v>
      </c>
      <c r="C1285" s="5">
        <v>197</v>
      </c>
    </row>
    <row r="1286" spans="1:3">
      <c r="A1286" s="68">
        <v>37174.878472222219</v>
      </c>
      <c r="B1286" s="9">
        <v>0</v>
      </c>
      <c r="C1286" s="5">
        <v>97</v>
      </c>
    </row>
    <row r="1287" spans="1:3">
      <c r="A1287" s="68">
        <v>37174.878472222219</v>
      </c>
      <c r="B1287" s="9">
        <v>6.9444444444444447E-4</v>
      </c>
      <c r="C1287" s="5">
        <v>150</v>
      </c>
    </row>
    <row r="1288" spans="1:3">
      <c r="A1288" s="68">
        <v>37174.878472222219</v>
      </c>
      <c r="B1288" s="9">
        <v>1.38888888888889E-3</v>
      </c>
      <c r="C1288" s="5">
        <v>157</v>
      </c>
    </row>
    <row r="1289" spans="1:3">
      <c r="A1289" s="68">
        <v>37174.878472222219</v>
      </c>
      <c r="B1289" s="9">
        <v>2.0833333333333298E-3</v>
      </c>
      <c r="C1289" s="5">
        <v>155</v>
      </c>
    </row>
    <row r="1290" spans="1:3">
      <c r="A1290" s="68">
        <v>37174.878472222219</v>
      </c>
      <c r="B1290" s="9">
        <v>2.7777777777777801E-3</v>
      </c>
      <c r="C1290" s="5">
        <v>152</v>
      </c>
    </row>
    <row r="1291" spans="1:3">
      <c r="A1291" s="68">
        <v>37174.878472222219</v>
      </c>
      <c r="B1291" s="9">
        <v>3.4722222222222199E-3</v>
      </c>
      <c r="C1291" s="5">
        <v>161</v>
      </c>
    </row>
    <row r="1292" spans="1:3">
      <c r="A1292" s="68">
        <v>37174.878472222219</v>
      </c>
      <c r="B1292" s="9">
        <v>4.1666666666666701E-3</v>
      </c>
      <c r="C1292" s="5">
        <v>160</v>
      </c>
    </row>
    <row r="1293" spans="1:3">
      <c r="A1293" s="68">
        <v>37174.878472222219</v>
      </c>
      <c r="B1293" s="9">
        <v>4.8611111111111103E-3</v>
      </c>
      <c r="C1293" s="5">
        <v>160</v>
      </c>
    </row>
    <row r="1294" spans="1:3">
      <c r="A1294" s="68">
        <v>37174.878472222219</v>
      </c>
      <c r="B1294" s="9">
        <v>5.5555555555555601E-3</v>
      </c>
      <c r="C1294" s="5">
        <v>158</v>
      </c>
    </row>
    <row r="1295" spans="1:3">
      <c r="A1295" s="68">
        <v>37174.878472222219</v>
      </c>
      <c r="B1295" s="9">
        <v>6.2500000000000003E-3</v>
      </c>
      <c r="C1295" s="5">
        <v>160</v>
      </c>
    </row>
    <row r="1296" spans="1:3">
      <c r="A1296" s="68">
        <v>37174.878472222219</v>
      </c>
      <c r="B1296" s="9">
        <v>6.9444444444444397E-3</v>
      </c>
      <c r="C1296" s="5">
        <v>155</v>
      </c>
    </row>
    <row r="1297" spans="1:3">
      <c r="A1297" s="68">
        <v>37174.878472222219</v>
      </c>
      <c r="B1297" s="9">
        <v>7.6388888888888904E-3</v>
      </c>
      <c r="C1297" s="5">
        <v>156</v>
      </c>
    </row>
    <row r="1298" spans="1:3">
      <c r="A1298" s="68">
        <v>37174.878472222219</v>
      </c>
      <c r="B1298" s="9">
        <v>8.3333333333333297E-3</v>
      </c>
      <c r="C1298" s="5">
        <v>156</v>
      </c>
    </row>
    <row r="1299" spans="1:3">
      <c r="A1299" s="68">
        <v>37174.878472222219</v>
      </c>
      <c r="B1299" s="9">
        <v>9.0277777777777804E-3</v>
      </c>
      <c r="C1299" s="5">
        <v>161</v>
      </c>
    </row>
    <row r="1300" spans="1:3">
      <c r="A1300" s="68">
        <v>37174.878472222219</v>
      </c>
      <c r="B1300" s="9">
        <v>9.7222222222222206E-3</v>
      </c>
      <c r="C1300" s="5">
        <v>160</v>
      </c>
    </row>
    <row r="1301" spans="1:3">
      <c r="A1301" s="68">
        <v>37174.878472222219</v>
      </c>
      <c r="B1301" s="9">
        <v>1.0416666666666701E-2</v>
      </c>
      <c r="C1301" s="5">
        <v>160</v>
      </c>
    </row>
    <row r="1302" spans="1:3">
      <c r="A1302" s="68">
        <v>37174.878472222219</v>
      </c>
      <c r="B1302" s="9">
        <v>1.1111111111111099E-2</v>
      </c>
      <c r="C1302" s="5">
        <v>161</v>
      </c>
    </row>
    <row r="1303" spans="1:3">
      <c r="A1303" s="68">
        <v>37174.878472222219</v>
      </c>
      <c r="B1303" s="9">
        <v>1.18055555555556E-2</v>
      </c>
      <c r="C1303" s="5">
        <v>161</v>
      </c>
    </row>
    <row r="1304" spans="1:3">
      <c r="A1304" s="68">
        <v>37174.878472222219</v>
      </c>
      <c r="B1304" s="9">
        <v>1.2500000000000001E-2</v>
      </c>
      <c r="C1304" s="5">
        <v>157</v>
      </c>
    </row>
    <row r="1305" spans="1:3">
      <c r="A1305" s="68">
        <v>37174.878472222219</v>
      </c>
      <c r="B1305" s="9">
        <v>1.3194444444444399E-2</v>
      </c>
      <c r="C1305" s="5">
        <v>158</v>
      </c>
    </row>
    <row r="1306" spans="1:3">
      <c r="A1306" s="68">
        <v>37174.878472222219</v>
      </c>
      <c r="B1306" s="9">
        <v>1.38888888888889E-2</v>
      </c>
      <c r="C1306" s="5">
        <v>157</v>
      </c>
    </row>
    <row r="1307" spans="1:3">
      <c r="A1307" s="68">
        <v>37174.878472222219</v>
      </c>
      <c r="B1307" s="9">
        <v>1.4583333333333301E-2</v>
      </c>
      <c r="C1307" s="5">
        <v>159</v>
      </c>
    </row>
    <row r="1308" spans="1:3">
      <c r="A1308" s="68">
        <v>37174.878472222219</v>
      </c>
      <c r="B1308" s="9">
        <v>1.52777777777778E-2</v>
      </c>
      <c r="C1308" s="5">
        <v>159</v>
      </c>
    </row>
    <row r="1309" spans="1:3">
      <c r="A1309" s="68">
        <v>37174.878472222219</v>
      </c>
      <c r="B1309" s="9">
        <v>1.59722222222222E-2</v>
      </c>
      <c r="C1309" s="5">
        <v>157</v>
      </c>
    </row>
    <row r="1310" spans="1:3">
      <c r="A1310" s="68">
        <v>37174.878472222219</v>
      </c>
      <c r="B1310" s="9">
        <v>1.6666666666666701E-2</v>
      </c>
      <c r="C1310" s="5">
        <v>156</v>
      </c>
    </row>
    <row r="1311" spans="1:3">
      <c r="A1311" s="68">
        <v>37174.878472222219</v>
      </c>
      <c r="B1311" s="9">
        <v>1.7361111111111101E-2</v>
      </c>
      <c r="C1311" s="5">
        <v>159</v>
      </c>
    </row>
    <row r="1312" spans="1:3">
      <c r="A1312" s="68">
        <v>37174.878472222219</v>
      </c>
      <c r="B1312" s="9">
        <v>1.8055555555555599E-2</v>
      </c>
      <c r="C1312" s="5">
        <v>159</v>
      </c>
    </row>
    <row r="1313" spans="1:3">
      <c r="A1313" s="68">
        <v>37174.878472222219</v>
      </c>
      <c r="B1313" s="9">
        <v>1.8749999999999999E-2</v>
      </c>
      <c r="C1313" s="5">
        <v>161</v>
      </c>
    </row>
    <row r="1314" spans="1:3">
      <c r="A1314" s="68">
        <v>37174.878472222219</v>
      </c>
      <c r="B1314" s="9">
        <v>1.94444444444444E-2</v>
      </c>
      <c r="C1314" s="5">
        <v>163</v>
      </c>
    </row>
    <row r="1315" spans="1:3">
      <c r="A1315" s="68">
        <v>37174.878472222219</v>
      </c>
      <c r="B1315" s="9">
        <v>2.01388888888888E-2</v>
      </c>
      <c r="C1315" s="5">
        <v>181</v>
      </c>
    </row>
    <row r="1316" spans="1:3">
      <c r="A1316" s="68">
        <v>37174.878472222219</v>
      </c>
      <c r="B1316" s="9">
        <v>2.08333333333332E-2</v>
      </c>
      <c r="C1316" s="5">
        <v>188</v>
      </c>
    </row>
    <row r="1317" spans="1:3">
      <c r="A1317" s="68">
        <v>37174.878472222219</v>
      </c>
      <c r="B1317" s="9">
        <v>2.1527777777777601E-2</v>
      </c>
      <c r="C1317" s="5">
        <v>192</v>
      </c>
    </row>
    <row r="1318" spans="1:3">
      <c r="A1318" s="68">
        <v>37174.878472222219</v>
      </c>
      <c r="B1318" s="41">
        <v>2.2222222222222001E-2</v>
      </c>
      <c r="C1318" s="5">
        <v>196</v>
      </c>
    </row>
    <row r="1319" spans="1:3">
      <c r="A1319" s="68">
        <v>37176.884027777778</v>
      </c>
      <c r="B1319" s="42">
        <v>0</v>
      </c>
      <c r="C1319" s="43">
        <v>95</v>
      </c>
    </row>
    <row r="1320" spans="1:3">
      <c r="A1320" s="68">
        <v>37176.884027777778</v>
      </c>
      <c r="B1320" s="9">
        <v>6.9444444444444447E-4</v>
      </c>
      <c r="C1320" s="44">
        <v>145</v>
      </c>
    </row>
    <row r="1321" spans="1:3">
      <c r="A1321" s="68">
        <v>37176.884027777778</v>
      </c>
      <c r="B1321" s="9">
        <v>1.38888888888889E-3</v>
      </c>
      <c r="C1321" s="44">
        <v>152</v>
      </c>
    </row>
    <row r="1322" spans="1:3">
      <c r="A1322" s="68">
        <v>37176.884027777778</v>
      </c>
      <c r="B1322" s="9">
        <v>2.0833333333333298E-3</v>
      </c>
      <c r="C1322" s="44">
        <v>152</v>
      </c>
    </row>
    <row r="1323" spans="1:3">
      <c r="A1323" s="68">
        <v>37176.884027777778</v>
      </c>
      <c r="B1323" s="9">
        <v>2.7777777777777801E-3</v>
      </c>
      <c r="C1323" s="44">
        <v>158</v>
      </c>
    </row>
    <row r="1324" spans="1:3">
      <c r="A1324" s="68">
        <v>37176.884027777778</v>
      </c>
      <c r="B1324" s="9">
        <v>3.4722222222222199E-3</v>
      </c>
      <c r="C1324" s="44">
        <v>158</v>
      </c>
    </row>
    <row r="1325" spans="1:3">
      <c r="A1325" s="68">
        <v>37176.884027777778</v>
      </c>
      <c r="B1325" s="9">
        <v>4.1666666666666701E-3</v>
      </c>
      <c r="C1325" s="44">
        <v>158</v>
      </c>
    </row>
    <row r="1326" spans="1:3">
      <c r="A1326" s="68">
        <v>37176.884027777778</v>
      </c>
      <c r="B1326" s="9">
        <v>4.8611111111111103E-3</v>
      </c>
      <c r="C1326" s="44">
        <v>160</v>
      </c>
    </row>
    <row r="1327" spans="1:3">
      <c r="A1327" s="68">
        <v>37176.884027777778</v>
      </c>
      <c r="B1327" s="9">
        <v>5.5555555555555601E-3</v>
      </c>
      <c r="C1327" s="44">
        <v>159</v>
      </c>
    </row>
    <row r="1328" spans="1:3">
      <c r="A1328" s="68">
        <v>37176.884027777778</v>
      </c>
      <c r="B1328" s="9">
        <v>6.2500000000000003E-3</v>
      </c>
      <c r="C1328" s="44">
        <v>162</v>
      </c>
    </row>
    <row r="1329" spans="1:3">
      <c r="A1329" s="68">
        <v>37176.884027777778</v>
      </c>
      <c r="B1329" s="9">
        <v>6.9444444444444397E-3</v>
      </c>
      <c r="C1329" s="44">
        <v>159</v>
      </c>
    </row>
    <row r="1330" spans="1:3">
      <c r="A1330" s="68">
        <v>37176.884027777778</v>
      </c>
      <c r="B1330" s="9">
        <v>7.6388888888888904E-3</v>
      </c>
      <c r="C1330" s="44">
        <v>159</v>
      </c>
    </row>
    <row r="1331" spans="1:3">
      <c r="A1331" s="68">
        <v>37176.884027777778</v>
      </c>
      <c r="B1331" s="9">
        <v>8.3333333333333297E-3</v>
      </c>
      <c r="C1331" s="44">
        <v>157</v>
      </c>
    </row>
    <row r="1332" spans="1:3">
      <c r="A1332" s="68">
        <v>37176.884027777778</v>
      </c>
      <c r="B1332" s="9">
        <v>9.0277777777777804E-3</v>
      </c>
      <c r="C1332" s="44">
        <v>160</v>
      </c>
    </row>
    <row r="1333" spans="1:3">
      <c r="A1333" s="68">
        <v>37176.884027777778</v>
      </c>
      <c r="B1333" s="9">
        <v>9.7222222222222206E-3</v>
      </c>
      <c r="C1333" s="44">
        <v>163</v>
      </c>
    </row>
    <row r="1334" spans="1:3">
      <c r="A1334" s="68">
        <v>37176.884027777778</v>
      </c>
      <c r="B1334" s="9">
        <v>1.0416666666666701E-2</v>
      </c>
      <c r="C1334" s="44">
        <v>159</v>
      </c>
    </row>
    <row r="1335" spans="1:3">
      <c r="A1335" s="68">
        <v>37176.884027777778</v>
      </c>
      <c r="B1335" s="9">
        <v>1.1111111111111099E-2</v>
      </c>
      <c r="C1335" s="44">
        <v>162</v>
      </c>
    </row>
    <row r="1336" spans="1:3">
      <c r="A1336" s="68">
        <v>37176.884027777778</v>
      </c>
      <c r="B1336" s="9">
        <v>1.18055555555556E-2</v>
      </c>
      <c r="C1336" s="44">
        <v>157</v>
      </c>
    </row>
    <row r="1337" spans="1:3">
      <c r="A1337" s="68">
        <v>37176.884027777778</v>
      </c>
      <c r="B1337" s="9">
        <v>1.2500000000000001E-2</v>
      </c>
      <c r="C1337" s="44">
        <v>162</v>
      </c>
    </row>
    <row r="1338" spans="1:3">
      <c r="A1338" s="68">
        <v>37176.884027777778</v>
      </c>
      <c r="B1338" s="9">
        <v>1.3194444444444399E-2</v>
      </c>
      <c r="C1338" s="44">
        <v>163</v>
      </c>
    </row>
    <row r="1339" spans="1:3">
      <c r="A1339" s="68">
        <v>37176.884027777778</v>
      </c>
      <c r="B1339" s="9">
        <v>1.38888888888889E-2</v>
      </c>
      <c r="C1339" s="44">
        <v>159</v>
      </c>
    </row>
    <row r="1340" spans="1:3">
      <c r="A1340" s="68">
        <v>37176.884027777778</v>
      </c>
      <c r="B1340" s="9">
        <v>1.4583333333333301E-2</v>
      </c>
      <c r="C1340" s="44">
        <v>158</v>
      </c>
    </row>
    <row r="1341" spans="1:3">
      <c r="A1341" s="68">
        <v>37176.884027777778</v>
      </c>
      <c r="B1341" s="9">
        <v>1.52777777777778E-2</v>
      </c>
      <c r="C1341" s="44">
        <v>157</v>
      </c>
    </row>
    <row r="1342" spans="1:3">
      <c r="A1342" s="68">
        <v>37176.884027777778</v>
      </c>
      <c r="B1342" s="9">
        <v>1.59722222222222E-2</v>
      </c>
      <c r="C1342" s="44">
        <v>161</v>
      </c>
    </row>
    <row r="1343" spans="1:3">
      <c r="A1343" s="68">
        <v>37176.884027777778</v>
      </c>
      <c r="B1343" s="9">
        <v>1.6666666666666701E-2</v>
      </c>
      <c r="C1343" s="44">
        <v>161</v>
      </c>
    </row>
    <row r="1344" spans="1:3">
      <c r="A1344" s="68">
        <v>37176.884027777778</v>
      </c>
      <c r="B1344" s="9">
        <v>1.7361111111111101E-2</v>
      </c>
      <c r="C1344" s="44">
        <v>159</v>
      </c>
    </row>
    <row r="1345" spans="1:3">
      <c r="A1345" s="68">
        <v>37176.884027777778</v>
      </c>
      <c r="B1345" s="9">
        <v>1.8055555555555599E-2</v>
      </c>
      <c r="C1345" s="44">
        <v>160</v>
      </c>
    </row>
    <row r="1346" spans="1:3">
      <c r="A1346" s="68">
        <v>37176.884027777778</v>
      </c>
      <c r="B1346" s="9">
        <v>1.8749999999999999E-2</v>
      </c>
      <c r="C1346" s="44">
        <v>160</v>
      </c>
    </row>
    <row r="1347" spans="1:3">
      <c r="A1347" s="68">
        <v>37176.884027777778</v>
      </c>
      <c r="B1347" s="9">
        <v>1.94444444444444E-2</v>
      </c>
      <c r="C1347" s="44">
        <v>176</v>
      </c>
    </row>
    <row r="1348" spans="1:3">
      <c r="A1348" s="68">
        <v>37176.884027777778</v>
      </c>
      <c r="B1348" s="9">
        <v>2.01388888888888E-2</v>
      </c>
      <c r="C1348" s="44">
        <v>187</v>
      </c>
    </row>
    <row r="1349" spans="1:3">
      <c r="A1349" s="68">
        <v>37176.884027777778</v>
      </c>
      <c r="B1349" s="9">
        <v>2.08333333333332E-2</v>
      </c>
      <c r="C1349" s="44">
        <v>193</v>
      </c>
    </row>
    <row r="1350" spans="1:3">
      <c r="A1350" s="68">
        <v>37176.884027777778</v>
      </c>
      <c r="B1350" s="9">
        <v>2.1527777777777601E-2</v>
      </c>
      <c r="C1350" s="44">
        <v>198</v>
      </c>
    </row>
    <row r="1351" spans="1:3">
      <c r="A1351" s="68">
        <v>37176.884027777778</v>
      </c>
      <c r="B1351" s="45">
        <v>2.2222222222222001E-2</v>
      </c>
      <c r="C1351" s="46">
        <v>205</v>
      </c>
    </row>
    <row r="1352" spans="1:3">
      <c r="A1352" s="68">
        <v>37177.748611111114</v>
      </c>
      <c r="B1352" s="42">
        <v>0</v>
      </c>
      <c r="C1352" s="5">
        <v>135</v>
      </c>
    </row>
    <row r="1353" spans="1:3">
      <c r="A1353" s="68">
        <v>37177.748611111114</v>
      </c>
      <c r="B1353" s="9">
        <v>6.9444444444444447E-4</v>
      </c>
      <c r="C1353" s="5">
        <v>158</v>
      </c>
    </row>
    <row r="1354" spans="1:3">
      <c r="A1354" s="68">
        <v>37177.748611111114</v>
      </c>
      <c r="B1354" s="9">
        <v>1.38888888888889E-3</v>
      </c>
      <c r="C1354" s="5">
        <v>165</v>
      </c>
    </row>
    <row r="1355" spans="1:3">
      <c r="A1355" s="68">
        <v>37177.748611111114</v>
      </c>
      <c r="B1355" s="9">
        <v>2.0833333333333298E-3</v>
      </c>
      <c r="C1355" s="5">
        <v>169</v>
      </c>
    </row>
    <row r="1356" spans="1:3">
      <c r="A1356" s="68">
        <v>37177.748611111114</v>
      </c>
      <c r="B1356" s="9">
        <v>2.7777777777777801E-3</v>
      </c>
      <c r="C1356" s="5">
        <v>169</v>
      </c>
    </row>
    <row r="1357" spans="1:3">
      <c r="A1357" s="68">
        <v>37177.748611111114</v>
      </c>
      <c r="B1357" s="9">
        <v>3.4722222222222199E-3</v>
      </c>
      <c r="C1357" s="5">
        <v>170</v>
      </c>
    </row>
    <row r="1358" spans="1:3">
      <c r="A1358" s="68">
        <v>37177.748611111114</v>
      </c>
      <c r="B1358" s="9">
        <v>4.1666666666666701E-3</v>
      </c>
      <c r="C1358" s="5">
        <v>167</v>
      </c>
    </row>
    <row r="1359" spans="1:3">
      <c r="A1359" s="68">
        <v>37177.748611111114</v>
      </c>
      <c r="B1359" s="9">
        <v>4.8611111111111103E-3</v>
      </c>
      <c r="C1359" s="5">
        <v>167</v>
      </c>
    </row>
    <row r="1360" spans="1:3">
      <c r="A1360" s="68">
        <v>37177.748611111114</v>
      </c>
      <c r="B1360" s="9">
        <v>5.5555555555555601E-3</v>
      </c>
      <c r="C1360" s="5">
        <v>169</v>
      </c>
    </row>
    <row r="1361" spans="1:3">
      <c r="A1361" s="68">
        <v>37177.748611111114</v>
      </c>
      <c r="B1361" s="9">
        <v>6.2500000000000003E-3</v>
      </c>
      <c r="C1361" s="5">
        <v>173</v>
      </c>
    </row>
    <row r="1362" spans="1:3">
      <c r="A1362" s="68">
        <v>37177.748611111114</v>
      </c>
      <c r="B1362" s="9">
        <v>6.9444444444444397E-3</v>
      </c>
      <c r="C1362" s="5">
        <v>167</v>
      </c>
    </row>
    <row r="1363" spans="1:3">
      <c r="A1363" s="68">
        <v>37177.748611111114</v>
      </c>
      <c r="B1363" s="9">
        <v>7.6388888888888904E-3</v>
      </c>
      <c r="C1363" s="5">
        <v>169</v>
      </c>
    </row>
    <row r="1364" spans="1:3">
      <c r="A1364" s="68">
        <v>37177.748611111114</v>
      </c>
      <c r="B1364" s="9">
        <v>8.3333333333333297E-3</v>
      </c>
      <c r="C1364" s="5">
        <v>169</v>
      </c>
    </row>
    <row r="1365" spans="1:3">
      <c r="A1365" s="68">
        <v>37177.748611111114</v>
      </c>
      <c r="B1365" s="9">
        <v>9.0277777777777804E-3</v>
      </c>
      <c r="C1365" s="5">
        <v>169</v>
      </c>
    </row>
    <row r="1366" spans="1:3">
      <c r="A1366" s="68">
        <v>37177.748611111114</v>
      </c>
      <c r="B1366" s="9">
        <v>9.7222222222222206E-3</v>
      </c>
      <c r="C1366" s="5">
        <v>169</v>
      </c>
    </row>
    <row r="1367" spans="1:3">
      <c r="A1367" s="68">
        <v>37177.748611111114</v>
      </c>
      <c r="B1367" s="9">
        <v>1.0416666666666701E-2</v>
      </c>
      <c r="C1367" s="5">
        <v>172</v>
      </c>
    </row>
    <row r="1368" spans="1:3">
      <c r="A1368" s="68">
        <v>37177.748611111114</v>
      </c>
      <c r="B1368" s="9">
        <v>1.1111111111111099E-2</v>
      </c>
      <c r="C1368" s="5">
        <v>176</v>
      </c>
    </row>
    <row r="1369" spans="1:3">
      <c r="A1369" s="68">
        <v>37177.748611111114</v>
      </c>
      <c r="B1369" s="9">
        <v>1.18055555555556E-2</v>
      </c>
      <c r="C1369" s="5">
        <v>180</v>
      </c>
    </row>
    <row r="1370" spans="1:3">
      <c r="A1370" s="68">
        <v>37177.748611111114</v>
      </c>
      <c r="B1370" s="9">
        <v>1.2500000000000001E-2</v>
      </c>
      <c r="C1370" s="5">
        <v>181</v>
      </c>
    </row>
    <row r="1371" spans="1:3">
      <c r="A1371" s="68">
        <v>37177.748611111114</v>
      </c>
      <c r="B1371" s="9">
        <v>1.3194444444444399E-2</v>
      </c>
      <c r="C1371" s="5">
        <v>182</v>
      </c>
    </row>
    <row r="1372" spans="1:3">
      <c r="A1372" s="68">
        <v>37177.748611111114</v>
      </c>
      <c r="B1372" s="9">
        <v>1.38888888888889E-2</v>
      </c>
      <c r="C1372" s="5">
        <v>181</v>
      </c>
    </row>
    <row r="1373" spans="1:3">
      <c r="A1373" s="68">
        <v>37177.748611111114</v>
      </c>
      <c r="B1373" s="9">
        <v>1.4583333333333301E-2</v>
      </c>
      <c r="C1373" s="5">
        <v>183</v>
      </c>
    </row>
    <row r="1374" spans="1:3">
      <c r="A1374" s="68">
        <v>37177.748611111114</v>
      </c>
      <c r="B1374" s="9">
        <v>1.52777777777778E-2</v>
      </c>
      <c r="C1374" s="5">
        <v>184</v>
      </c>
    </row>
    <row r="1375" spans="1:3">
      <c r="A1375" s="68">
        <v>37177.748611111114</v>
      </c>
      <c r="B1375" s="9">
        <v>1.59722222222222E-2</v>
      </c>
      <c r="C1375" s="5">
        <v>188</v>
      </c>
    </row>
    <row r="1376" spans="1:3">
      <c r="A1376" s="68">
        <v>37177.748611111114</v>
      </c>
      <c r="B1376" s="9">
        <v>1.6666666666666701E-2</v>
      </c>
      <c r="C1376" s="5">
        <v>188</v>
      </c>
    </row>
    <row r="1377" spans="1:3">
      <c r="A1377" s="68">
        <v>37177.748611111114</v>
      </c>
      <c r="B1377" s="9">
        <v>1.7361111111111101E-2</v>
      </c>
      <c r="C1377" s="5">
        <v>185</v>
      </c>
    </row>
    <row r="1378" spans="1:3">
      <c r="A1378" s="68">
        <v>37177.748611111114</v>
      </c>
      <c r="B1378" s="9">
        <v>1.8055555555555599E-2</v>
      </c>
      <c r="C1378" s="5">
        <v>189</v>
      </c>
    </row>
    <row r="1379" spans="1:3">
      <c r="A1379" s="68">
        <v>37177.748611111114</v>
      </c>
      <c r="B1379" s="9">
        <v>1.8749999999999999E-2</v>
      </c>
      <c r="C1379" s="5">
        <v>192</v>
      </c>
    </row>
    <row r="1380" spans="1:3">
      <c r="A1380" s="68">
        <v>37191.613194444442</v>
      </c>
      <c r="B1380" s="42">
        <v>0</v>
      </c>
      <c r="C1380" s="5">
        <v>123</v>
      </c>
    </row>
    <row r="1381" spans="1:3">
      <c r="A1381" s="68">
        <v>37191.613194444442</v>
      </c>
      <c r="B1381" s="9">
        <v>6.9444444444444447E-4</v>
      </c>
      <c r="C1381" s="5">
        <v>149</v>
      </c>
    </row>
    <row r="1382" spans="1:3">
      <c r="A1382" s="68">
        <v>37191.613194444442</v>
      </c>
      <c r="B1382" s="9">
        <v>1.38888888888889E-3</v>
      </c>
      <c r="C1382" s="5">
        <v>158</v>
      </c>
    </row>
    <row r="1383" spans="1:3">
      <c r="A1383" s="68">
        <v>37191.613194444442</v>
      </c>
      <c r="B1383" s="9">
        <v>2.0833333333333298E-3</v>
      </c>
      <c r="C1383" s="5">
        <v>156</v>
      </c>
    </row>
    <row r="1384" spans="1:3">
      <c r="A1384" s="68">
        <v>37191.613194444442</v>
      </c>
      <c r="B1384" s="9">
        <v>2.7777777777777801E-3</v>
      </c>
      <c r="C1384" s="5">
        <v>159</v>
      </c>
    </row>
    <row r="1385" spans="1:3">
      <c r="A1385" s="68">
        <v>37191.613194444442</v>
      </c>
      <c r="B1385" s="9">
        <v>3.4722222222222199E-3</v>
      </c>
      <c r="C1385" s="5">
        <v>157</v>
      </c>
    </row>
    <row r="1386" spans="1:3">
      <c r="A1386" s="68">
        <v>37191.613194444442</v>
      </c>
      <c r="B1386" s="9">
        <v>4.1666666666666701E-3</v>
      </c>
      <c r="C1386" s="5">
        <v>160</v>
      </c>
    </row>
    <row r="1387" spans="1:3">
      <c r="A1387" s="68">
        <v>37191.613194444442</v>
      </c>
      <c r="B1387" s="9">
        <v>4.8611111111111103E-3</v>
      </c>
      <c r="C1387" s="5">
        <v>161</v>
      </c>
    </row>
    <row r="1388" spans="1:3">
      <c r="A1388" s="68">
        <v>37191.613194444442</v>
      </c>
      <c r="B1388" s="9">
        <v>5.5555555555555601E-3</v>
      </c>
      <c r="C1388" s="5">
        <v>158</v>
      </c>
    </row>
    <row r="1389" spans="1:3">
      <c r="A1389" s="68">
        <v>37191.613194444442</v>
      </c>
      <c r="B1389" s="9">
        <v>6.2500000000000003E-3</v>
      </c>
      <c r="C1389" s="5">
        <v>156</v>
      </c>
    </row>
    <row r="1390" spans="1:3">
      <c r="A1390" s="68">
        <v>37191.613194444442</v>
      </c>
      <c r="B1390" s="9">
        <v>6.9444444444444397E-3</v>
      </c>
      <c r="C1390" s="5">
        <v>161</v>
      </c>
    </row>
    <row r="1391" spans="1:3">
      <c r="A1391" s="68">
        <v>37191.613194444442</v>
      </c>
      <c r="B1391" s="9">
        <v>7.6388888888888904E-3</v>
      </c>
      <c r="C1391" s="5">
        <v>160</v>
      </c>
    </row>
    <row r="1392" spans="1:3">
      <c r="A1392" s="68">
        <v>37191.613194444442</v>
      </c>
      <c r="B1392" s="9">
        <v>8.3333333333333297E-3</v>
      </c>
      <c r="C1392" s="5">
        <v>159</v>
      </c>
    </row>
    <row r="1393" spans="1:3">
      <c r="A1393" s="68">
        <v>37191.613194444442</v>
      </c>
      <c r="B1393" s="9">
        <v>9.0277777777777804E-3</v>
      </c>
      <c r="C1393" s="5">
        <v>154</v>
      </c>
    </row>
    <row r="1394" spans="1:3">
      <c r="A1394" s="68">
        <v>37191.613194444442</v>
      </c>
      <c r="B1394" s="9">
        <v>9.7222222222222206E-3</v>
      </c>
      <c r="C1394" s="5">
        <v>159</v>
      </c>
    </row>
    <row r="1395" spans="1:3">
      <c r="A1395" s="68">
        <v>37191.613194444442</v>
      </c>
      <c r="B1395" s="9">
        <v>1.0416666666666701E-2</v>
      </c>
      <c r="C1395" s="5">
        <v>156</v>
      </c>
    </row>
    <row r="1396" spans="1:3">
      <c r="A1396" s="68">
        <v>37191.613194444442</v>
      </c>
      <c r="B1396" s="9">
        <v>1.1111111111111099E-2</v>
      </c>
      <c r="C1396" s="5">
        <v>151</v>
      </c>
    </row>
    <row r="1397" spans="1:3">
      <c r="A1397" s="68">
        <v>37191.613194444442</v>
      </c>
      <c r="B1397" s="9">
        <v>1.18055555555556E-2</v>
      </c>
      <c r="C1397" s="5">
        <v>159</v>
      </c>
    </row>
    <row r="1398" spans="1:3">
      <c r="A1398" s="68">
        <v>37191.613194444442</v>
      </c>
      <c r="B1398" s="9">
        <v>1.2500000000000001E-2</v>
      </c>
      <c r="C1398" s="5">
        <v>156</v>
      </c>
    </row>
    <row r="1399" spans="1:3">
      <c r="A1399" s="68">
        <v>37191.613194444442</v>
      </c>
      <c r="B1399" s="9">
        <v>1.3194444444444399E-2</v>
      </c>
      <c r="C1399" s="5">
        <v>160</v>
      </c>
    </row>
    <row r="1400" spans="1:3">
      <c r="A1400" s="68">
        <v>37191.613194444442</v>
      </c>
      <c r="B1400" s="9">
        <v>1.38888888888889E-2</v>
      </c>
      <c r="C1400" s="5">
        <v>162</v>
      </c>
    </row>
    <row r="1401" spans="1:3">
      <c r="A1401" s="68">
        <v>37191.613194444442</v>
      </c>
      <c r="B1401" s="9">
        <v>1.4583333333333301E-2</v>
      </c>
      <c r="C1401" s="5">
        <v>155</v>
      </c>
    </row>
    <row r="1402" spans="1:3">
      <c r="A1402" s="68">
        <v>37191.613194444442</v>
      </c>
      <c r="B1402" s="9">
        <v>1.52777777777778E-2</v>
      </c>
      <c r="C1402" s="5">
        <v>158</v>
      </c>
    </row>
    <row r="1403" spans="1:3">
      <c r="A1403" s="68">
        <v>37191.613194444442</v>
      </c>
      <c r="B1403" s="9">
        <v>1.59722222222222E-2</v>
      </c>
      <c r="C1403" s="5">
        <v>160</v>
      </c>
    </row>
    <row r="1404" spans="1:3">
      <c r="A1404" s="68">
        <v>37191.613194444442</v>
      </c>
      <c r="B1404" s="9">
        <v>1.6666666666666701E-2</v>
      </c>
      <c r="C1404" s="5">
        <v>155</v>
      </c>
    </row>
    <row r="1405" spans="1:3">
      <c r="A1405" s="68">
        <v>37191.613194444442</v>
      </c>
      <c r="B1405" s="9">
        <v>1.7361111111111101E-2</v>
      </c>
      <c r="C1405" s="5">
        <v>157</v>
      </c>
    </row>
    <row r="1406" spans="1:3">
      <c r="A1406" s="68">
        <v>37191.613194444442</v>
      </c>
      <c r="B1406" s="9">
        <v>1.8055555555555599E-2</v>
      </c>
      <c r="C1406" s="5">
        <v>156</v>
      </c>
    </row>
    <row r="1407" spans="1:3">
      <c r="A1407" s="68">
        <v>37191.613194444442</v>
      </c>
      <c r="B1407" s="9">
        <v>1.8749999999999999E-2</v>
      </c>
      <c r="C1407" s="5">
        <v>158</v>
      </c>
    </row>
    <row r="1408" spans="1:3">
      <c r="A1408" s="68">
        <v>37191.613194444442</v>
      </c>
      <c r="B1408" s="9">
        <v>1.94444444444444E-2</v>
      </c>
      <c r="C1408" s="5">
        <v>160</v>
      </c>
    </row>
    <row r="1409" spans="1:3">
      <c r="A1409" s="68">
        <v>37191.613194444442</v>
      </c>
      <c r="B1409" s="9">
        <v>2.01388888888888E-2</v>
      </c>
      <c r="C1409" s="5">
        <v>157</v>
      </c>
    </row>
    <row r="1410" spans="1:3">
      <c r="A1410" s="68">
        <v>37191.613194444442</v>
      </c>
      <c r="B1410" s="9">
        <v>2.08333333333332E-2</v>
      </c>
      <c r="C1410" s="5">
        <v>155</v>
      </c>
    </row>
    <row r="1411" spans="1:3">
      <c r="A1411" s="68">
        <v>37191.613194444442</v>
      </c>
      <c r="B1411" s="9">
        <v>2.1527777777777601E-2</v>
      </c>
      <c r="C1411" s="5">
        <v>156</v>
      </c>
    </row>
    <row r="1412" spans="1:3">
      <c r="A1412" s="68">
        <v>37191.613194444442</v>
      </c>
      <c r="B1412" s="9">
        <v>2.2222222222222001E-2</v>
      </c>
      <c r="C1412" s="5">
        <v>157</v>
      </c>
    </row>
    <row r="1413" spans="1:3">
      <c r="A1413" s="68">
        <v>37191.613194444442</v>
      </c>
      <c r="B1413" s="9">
        <v>2.2916666666666401E-2</v>
      </c>
      <c r="C1413" s="5">
        <v>156</v>
      </c>
    </row>
    <row r="1414" spans="1:3">
      <c r="A1414" s="68">
        <v>37191.613194444442</v>
      </c>
      <c r="B1414" s="9">
        <v>2.3611111111110802E-2</v>
      </c>
      <c r="C1414" s="5">
        <v>161</v>
      </c>
    </row>
    <row r="1415" spans="1:3">
      <c r="A1415" s="68">
        <v>37191.613194444442</v>
      </c>
      <c r="B1415" s="9">
        <v>2.4305555555555199E-2</v>
      </c>
      <c r="C1415" s="5">
        <v>158</v>
      </c>
    </row>
    <row r="1416" spans="1:3">
      <c r="A1416" s="68">
        <v>37191.613194444442</v>
      </c>
      <c r="B1416" s="9">
        <v>2.4999999999999599E-2</v>
      </c>
      <c r="C1416" s="5">
        <v>160</v>
      </c>
    </row>
    <row r="1417" spans="1:3">
      <c r="A1417" s="68">
        <v>37191.613194444442</v>
      </c>
      <c r="B1417" s="9">
        <v>2.5694444444443999E-2</v>
      </c>
      <c r="C1417" s="5">
        <v>180</v>
      </c>
    </row>
    <row r="1418" spans="1:3">
      <c r="A1418" s="68">
        <v>37191.613194444442</v>
      </c>
      <c r="B1418" s="9">
        <v>2.63888888888884E-2</v>
      </c>
      <c r="C1418" s="5">
        <v>191</v>
      </c>
    </row>
    <row r="1419" spans="1:3">
      <c r="A1419" s="68">
        <v>37191.613194444442</v>
      </c>
      <c r="B1419" s="9">
        <v>2.70833333333328E-2</v>
      </c>
      <c r="C1419" s="5">
        <v>196</v>
      </c>
    </row>
    <row r="1420" spans="1:3">
      <c r="A1420" s="68">
        <v>37191.613194444442</v>
      </c>
      <c r="B1420" s="9">
        <v>2.77777777777772E-2</v>
      </c>
      <c r="C1420" s="5">
        <v>200</v>
      </c>
    </row>
    <row r="1421" spans="1:3">
      <c r="A1421" s="68">
        <v>37193.880555555559</v>
      </c>
      <c r="B1421" s="42">
        <v>0</v>
      </c>
      <c r="C1421" s="5">
        <v>133</v>
      </c>
    </row>
    <row r="1422" spans="1:3">
      <c r="A1422" s="68">
        <v>37193.880555555559</v>
      </c>
      <c r="B1422" s="9">
        <v>6.9444444444444447E-4</v>
      </c>
      <c r="C1422" s="5">
        <v>151</v>
      </c>
    </row>
    <row r="1423" spans="1:3">
      <c r="A1423" s="68">
        <v>37193.880555555559</v>
      </c>
      <c r="B1423" s="9">
        <v>1.38888888888889E-3</v>
      </c>
      <c r="C1423" s="5">
        <v>154</v>
      </c>
    </row>
    <row r="1424" spans="1:3">
      <c r="A1424" s="68">
        <v>37193.880555555559</v>
      </c>
      <c r="B1424" s="9">
        <v>2.0833333333333298E-3</v>
      </c>
      <c r="C1424" s="5">
        <v>153</v>
      </c>
    </row>
    <row r="1425" spans="1:3">
      <c r="A1425" s="68">
        <v>37193.880555555559</v>
      </c>
      <c r="B1425" s="9">
        <v>2.7777777777777801E-3</v>
      </c>
      <c r="C1425" s="5">
        <v>155</v>
      </c>
    </row>
    <row r="1426" spans="1:3">
      <c r="A1426" s="68">
        <v>37193.880555555559</v>
      </c>
      <c r="B1426" s="9">
        <v>3.4722222222222199E-3</v>
      </c>
      <c r="C1426" s="5">
        <v>158</v>
      </c>
    </row>
    <row r="1427" spans="1:3">
      <c r="A1427" s="68">
        <v>37193.880555555559</v>
      </c>
      <c r="B1427" s="9">
        <v>4.1666666666666701E-3</v>
      </c>
      <c r="C1427" s="5">
        <v>157</v>
      </c>
    </row>
    <row r="1428" spans="1:3">
      <c r="A1428" s="68">
        <v>37193.880555555559</v>
      </c>
      <c r="B1428" s="9">
        <v>4.8611111111111103E-3</v>
      </c>
      <c r="C1428" s="5">
        <v>158</v>
      </c>
    </row>
    <row r="1429" spans="1:3">
      <c r="A1429" s="68">
        <v>37193.880555555559</v>
      </c>
      <c r="B1429" s="9">
        <v>5.5555555555555601E-3</v>
      </c>
      <c r="C1429" s="5">
        <v>160</v>
      </c>
    </row>
    <row r="1430" spans="1:3">
      <c r="A1430" s="68">
        <v>37193.880555555559</v>
      </c>
      <c r="B1430" s="9">
        <v>6.2500000000000003E-3</v>
      </c>
      <c r="C1430" s="5">
        <v>154</v>
      </c>
    </row>
    <row r="1431" spans="1:3">
      <c r="A1431" s="68">
        <v>37193.880555555559</v>
      </c>
      <c r="B1431" s="9">
        <v>6.9444444444444397E-3</v>
      </c>
      <c r="C1431" s="5">
        <v>162</v>
      </c>
    </row>
    <row r="1432" spans="1:3">
      <c r="A1432" s="68">
        <v>37193.880555555559</v>
      </c>
      <c r="B1432" s="9">
        <v>7.6388888888888904E-3</v>
      </c>
      <c r="C1432" s="5">
        <v>158</v>
      </c>
    </row>
    <row r="1433" spans="1:3">
      <c r="A1433" s="68">
        <v>37193.880555555559</v>
      </c>
      <c r="B1433" s="9">
        <v>8.3333333333333297E-3</v>
      </c>
      <c r="C1433" s="5">
        <v>159</v>
      </c>
    </row>
    <row r="1434" spans="1:3">
      <c r="A1434" s="68">
        <v>37193.880555555559</v>
      </c>
      <c r="B1434" s="9">
        <v>9.0277777777777804E-3</v>
      </c>
      <c r="C1434" s="5">
        <v>159</v>
      </c>
    </row>
    <row r="1435" spans="1:3">
      <c r="A1435" s="68">
        <v>37193.880555555559</v>
      </c>
      <c r="B1435" s="9">
        <v>9.7222222222222206E-3</v>
      </c>
      <c r="C1435" s="5">
        <v>155</v>
      </c>
    </row>
    <row r="1436" spans="1:3">
      <c r="A1436" s="68">
        <v>37193.880555555559</v>
      </c>
      <c r="B1436" s="9">
        <v>1.0416666666666701E-2</v>
      </c>
      <c r="C1436" s="5">
        <v>158</v>
      </c>
    </row>
    <row r="1437" spans="1:3">
      <c r="A1437" s="68">
        <v>37193.880555555559</v>
      </c>
      <c r="B1437" s="9">
        <v>1.1111111111111099E-2</v>
      </c>
      <c r="C1437" s="5">
        <v>158</v>
      </c>
    </row>
    <row r="1438" spans="1:3">
      <c r="A1438" s="68">
        <v>37193.880555555559</v>
      </c>
      <c r="B1438" s="9">
        <v>1.18055555555556E-2</v>
      </c>
      <c r="C1438" s="5">
        <v>156</v>
      </c>
    </row>
    <row r="1439" spans="1:3">
      <c r="A1439" s="68">
        <v>37193.880555555559</v>
      </c>
      <c r="B1439" s="9">
        <v>1.2500000000000001E-2</v>
      </c>
      <c r="C1439" s="5">
        <v>158</v>
      </c>
    </row>
    <row r="1440" spans="1:3">
      <c r="A1440" s="68">
        <v>37193.880555555559</v>
      </c>
      <c r="B1440" s="9">
        <v>1.3194444444444399E-2</v>
      </c>
      <c r="C1440" s="5">
        <v>160</v>
      </c>
    </row>
    <row r="1441" spans="1:3">
      <c r="A1441" s="68">
        <v>37193.880555555559</v>
      </c>
      <c r="B1441" s="9">
        <v>1.38888888888889E-2</v>
      </c>
      <c r="C1441" s="5">
        <v>163</v>
      </c>
    </row>
    <row r="1442" spans="1:3">
      <c r="A1442" s="68">
        <v>37193.880555555559</v>
      </c>
      <c r="B1442" s="9">
        <v>1.4583333333333301E-2</v>
      </c>
      <c r="C1442" s="5">
        <v>158</v>
      </c>
    </row>
    <row r="1443" spans="1:3">
      <c r="A1443" s="68">
        <v>37193.880555555559</v>
      </c>
      <c r="B1443" s="9">
        <v>1.52777777777778E-2</v>
      </c>
      <c r="C1443" s="5">
        <v>156</v>
      </c>
    </row>
    <row r="1444" spans="1:3">
      <c r="A1444" s="68">
        <v>37193.880555555559</v>
      </c>
      <c r="B1444" s="9">
        <v>1.59722222222222E-2</v>
      </c>
      <c r="C1444" s="5">
        <v>160</v>
      </c>
    </row>
    <row r="1445" spans="1:3">
      <c r="A1445" s="68">
        <v>37193.880555555559</v>
      </c>
      <c r="B1445" s="9">
        <v>1.6666666666666701E-2</v>
      </c>
      <c r="C1445" s="5">
        <v>154</v>
      </c>
    </row>
    <row r="1446" spans="1:3">
      <c r="A1446" s="68">
        <v>37193.880555555559</v>
      </c>
      <c r="B1446" s="9">
        <v>1.7361111111111101E-2</v>
      </c>
      <c r="C1446" s="5">
        <v>161</v>
      </c>
    </row>
    <row r="1447" spans="1:3">
      <c r="A1447" s="68">
        <v>37193.880555555559</v>
      </c>
      <c r="B1447" s="9">
        <v>1.8055555555555599E-2</v>
      </c>
      <c r="C1447" s="5">
        <v>158</v>
      </c>
    </row>
    <row r="1448" spans="1:3">
      <c r="A1448" s="68">
        <v>37193.880555555559</v>
      </c>
      <c r="B1448" s="9">
        <v>1.8749999999999999E-2</v>
      </c>
      <c r="C1448" s="5">
        <v>159</v>
      </c>
    </row>
    <row r="1449" spans="1:3">
      <c r="A1449" s="68">
        <v>37193.880555555559</v>
      </c>
      <c r="B1449" s="9">
        <v>1.94444444444444E-2</v>
      </c>
      <c r="C1449" s="5">
        <v>151</v>
      </c>
    </row>
    <row r="1450" spans="1:3">
      <c r="A1450" s="68">
        <v>37193.880555555559</v>
      </c>
      <c r="B1450" s="9">
        <v>2.01388888888888E-2</v>
      </c>
      <c r="C1450" s="5">
        <v>157</v>
      </c>
    </row>
    <row r="1451" spans="1:3">
      <c r="A1451" s="68">
        <v>37193.880555555559</v>
      </c>
      <c r="B1451" s="9">
        <v>2.08333333333332E-2</v>
      </c>
      <c r="C1451" s="5">
        <v>156</v>
      </c>
    </row>
    <row r="1452" spans="1:3">
      <c r="A1452" s="68">
        <v>37193.880555555559</v>
      </c>
      <c r="B1452" s="9">
        <v>2.1527777777777601E-2</v>
      </c>
      <c r="C1452" s="5">
        <v>154</v>
      </c>
    </row>
    <row r="1453" spans="1:3">
      <c r="A1453" s="68">
        <v>37193.880555555559</v>
      </c>
      <c r="B1453" s="9">
        <v>2.2222222222222001E-2</v>
      </c>
      <c r="C1453" s="5">
        <v>159</v>
      </c>
    </row>
    <row r="1454" spans="1:3">
      <c r="A1454" s="68">
        <v>37193.880555555559</v>
      </c>
      <c r="B1454" s="9">
        <v>2.2916666666666401E-2</v>
      </c>
      <c r="C1454" s="5">
        <v>156</v>
      </c>
    </row>
    <row r="1455" spans="1:3">
      <c r="A1455" s="68">
        <v>37193.880555555559</v>
      </c>
      <c r="B1455" s="9">
        <v>2.3611111111110802E-2</v>
      </c>
      <c r="C1455" s="5">
        <v>157</v>
      </c>
    </row>
    <row r="1456" spans="1:3">
      <c r="A1456" s="68">
        <v>37193.880555555559</v>
      </c>
      <c r="B1456" s="9">
        <v>2.4305555555555199E-2</v>
      </c>
      <c r="C1456" s="5">
        <v>162</v>
      </c>
    </row>
    <row r="1457" spans="1:3">
      <c r="A1457" s="68">
        <v>37193.880555555559</v>
      </c>
      <c r="B1457" s="9">
        <v>2.4999999999999599E-2</v>
      </c>
      <c r="C1457" s="5">
        <v>157</v>
      </c>
    </row>
    <row r="1458" spans="1:3">
      <c r="A1458" s="68">
        <v>37193.880555555559</v>
      </c>
      <c r="B1458" s="9">
        <v>2.5694444444443999E-2</v>
      </c>
      <c r="C1458" s="5">
        <v>158</v>
      </c>
    </row>
    <row r="1459" spans="1:3">
      <c r="A1459" s="68">
        <v>37193.880555555559</v>
      </c>
      <c r="B1459" s="9">
        <v>2.63888888888884E-2</v>
      </c>
      <c r="C1459" s="5">
        <v>156</v>
      </c>
    </row>
    <row r="1460" spans="1:3">
      <c r="A1460" s="68">
        <v>37193.880555555559</v>
      </c>
      <c r="B1460" s="9">
        <v>2.70833333333328E-2</v>
      </c>
      <c r="C1460" s="5">
        <v>159</v>
      </c>
    </row>
    <row r="1461" spans="1:3">
      <c r="A1461" s="68">
        <v>37193.880555555559</v>
      </c>
      <c r="B1461" s="9">
        <v>2.77777777777772E-2</v>
      </c>
      <c r="C1461" s="5">
        <v>157</v>
      </c>
    </row>
    <row r="1462" spans="1:3">
      <c r="A1462" s="68">
        <v>37193.880555555559</v>
      </c>
      <c r="B1462" s="9">
        <v>2.8472222222221601E-2</v>
      </c>
      <c r="C1462" s="5">
        <v>154</v>
      </c>
    </row>
    <row r="1463" spans="1:3">
      <c r="A1463" s="68">
        <v>37193.880555555559</v>
      </c>
      <c r="B1463" s="9">
        <v>2.9166666666666001E-2</v>
      </c>
      <c r="C1463" s="5">
        <v>160</v>
      </c>
    </row>
    <row r="1464" spans="1:3">
      <c r="A1464" s="68">
        <v>37193.880555555559</v>
      </c>
      <c r="B1464" s="9">
        <v>2.9861111111110401E-2</v>
      </c>
      <c r="C1464" s="5">
        <v>160</v>
      </c>
    </row>
    <row r="1465" spans="1:3">
      <c r="A1465" s="68">
        <v>37193.880555555559</v>
      </c>
      <c r="B1465" s="9">
        <v>3.0555555555554802E-2</v>
      </c>
      <c r="C1465" s="5">
        <v>157</v>
      </c>
    </row>
    <row r="1466" spans="1:3">
      <c r="A1466" s="68">
        <v>37193.880555555559</v>
      </c>
      <c r="B1466" s="9">
        <v>3.1249999999999199E-2</v>
      </c>
      <c r="C1466" s="5">
        <v>156</v>
      </c>
    </row>
    <row r="1467" spans="1:3">
      <c r="A1467" s="68">
        <v>37193.880555555559</v>
      </c>
      <c r="B1467" s="9">
        <v>3.1944444444443602E-2</v>
      </c>
      <c r="C1467" s="5">
        <v>157</v>
      </c>
    </row>
    <row r="1468" spans="1:3">
      <c r="A1468" s="68">
        <v>37193.880555555559</v>
      </c>
      <c r="B1468" s="9">
        <v>3.2638888888888003E-2</v>
      </c>
      <c r="C1468" s="5">
        <v>159</v>
      </c>
    </row>
    <row r="1469" spans="1:3">
      <c r="A1469" s="68">
        <v>37193.880555555559</v>
      </c>
      <c r="B1469" s="9">
        <v>3.3333333333332403E-2</v>
      </c>
      <c r="C1469" s="5">
        <v>180</v>
      </c>
    </row>
    <row r="1470" spans="1:3">
      <c r="A1470" s="68">
        <v>37193.880555555559</v>
      </c>
      <c r="B1470" s="9">
        <v>3.4027777777776803E-2</v>
      </c>
      <c r="C1470" s="5">
        <v>185</v>
      </c>
    </row>
    <row r="1471" spans="1:3">
      <c r="A1471" s="68">
        <v>37193.880555555559</v>
      </c>
      <c r="B1471" s="9">
        <v>3.4722222222221197E-2</v>
      </c>
      <c r="C1471" s="5">
        <v>192</v>
      </c>
    </row>
    <row r="1472" spans="1:3">
      <c r="A1472" s="68">
        <v>37193.880555555559</v>
      </c>
      <c r="B1472" s="9">
        <v>3.5416666666665597E-2</v>
      </c>
      <c r="C1472" s="5">
        <v>196</v>
      </c>
    </row>
    <row r="1473" spans="1:3">
      <c r="A1473" s="68">
        <v>37301.646527777775</v>
      </c>
      <c r="B1473" s="42">
        <v>0</v>
      </c>
      <c r="C1473" s="5">
        <v>123</v>
      </c>
    </row>
    <row r="1474" spans="1:3">
      <c r="A1474" s="68">
        <v>37301.646527777775</v>
      </c>
      <c r="B1474" s="9">
        <v>1.7361111111111112E-4</v>
      </c>
      <c r="C1474" s="5">
        <v>123</v>
      </c>
    </row>
    <row r="1475" spans="1:3">
      <c r="A1475" s="68">
        <v>37301.646527777775</v>
      </c>
      <c r="B1475" s="42">
        <v>3.4722222222222202E-4</v>
      </c>
      <c r="C1475" s="5">
        <v>123</v>
      </c>
    </row>
    <row r="1476" spans="1:3">
      <c r="A1476" s="68">
        <v>37301.646527777775</v>
      </c>
      <c r="B1476" s="9">
        <v>5.20833333333333E-4</v>
      </c>
      <c r="C1476" s="5">
        <v>157</v>
      </c>
    </row>
    <row r="1477" spans="1:3">
      <c r="A1477" s="68">
        <v>37301.646527777775</v>
      </c>
      <c r="B1477" s="42">
        <v>6.9444444444444404E-4</v>
      </c>
      <c r="C1477" s="5">
        <v>156</v>
      </c>
    </row>
    <row r="1478" spans="1:3">
      <c r="A1478" s="68">
        <v>37301.646527777775</v>
      </c>
      <c r="B1478" s="9">
        <v>8.6805555555555605E-4</v>
      </c>
      <c r="C1478" s="5">
        <v>155</v>
      </c>
    </row>
    <row r="1479" spans="1:3">
      <c r="A1479" s="68">
        <v>37301.646527777775</v>
      </c>
      <c r="B1479" s="42">
        <v>1.0416666666666699E-3</v>
      </c>
      <c r="C1479" s="5">
        <v>158</v>
      </c>
    </row>
    <row r="1480" spans="1:3">
      <c r="A1480" s="68">
        <v>37301.646527777775</v>
      </c>
      <c r="B1480" s="9">
        <v>1.21527777777778E-3</v>
      </c>
      <c r="C1480" s="5">
        <v>155</v>
      </c>
    </row>
    <row r="1481" spans="1:3">
      <c r="A1481" s="68">
        <v>37301.646527777775</v>
      </c>
      <c r="B1481" s="42">
        <v>1.38888888888889E-3</v>
      </c>
      <c r="C1481" s="5">
        <v>156</v>
      </c>
    </row>
    <row r="1482" spans="1:3">
      <c r="A1482" s="68">
        <v>37301.646527777775</v>
      </c>
      <c r="B1482" s="9">
        <v>1.5625000000000001E-3</v>
      </c>
      <c r="C1482" s="5">
        <v>156</v>
      </c>
    </row>
    <row r="1483" spans="1:3">
      <c r="A1483" s="68">
        <v>37301.646527777775</v>
      </c>
      <c r="B1483" s="42">
        <v>1.7361111111111099E-3</v>
      </c>
      <c r="C1483" s="5">
        <v>161</v>
      </c>
    </row>
    <row r="1484" spans="1:3">
      <c r="A1484" s="68">
        <v>37301.646527777775</v>
      </c>
      <c r="B1484" s="9">
        <v>1.90972222222222E-3</v>
      </c>
      <c r="C1484" s="5">
        <v>159</v>
      </c>
    </row>
    <row r="1485" spans="1:3">
      <c r="A1485" s="68">
        <v>37301.646527777775</v>
      </c>
      <c r="B1485" s="42">
        <v>2.0833333333333298E-3</v>
      </c>
      <c r="C1485" s="5">
        <v>163</v>
      </c>
    </row>
    <row r="1486" spans="1:3">
      <c r="A1486" s="68">
        <v>37301.646527777775</v>
      </c>
      <c r="B1486" s="9">
        <v>2.2569444444444399E-3</v>
      </c>
      <c r="C1486" s="5">
        <v>166</v>
      </c>
    </row>
    <row r="1487" spans="1:3">
      <c r="A1487" s="68">
        <v>37301.646527777775</v>
      </c>
      <c r="B1487" s="42">
        <v>2.4305555555555599E-3</v>
      </c>
      <c r="C1487" s="5">
        <v>166</v>
      </c>
    </row>
    <row r="1488" spans="1:3">
      <c r="A1488" s="68">
        <v>37301.646527777775</v>
      </c>
      <c r="B1488" s="9">
        <v>2.60416666666667E-3</v>
      </c>
      <c r="C1488" s="5">
        <v>165</v>
      </c>
    </row>
    <row r="1489" spans="1:3">
      <c r="A1489" s="68">
        <v>37301.646527777775</v>
      </c>
      <c r="B1489" s="42">
        <v>2.7777777777777801E-3</v>
      </c>
      <c r="C1489" s="5">
        <v>167</v>
      </c>
    </row>
    <row r="1490" spans="1:3">
      <c r="A1490" s="68">
        <v>37301.646527777775</v>
      </c>
      <c r="B1490" s="9">
        <v>2.9513888888888901E-3</v>
      </c>
      <c r="C1490" s="5">
        <v>169</v>
      </c>
    </row>
    <row r="1491" spans="1:3">
      <c r="A1491" s="68">
        <v>37301.646527777775</v>
      </c>
      <c r="B1491" s="42">
        <v>3.1250000000000002E-3</v>
      </c>
      <c r="C1491" s="5">
        <v>169</v>
      </c>
    </row>
    <row r="1492" spans="1:3">
      <c r="A1492" s="68">
        <v>37301.646527777775</v>
      </c>
      <c r="B1492" s="9">
        <v>3.2986111111111098E-3</v>
      </c>
      <c r="C1492" s="5">
        <v>169</v>
      </c>
    </row>
    <row r="1493" spans="1:3">
      <c r="A1493" s="68">
        <v>37301.646527777775</v>
      </c>
      <c r="B1493" s="42">
        <v>3.4722222222222199E-3</v>
      </c>
      <c r="C1493" s="5">
        <v>170</v>
      </c>
    </row>
    <row r="1494" spans="1:3">
      <c r="A1494" s="68">
        <v>37301.646527777775</v>
      </c>
      <c r="B1494" s="9">
        <v>3.6458333333333299E-3</v>
      </c>
      <c r="C1494" s="5">
        <v>171</v>
      </c>
    </row>
    <row r="1495" spans="1:3">
      <c r="A1495" s="68">
        <v>37301.646527777775</v>
      </c>
      <c r="B1495" s="42">
        <v>3.81944444444444E-3</v>
      </c>
      <c r="C1495" s="5">
        <v>170</v>
      </c>
    </row>
    <row r="1496" spans="1:3">
      <c r="A1496" s="68">
        <v>37301.646527777775</v>
      </c>
      <c r="B1496" s="9">
        <v>3.9930555555555596E-3</v>
      </c>
      <c r="C1496" s="5">
        <v>167</v>
      </c>
    </row>
    <row r="1497" spans="1:3">
      <c r="A1497" s="68">
        <v>37301.646527777775</v>
      </c>
      <c r="B1497" s="42">
        <v>4.1666666666666597E-3</v>
      </c>
      <c r="C1497" s="5">
        <v>169</v>
      </c>
    </row>
    <row r="1498" spans="1:3">
      <c r="A1498" s="68">
        <v>37301.646527777775</v>
      </c>
      <c r="B1498" s="9">
        <v>4.3402777777777702E-3</v>
      </c>
      <c r="C1498" s="5">
        <v>172</v>
      </c>
    </row>
    <row r="1499" spans="1:3">
      <c r="A1499" s="68">
        <v>37301.646527777775</v>
      </c>
      <c r="B1499" s="42">
        <v>4.5138888888888798E-3</v>
      </c>
      <c r="C1499" s="5">
        <v>171</v>
      </c>
    </row>
    <row r="1500" spans="1:3">
      <c r="A1500" s="68">
        <v>37301.646527777775</v>
      </c>
      <c r="B1500" s="9">
        <v>4.6874999999999903E-3</v>
      </c>
      <c r="C1500" s="5">
        <v>172</v>
      </c>
    </row>
    <row r="1501" spans="1:3">
      <c r="A1501" s="68">
        <v>37301.646527777775</v>
      </c>
      <c r="B1501" s="42">
        <v>4.8611111111110999E-3</v>
      </c>
      <c r="C1501" s="5">
        <v>173</v>
      </c>
    </row>
    <row r="1502" spans="1:3">
      <c r="A1502" s="68">
        <v>37301.646527777775</v>
      </c>
      <c r="B1502" s="9">
        <v>5.0347222222222104E-3</v>
      </c>
      <c r="C1502" s="5">
        <v>171</v>
      </c>
    </row>
    <row r="1503" spans="1:3">
      <c r="A1503" s="68">
        <v>37301.646527777775</v>
      </c>
      <c r="B1503" s="42">
        <v>5.20833333333332E-3</v>
      </c>
      <c r="C1503" s="5">
        <v>172</v>
      </c>
    </row>
    <row r="1504" spans="1:3">
      <c r="A1504" s="68">
        <v>37301.646527777775</v>
      </c>
      <c r="B1504" s="9">
        <v>5.3819444444444297E-3</v>
      </c>
      <c r="C1504" s="5">
        <v>173</v>
      </c>
    </row>
    <row r="1505" spans="1:3">
      <c r="A1505" s="68">
        <v>37301.646527777775</v>
      </c>
      <c r="B1505" s="42">
        <v>5.5555555555555402E-3</v>
      </c>
      <c r="C1505" s="5">
        <v>171</v>
      </c>
    </row>
    <row r="1506" spans="1:3">
      <c r="A1506" s="68">
        <v>37301.646527777775</v>
      </c>
      <c r="B1506" s="9">
        <v>5.7291666666666498E-3</v>
      </c>
      <c r="C1506" s="5">
        <v>173</v>
      </c>
    </row>
    <row r="1507" spans="1:3">
      <c r="A1507" s="68">
        <v>37301.646527777775</v>
      </c>
      <c r="B1507" s="42">
        <v>5.9027777777777603E-3</v>
      </c>
      <c r="C1507" s="5">
        <v>173</v>
      </c>
    </row>
    <row r="1508" spans="1:3">
      <c r="A1508" s="68">
        <v>37301.646527777775</v>
      </c>
      <c r="B1508" s="9">
        <v>6.0763888888888699E-3</v>
      </c>
      <c r="C1508" s="5">
        <v>178</v>
      </c>
    </row>
    <row r="1509" spans="1:3">
      <c r="A1509" s="68">
        <v>37301.646527777775</v>
      </c>
      <c r="B1509" s="42">
        <v>6.2499999999999804E-3</v>
      </c>
      <c r="C1509" s="5">
        <v>177</v>
      </c>
    </row>
    <row r="1510" spans="1:3">
      <c r="A1510" s="68">
        <v>37301.646527777775</v>
      </c>
      <c r="B1510" s="9">
        <v>6.42361111111109E-3</v>
      </c>
      <c r="C1510" s="5">
        <v>177</v>
      </c>
    </row>
    <row r="1511" spans="1:3">
      <c r="A1511" s="68">
        <v>37301.646527777775</v>
      </c>
      <c r="B1511" s="42">
        <v>6.5972222222221997E-3</v>
      </c>
      <c r="C1511" s="5">
        <v>177</v>
      </c>
    </row>
    <row r="1512" spans="1:3">
      <c r="A1512" s="68">
        <v>37301.646527777775</v>
      </c>
      <c r="B1512" s="9">
        <v>6.7708333333333101E-3</v>
      </c>
      <c r="C1512" s="5">
        <v>166</v>
      </c>
    </row>
    <row r="1513" spans="1:3">
      <c r="A1513" s="68">
        <v>37301.646527777775</v>
      </c>
      <c r="B1513" s="42">
        <v>6.9444444444444198E-3</v>
      </c>
      <c r="C1513" s="5">
        <v>172</v>
      </c>
    </row>
    <row r="1514" spans="1:3">
      <c r="A1514" s="68">
        <v>37301.646527777775</v>
      </c>
      <c r="B1514" s="9">
        <v>7.1180555555555303E-3</v>
      </c>
      <c r="C1514" s="5">
        <v>171</v>
      </c>
    </row>
    <row r="1515" spans="1:3">
      <c r="A1515" s="68">
        <v>37301.646527777775</v>
      </c>
      <c r="B1515" s="42">
        <v>7.2916666666666399E-3</v>
      </c>
      <c r="C1515" s="5">
        <v>171</v>
      </c>
    </row>
    <row r="1516" spans="1:3">
      <c r="A1516" s="68">
        <v>37301.646527777775</v>
      </c>
      <c r="B1516" s="9">
        <v>7.4652777777777504E-3</v>
      </c>
      <c r="C1516" s="5">
        <v>174</v>
      </c>
    </row>
    <row r="1517" spans="1:3">
      <c r="A1517" s="68">
        <v>37301.646527777775</v>
      </c>
      <c r="B1517" s="42">
        <v>7.63888888888886E-3</v>
      </c>
      <c r="C1517" s="5">
        <v>173</v>
      </c>
    </row>
    <row r="1518" spans="1:3">
      <c r="A1518" s="68">
        <v>37301.646527777775</v>
      </c>
      <c r="B1518" s="9">
        <v>7.8124999999999696E-3</v>
      </c>
      <c r="C1518" s="5">
        <v>170</v>
      </c>
    </row>
    <row r="1519" spans="1:3">
      <c r="A1519" s="68">
        <v>37301.646527777775</v>
      </c>
      <c r="B1519" s="42">
        <v>7.9861111111110793E-3</v>
      </c>
      <c r="C1519" s="5">
        <v>169</v>
      </c>
    </row>
    <row r="1520" spans="1:3">
      <c r="A1520" s="68">
        <v>37301.646527777775</v>
      </c>
      <c r="B1520" s="9">
        <v>8.1597222222221898E-3</v>
      </c>
      <c r="C1520" s="5">
        <v>169</v>
      </c>
    </row>
    <row r="1521" spans="1:3">
      <c r="A1521" s="68">
        <v>37301.646527777775</v>
      </c>
      <c r="B1521" s="42">
        <v>8.3333333333333003E-3</v>
      </c>
      <c r="C1521" s="5">
        <v>171</v>
      </c>
    </row>
    <row r="1522" spans="1:3">
      <c r="A1522" s="68">
        <v>37301.646527777775</v>
      </c>
      <c r="B1522" s="9">
        <v>8.5069444444444108E-3</v>
      </c>
      <c r="C1522" s="5">
        <v>172</v>
      </c>
    </row>
    <row r="1523" spans="1:3">
      <c r="A1523" s="68">
        <v>37301.646527777775</v>
      </c>
      <c r="B1523" s="42">
        <v>8.6805555555555195E-3</v>
      </c>
      <c r="C1523" s="5">
        <v>174</v>
      </c>
    </row>
    <row r="1524" spans="1:3">
      <c r="A1524" s="68">
        <v>37301.646527777775</v>
      </c>
      <c r="B1524" s="9">
        <v>8.85416666666663E-3</v>
      </c>
      <c r="C1524" s="5">
        <v>176</v>
      </c>
    </row>
    <row r="1525" spans="1:3">
      <c r="A1525" s="68">
        <v>37301.646527777775</v>
      </c>
      <c r="B1525" s="42">
        <v>9.0277777777777405E-3</v>
      </c>
      <c r="C1525" s="5">
        <v>175</v>
      </c>
    </row>
    <row r="1526" spans="1:3">
      <c r="A1526" s="68">
        <v>37301.646527777775</v>
      </c>
      <c r="B1526" s="9">
        <v>9.2013888888888493E-3</v>
      </c>
      <c r="C1526" s="5">
        <v>175</v>
      </c>
    </row>
    <row r="1527" spans="1:3">
      <c r="A1527" s="68">
        <v>37301.646527777775</v>
      </c>
      <c r="B1527" s="42">
        <v>9.3749999999999598E-3</v>
      </c>
      <c r="C1527" s="5">
        <v>176</v>
      </c>
    </row>
    <row r="1528" spans="1:3">
      <c r="A1528" s="68">
        <v>37301.646527777775</v>
      </c>
      <c r="B1528" s="9">
        <v>9.5486111111110702E-3</v>
      </c>
      <c r="C1528" s="5">
        <v>176</v>
      </c>
    </row>
    <row r="1529" spans="1:3">
      <c r="A1529" s="68">
        <v>37301.646527777775</v>
      </c>
      <c r="B1529" s="42">
        <v>9.7222222222221807E-3</v>
      </c>
      <c r="C1529" s="5">
        <v>174</v>
      </c>
    </row>
    <row r="1530" spans="1:3">
      <c r="A1530" s="68">
        <v>37301.646527777775</v>
      </c>
      <c r="B1530" s="9">
        <v>9.8958333333332895E-3</v>
      </c>
      <c r="C1530" s="5">
        <v>175</v>
      </c>
    </row>
    <row r="1531" spans="1:3">
      <c r="A1531" s="68">
        <v>37301.646527777775</v>
      </c>
      <c r="B1531" s="42">
        <v>1.00694444444444E-2</v>
      </c>
      <c r="C1531" s="5">
        <v>175</v>
      </c>
    </row>
    <row r="1532" spans="1:3">
      <c r="A1532" s="68">
        <v>37301.646527777775</v>
      </c>
      <c r="B1532" s="9">
        <v>1.02430555555555E-2</v>
      </c>
      <c r="C1532" s="5">
        <v>175</v>
      </c>
    </row>
    <row r="1533" spans="1:3">
      <c r="A1533" s="68">
        <v>37301.646527777775</v>
      </c>
      <c r="B1533" s="42">
        <v>1.04166666666666E-2</v>
      </c>
      <c r="C1533" s="5">
        <v>175</v>
      </c>
    </row>
    <row r="1534" spans="1:3">
      <c r="A1534" s="68">
        <v>37301.646527777775</v>
      </c>
      <c r="B1534" s="9">
        <v>1.05902777777777E-2</v>
      </c>
      <c r="C1534" s="5">
        <v>176</v>
      </c>
    </row>
    <row r="1535" spans="1:3">
      <c r="A1535" s="68">
        <v>37301.646527777775</v>
      </c>
      <c r="B1535" s="42">
        <v>1.07638888888888E-2</v>
      </c>
      <c r="C1535" s="5">
        <v>177</v>
      </c>
    </row>
    <row r="1536" spans="1:3">
      <c r="A1536" s="68">
        <v>37301.646527777775</v>
      </c>
      <c r="B1536" s="9">
        <v>1.09374999999999E-2</v>
      </c>
      <c r="C1536" s="5">
        <v>178</v>
      </c>
    </row>
    <row r="1537" spans="1:3">
      <c r="A1537" s="68">
        <v>37301.646527777775</v>
      </c>
      <c r="B1537" s="42">
        <v>1.1111111111111099E-2</v>
      </c>
      <c r="C1537" s="5">
        <v>177</v>
      </c>
    </row>
    <row r="1538" spans="1:3">
      <c r="A1538" s="68">
        <v>37301.646527777775</v>
      </c>
      <c r="B1538" s="9">
        <v>1.1284722222222199E-2</v>
      </c>
      <c r="C1538" s="5">
        <v>176</v>
      </c>
    </row>
    <row r="1539" spans="1:3">
      <c r="A1539" s="68">
        <v>37301.646527777775</v>
      </c>
      <c r="B1539" s="42">
        <v>1.14583333333333E-2</v>
      </c>
      <c r="C1539" s="5">
        <v>175</v>
      </c>
    </row>
    <row r="1540" spans="1:3">
      <c r="A1540" s="68">
        <v>37301.646527777775</v>
      </c>
      <c r="B1540" s="9">
        <v>1.16319444444444E-2</v>
      </c>
      <c r="C1540" s="5">
        <v>175</v>
      </c>
    </row>
    <row r="1541" spans="1:3">
      <c r="A1541" s="68">
        <v>37301.646527777775</v>
      </c>
      <c r="B1541" s="42">
        <v>1.18055555555555E-2</v>
      </c>
      <c r="C1541" s="5">
        <v>177</v>
      </c>
    </row>
    <row r="1542" spans="1:3">
      <c r="A1542" s="68">
        <v>37301.646527777775</v>
      </c>
      <c r="B1542" s="9">
        <v>1.19791666666666E-2</v>
      </c>
      <c r="C1542" s="5">
        <v>176</v>
      </c>
    </row>
    <row r="1543" spans="1:3">
      <c r="A1543" s="68">
        <v>37301.646527777775</v>
      </c>
      <c r="B1543" s="42">
        <v>1.21527777777777E-2</v>
      </c>
      <c r="C1543" s="5">
        <v>176</v>
      </c>
    </row>
    <row r="1544" spans="1:3">
      <c r="A1544" s="68">
        <v>37301.646527777775</v>
      </c>
      <c r="B1544" s="9">
        <v>1.23263888888888E-2</v>
      </c>
      <c r="C1544" s="5">
        <v>175</v>
      </c>
    </row>
    <row r="1545" spans="1:3">
      <c r="A1545" s="68">
        <v>37301.646527777775</v>
      </c>
      <c r="B1545" s="42">
        <v>1.24999999999999E-2</v>
      </c>
      <c r="C1545" s="5">
        <v>176</v>
      </c>
    </row>
    <row r="1546" spans="1:3">
      <c r="A1546" s="68">
        <v>37301.646527777775</v>
      </c>
      <c r="B1546" s="9">
        <v>1.2673611111111E-2</v>
      </c>
      <c r="C1546" s="5">
        <v>179</v>
      </c>
    </row>
    <row r="1547" spans="1:3">
      <c r="A1547" s="68">
        <v>37301.646527777775</v>
      </c>
      <c r="B1547" s="42">
        <v>1.28472222222221E-2</v>
      </c>
      <c r="C1547" s="5">
        <v>179</v>
      </c>
    </row>
    <row r="1548" spans="1:3">
      <c r="A1548" s="68">
        <v>37301.646527777775</v>
      </c>
      <c r="B1548" s="9">
        <v>1.30208333333332E-2</v>
      </c>
      <c r="C1548" s="5">
        <v>173</v>
      </c>
    </row>
    <row r="1549" spans="1:3">
      <c r="A1549" s="68">
        <v>37301.646527777775</v>
      </c>
      <c r="B1549" s="42">
        <v>1.31944444444443E-2</v>
      </c>
      <c r="C1549" s="5">
        <v>177</v>
      </c>
    </row>
    <row r="1550" spans="1:3">
      <c r="A1550" s="68">
        <v>37301.646527777775</v>
      </c>
      <c r="B1550" s="9">
        <v>1.3368055555555401E-2</v>
      </c>
      <c r="C1550" s="5">
        <v>176</v>
      </c>
    </row>
    <row r="1551" spans="1:3">
      <c r="A1551" s="68">
        <v>37301.646527777775</v>
      </c>
      <c r="B1551" s="42">
        <v>1.3541666666666501E-2</v>
      </c>
      <c r="C1551" s="5">
        <v>177</v>
      </c>
    </row>
    <row r="1552" spans="1:3">
      <c r="A1552" s="68">
        <v>37301.646527777775</v>
      </c>
      <c r="B1552" s="9">
        <v>1.3715277777777601E-2</v>
      </c>
      <c r="C1552" s="5">
        <v>175</v>
      </c>
    </row>
    <row r="1553" spans="1:3">
      <c r="A1553" s="68">
        <v>37301.646527777775</v>
      </c>
      <c r="B1553" s="42">
        <v>1.3888888888888701E-2</v>
      </c>
      <c r="C1553" s="5">
        <v>176</v>
      </c>
    </row>
    <row r="1554" spans="1:3">
      <c r="A1554" s="68">
        <v>37301.646527777775</v>
      </c>
      <c r="B1554" s="9">
        <v>1.4062499999999801E-2</v>
      </c>
      <c r="C1554" s="5">
        <v>175</v>
      </c>
    </row>
    <row r="1555" spans="1:3">
      <c r="A1555" s="68">
        <v>37301.646527777775</v>
      </c>
      <c r="B1555" s="42">
        <v>1.4236111111110899E-2</v>
      </c>
      <c r="C1555" s="5">
        <v>176</v>
      </c>
    </row>
    <row r="1556" spans="1:3">
      <c r="A1556" s="68">
        <v>37301.646527777775</v>
      </c>
      <c r="B1556" s="9">
        <v>1.4409722222221999E-2</v>
      </c>
      <c r="C1556" s="5">
        <v>176</v>
      </c>
    </row>
    <row r="1557" spans="1:3">
      <c r="A1557" s="68">
        <v>37301.646527777775</v>
      </c>
      <c r="B1557" s="42">
        <v>1.4583333333333099E-2</v>
      </c>
      <c r="C1557" s="5">
        <v>175</v>
      </c>
    </row>
    <row r="1558" spans="1:3">
      <c r="A1558" s="68">
        <v>37301.646527777775</v>
      </c>
      <c r="B1558" s="9">
        <v>1.4756944444444199E-2</v>
      </c>
      <c r="C1558" s="5">
        <v>176</v>
      </c>
    </row>
    <row r="1559" spans="1:3">
      <c r="A1559" s="68">
        <v>37301.646527777775</v>
      </c>
      <c r="B1559" s="42">
        <v>1.49305555555553E-2</v>
      </c>
      <c r="C1559" s="5">
        <v>177</v>
      </c>
    </row>
    <row r="1560" spans="1:3">
      <c r="A1560" s="68">
        <v>37301.646527777775</v>
      </c>
      <c r="B1560" s="9">
        <v>1.51041666666664E-2</v>
      </c>
      <c r="C1560" s="5">
        <v>178</v>
      </c>
    </row>
    <row r="1561" spans="1:3">
      <c r="A1561" s="68">
        <v>37301.646527777775</v>
      </c>
      <c r="B1561" s="42">
        <v>1.52777777777775E-2</v>
      </c>
      <c r="C1561" s="5">
        <v>176</v>
      </c>
    </row>
    <row r="1562" spans="1:3">
      <c r="A1562" s="68">
        <v>37301.646527777775</v>
      </c>
      <c r="B1562" s="9">
        <v>1.54513888888886E-2</v>
      </c>
      <c r="C1562" s="5">
        <v>177</v>
      </c>
    </row>
    <row r="1563" spans="1:3">
      <c r="A1563" s="68">
        <v>37301.646527777775</v>
      </c>
      <c r="B1563" s="42">
        <v>1.56249999999997E-2</v>
      </c>
      <c r="C1563" s="5">
        <v>176</v>
      </c>
    </row>
    <row r="1564" spans="1:3">
      <c r="A1564" s="68">
        <v>37301.646527777775</v>
      </c>
      <c r="B1564" s="9">
        <v>1.5798611111110802E-2</v>
      </c>
      <c r="C1564" s="5">
        <v>175</v>
      </c>
    </row>
    <row r="1565" spans="1:3">
      <c r="A1565" s="68">
        <v>37301.646527777775</v>
      </c>
      <c r="B1565" s="42">
        <v>1.5972222222221898E-2</v>
      </c>
      <c r="C1565" s="5">
        <v>173</v>
      </c>
    </row>
    <row r="1566" spans="1:3">
      <c r="A1566" s="68">
        <v>37301.646527777775</v>
      </c>
      <c r="B1566" s="9">
        <v>1.6145833333332998E-2</v>
      </c>
      <c r="C1566" s="5">
        <v>173</v>
      </c>
    </row>
    <row r="1567" spans="1:3">
      <c r="A1567" s="68">
        <v>37301.646527777775</v>
      </c>
      <c r="B1567" s="42">
        <v>1.6319444444444099E-2</v>
      </c>
      <c r="C1567" s="5">
        <v>175</v>
      </c>
    </row>
    <row r="1568" spans="1:3">
      <c r="A1568" s="68">
        <v>37301.646527777775</v>
      </c>
      <c r="B1568" s="9">
        <v>1.6493055555555199E-2</v>
      </c>
      <c r="C1568" s="5">
        <v>176</v>
      </c>
    </row>
    <row r="1569" spans="1:3">
      <c r="A1569" s="68">
        <v>37301.646527777775</v>
      </c>
      <c r="B1569" s="42">
        <v>1.6666666666666299E-2</v>
      </c>
      <c r="C1569" s="5">
        <v>175</v>
      </c>
    </row>
    <row r="1570" spans="1:3">
      <c r="A1570" s="68">
        <v>37301.646527777775</v>
      </c>
      <c r="B1570" s="9">
        <v>1.6840277777777399E-2</v>
      </c>
      <c r="C1570" s="5">
        <v>175</v>
      </c>
    </row>
    <row r="1571" spans="1:3">
      <c r="A1571" s="68">
        <v>37301.646527777775</v>
      </c>
      <c r="B1571" s="42">
        <v>1.7013888888888499E-2</v>
      </c>
      <c r="C1571" s="5">
        <v>175</v>
      </c>
    </row>
    <row r="1572" spans="1:3">
      <c r="A1572" s="68">
        <v>37301.646527777775</v>
      </c>
      <c r="B1572" s="9">
        <v>1.7187499999999599E-2</v>
      </c>
      <c r="C1572" s="5">
        <v>176</v>
      </c>
    </row>
    <row r="1573" spans="1:3">
      <c r="A1573" s="68">
        <v>37301.646527777775</v>
      </c>
      <c r="B1573" s="42">
        <v>1.7361111111110699E-2</v>
      </c>
      <c r="C1573" s="5">
        <v>175</v>
      </c>
    </row>
    <row r="1574" spans="1:3">
      <c r="A1574" s="68">
        <v>37301.646527777775</v>
      </c>
      <c r="B1574" s="9">
        <v>1.7534722222221799E-2</v>
      </c>
      <c r="C1574" s="5">
        <v>176</v>
      </c>
    </row>
    <row r="1575" spans="1:3">
      <c r="A1575" s="68">
        <v>37301.646527777775</v>
      </c>
      <c r="B1575" s="42">
        <v>1.7708333333332899E-2</v>
      </c>
      <c r="C1575" s="5">
        <v>175</v>
      </c>
    </row>
    <row r="1576" spans="1:3">
      <c r="A1576" s="68">
        <v>37301.646527777775</v>
      </c>
      <c r="B1576" s="9">
        <v>1.7881944444443999E-2</v>
      </c>
      <c r="C1576" s="5">
        <v>175</v>
      </c>
    </row>
    <row r="1577" spans="1:3">
      <c r="A1577" s="68">
        <v>37301.646527777775</v>
      </c>
      <c r="B1577" s="42">
        <v>1.8055555555555099E-2</v>
      </c>
      <c r="C1577" s="5">
        <v>175</v>
      </c>
    </row>
    <row r="1578" spans="1:3">
      <c r="A1578" s="68">
        <v>37301.646527777775</v>
      </c>
      <c r="B1578" s="9">
        <v>1.8229166666666199E-2</v>
      </c>
      <c r="C1578" s="5">
        <v>176</v>
      </c>
    </row>
    <row r="1579" spans="1:3">
      <c r="A1579" s="68">
        <v>37301.646527777775</v>
      </c>
      <c r="B1579" s="42">
        <v>1.84027777777773E-2</v>
      </c>
      <c r="C1579" s="5">
        <v>177</v>
      </c>
    </row>
    <row r="1580" spans="1:3">
      <c r="A1580" s="68">
        <v>37301.646527777775</v>
      </c>
      <c r="B1580" s="9">
        <v>1.85763888888884E-2</v>
      </c>
      <c r="C1580" s="5">
        <v>177</v>
      </c>
    </row>
    <row r="1581" spans="1:3">
      <c r="A1581" s="68">
        <v>37301.646527777775</v>
      </c>
      <c r="B1581" s="42">
        <v>1.87499999999995E-2</v>
      </c>
      <c r="C1581" s="5">
        <v>176</v>
      </c>
    </row>
    <row r="1582" spans="1:3">
      <c r="A1582" s="68">
        <v>37301.646527777775</v>
      </c>
      <c r="B1582" s="9">
        <v>1.89236111111106E-2</v>
      </c>
      <c r="C1582" s="5">
        <v>175</v>
      </c>
    </row>
    <row r="1583" spans="1:3">
      <c r="A1583" s="68">
        <v>37301.646527777775</v>
      </c>
      <c r="B1583" s="42">
        <v>1.90972222222217E-2</v>
      </c>
      <c r="C1583" s="5">
        <v>176</v>
      </c>
    </row>
    <row r="1584" spans="1:3">
      <c r="A1584" s="68">
        <v>37301.646527777775</v>
      </c>
      <c r="B1584" s="9">
        <v>1.92708333333328E-2</v>
      </c>
      <c r="C1584" s="5">
        <v>175</v>
      </c>
    </row>
    <row r="1585" spans="1:3">
      <c r="A1585" s="68">
        <v>37301.646527777775</v>
      </c>
      <c r="B1585" s="42">
        <v>1.94444444444439E-2</v>
      </c>
      <c r="C1585" s="5">
        <v>176</v>
      </c>
    </row>
    <row r="1586" spans="1:3">
      <c r="A1586" s="68">
        <v>37301.646527777775</v>
      </c>
      <c r="B1586" s="9">
        <v>1.9618055555555E-2</v>
      </c>
      <c r="C1586" s="5">
        <v>177</v>
      </c>
    </row>
    <row r="1587" spans="1:3">
      <c r="A1587" s="68">
        <v>37301.646527777775</v>
      </c>
      <c r="B1587" s="42">
        <v>1.97916666666661E-2</v>
      </c>
      <c r="C1587" s="5">
        <v>178</v>
      </c>
    </row>
    <row r="1588" spans="1:3">
      <c r="A1588" s="68">
        <v>37301.646527777775</v>
      </c>
      <c r="B1588" s="9">
        <v>1.99652777777772E-2</v>
      </c>
      <c r="C1588" s="5">
        <v>177</v>
      </c>
    </row>
    <row r="1589" spans="1:3">
      <c r="A1589" s="68">
        <v>37301.646527777775</v>
      </c>
      <c r="B1589" s="42">
        <v>2.01388888888883E-2</v>
      </c>
      <c r="C1589" s="5">
        <v>177</v>
      </c>
    </row>
    <row r="1590" spans="1:3">
      <c r="A1590" s="68">
        <v>37301.646527777775</v>
      </c>
      <c r="B1590" s="9">
        <v>2.03124999999994E-2</v>
      </c>
      <c r="C1590" s="5">
        <v>177</v>
      </c>
    </row>
    <row r="1591" spans="1:3">
      <c r="A1591" s="68">
        <v>37301.646527777775</v>
      </c>
      <c r="B1591" s="42">
        <v>2.0486111111110501E-2</v>
      </c>
      <c r="C1591" s="5">
        <v>178</v>
      </c>
    </row>
    <row r="1592" spans="1:3">
      <c r="A1592" s="68">
        <v>37301.646527777775</v>
      </c>
      <c r="B1592" s="9">
        <v>2.0659722222221601E-2</v>
      </c>
      <c r="C1592" s="5">
        <v>176</v>
      </c>
    </row>
    <row r="1593" spans="1:3">
      <c r="A1593" s="68">
        <v>37301.646527777775</v>
      </c>
      <c r="B1593" s="42">
        <v>2.0833333333332701E-2</v>
      </c>
      <c r="C1593" s="5">
        <v>177</v>
      </c>
    </row>
    <row r="1594" spans="1:3">
      <c r="A1594" s="68">
        <v>37301.646527777775</v>
      </c>
      <c r="B1594" s="9">
        <v>2.1006944444443801E-2</v>
      </c>
      <c r="C1594" s="5">
        <v>178</v>
      </c>
    </row>
    <row r="1595" spans="1:3">
      <c r="A1595" s="68">
        <v>37301.646527777775</v>
      </c>
      <c r="B1595" s="42">
        <v>2.1180555555554901E-2</v>
      </c>
      <c r="C1595" s="5">
        <v>176</v>
      </c>
    </row>
    <row r="1596" spans="1:3">
      <c r="A1596" s="68">
        <v>37301.646527777775</v>
      </c>
      <c r="B1596" s="9">
        <v>2.1354166666666001E-2</v>
      </c>
      <c r="C1596" s="5">
        <v>177</v>
      </c>
    </row>
    <row r="1597" spans="1:3">
      <c r="A1597" s="68">
        <v>37301.646527777775</v>
      </c>
      <c r="B1597" s="42">
        <v>2.1527777777777101E-2</v>
      </c>
      <c r="C1597" s="5">
        <v>177</v>
      </c>
    </row>
    <row r="1598" spans="1:3">
      <c r="A1598" s="68">
        <v>37301.646527777775</v>
      </c>
      <c r="B1598" s="9">
        <v>2.1701388888888201E-2</v>
      </c>
      <c r="C1598" s="5">
        <v>178</v>
      </c>
    </row>
    <row r="1599" spans="1:3">
      <c r="A1599" s="68">
        <v>37301.646527777775</v>
      </c>
      <c r="B1599" s="42">
        <v>2.1874999999999301E-2</v>
      </c>
      <c r="C1599" s="5">
        <v>176</v>
      </c>
    </row>
    <row r="1600" spans="1:3">
      <c r="A1600" s="68">
        <v>37301.646527777775</v>
      </c>
      <c r="B1600" s="9">
        <v>2.2048611111110401E-2</v>
      </c>
      <c r="C1600" s="5">
        <v>177</v>
      </c>
    </row>
    <row r="1601" spans="1:3">
      <c r="A1601" s="68">
        <v>37301.646527777775</v>
      </c>
      <c r="B1601" s="42">
        <v>2.2222222222221501E-2</v>
      </c>
      <c r="C1601" s="5">
        <v>177</v>
      </c>
    </row>
    <row r="1602" spans="1:3">
      <c r="A1602" s="68">
        <v>37301.646527777775</v>
      </c>
      <c r="B1602" s="9">
        <v>2.2395833333332602E-2</v>
      </c>
      <c r="C1602" s="5">
        <v>176</v>
      </c>
    </row>
    <row r="1603" spans="1:3">
      <c r="A1603" s="68">
        <v>37301.646527777775</v>
      </c>
      <c r="B1603" s="42">
        <v>2.2569444444443702E-2</v>
      </c>
      <c r="C1603" s="5">
        <v>176</v>
      </c>
    </row>
    <row r="1604" spans="1:3">
      <c r="A1604" s="68">
        <v>37301.646527777775</v>
      </c>
      <c r="B1604" s="9">
        <v>2.2743055555554802E-2</v>
      </c>
      <c r="C1604" s="5">
        <v>176</v>
      </c>
    </row>
    <row r="1605" spans="1:3">
      <c r="A1605" s="68">
        <v>37301.646527777775</v>
      </c>
      <c r="B1605" s="42">
        <v>2.2916666666665898E-2</v>
      </c>
      <c r="C1605" s="5">
        <v>177</v>
      </c>
    </row>
    <row r="1606" spans="1:3">
      <c r="A1606" s="68">
        <v>37301.646527777775</v>
      </c>
      <c r="B1606" s="9">
        <v>2.3090277777776998E-2</v>
      </c>
      <c r="C1606" s="5">
        <v>173</v>
      </c>
    </row>
    <row r="1607" spans="1:3">
      <c r="A1607" s="68">
        <v>37301.646527777775</v>
      </c>
      <c r="B1607" s="42">
        <v>2.3263888888888098E-2</v>
      </c>
      <c r="C1607" s="5">
        <v>175</v>
      </c>
    </row>
    <row r="1608" spans="1:3">
      <c r="A1608" s="68">
        <v>37301.646527777775</v>
      </c>
      <c r="B1608" s="9">
        <v>2.3437499999999199E-2</v>
      </c>
      <c r="C1608" s="5">
        <v>176</v>
      </c>
    </row>
    <row r="1609" spans="1:3">
      <c r="A1609" s="68">
        <v>37301.646527777775</v>
      </c>
      <c r="B1609" s="42">
        <v>2.3611111111110299E-2</v>
      </c>
      <c r="C1609" s="5">
        <v>175</v>
      </c>
    </row>
    <row r="1610" spans="1:3">
      <c r="A1610" s="68">
        <v>37301.646527777775</v>
      </c>
      <c r="B1610" s="9">
        <v>2.3784722222221399E-2</v>
      </c>
      <c r="C1610" s="5">
        <v>176</v>
      </c>
    </row>
    <row r="1611" spans="1:3">
      <c r="A1611" s="68">
        <v>37301.646527777775</v>
      </c>
      <c r="B1611" s="42">
        <v>2.3958333333332499E-2</v>
      </c>
      <c r="C1611" s="5">
        <v>176</v>
      </c>
    </row>
    <row r="1612" spans="1:3">
      <c r="A1612" s="68">
        <v>37301.646527777775</v>
      </c>
      <c r="B1612" s="9">
        <v>2.4131944444443599E-2</v>
      </c>
      <c r="C1612" s="5">
        <v>177</v>
      </c>
    </row>
    <row r="1613" spans="1:3">
      <c r="A1613" s="68">
        <v>37301.646527777775</v>
      </c>
      <c r="B1613" s="42">
        <v>2.4305555555554699E-2</v>
      </c>
      <c r="C1613" s="5">
        <v>177</v>
      </c>
    </row>
    <row r="1614" spans="1:3">
      <c r="A1614" s="68">
        <v>37301.646527777775</v>
      </c>
      <c r="B1614" s="9">
        <v>2.4479166666665799E-2</v>
      </c>
      <c r="C1614" s="5">
        <v>178</v>
      </c>
    </row>
    <row r="1615" spans="1:3">
      <c r="A1615" s="68">
        <v>37301.646527777775</v>
      </c>
      <c r="B1615" s="42">
        <v>2.4652777777776899E-2</v>
      </c>
      <c r="C1615" s="5">
        <v>177</v>
      </c>
    </row>
    <row r="1616" spans="1:3">
      <c r="A1616" s="68">
        <v>37301.646527777775</v>
      </c>
      <c r="B1616" s="9">
        <v>2.4826388888887999E-2</v>
      </c>
      <c r="C1616" s="5">
        <v>178</v>
      </c>
    </row>
    <row r="1617" spans="1:3">
      <c r="A1617" s="68">
        <v>37301.646527777775</v>
      </c>
      <c r="B1617" s="42">
        <v>2.4999999999999099E-2</v>
      </c>
      <c r="C1617" s="5">
        <v>179</v>
      </c>
    </row>
    <row r="1618" spans="1:3">
      <c r="A1618" s="68">
        <v>37301.646527777775</v>
      </c>
      <c r="B1618" s="9">
        <v>2.5173611111110199E-2</v>
      </c>
      <c r="C1618" s="5">
        <v>177</v>
      </c>
    </row>
    <row r="1619" spans="1:3">
      <c r="A1619" s="68">
        <v>37301.646527777775</v>
      </c>
      <c r="B1619" s="42">
        <v>2.53472222222213E-2</v>
      </c>
      <c r="C1619" s="5">
        <v>178</v>
      </c>
    </row>
    <row r="1620" spans="1:3">
      <c r="A1620" s="68">
        <v>37301.646527777775</v>
      </c>
      <c r="B1620" s="9">
        <v>2.55208333333324E-2</v>
      </c>
      <c r="C1620" s="5">
        <v>179</v>
      </c>
    </row>
    <row r="1621" spans="1:3">
      <c r="A1621" s="68">
        <v>37301.646527777775</v>
      </c>
      <c r="B1621" s="42">
        <v>2.56944444444435E-2</v>
      </c>
      <c r="C1621" s="5">
        <v>179</v>
      </c>
    </row>
    <row r="1622" spans="1:3">
      <c r="A1622" s="68">
        <v>37301.646527777775</v>
      </c>
      <c r="B1622" s="9">
        <v>2.58680555555546E-2</v>
      </c>
      <c r="C1622" s="5">
        <v>180</v>
      </c>
    </row>
    <row r="1623" spans="1:3">
      <c r="A1623" s="68">
        <v>37301.646527777775</v>
      </c>
      <c r="B1623" s="42">
        <v>2.60416666666657E-2</v>
      </c>
      <c r="C1623" s="5">
        <v>180</v>
      </c>
    </row>
    <row r="1624" spans="1:3">
      <c r="A1624" s="68">
        <v>37301.646527777775</v>
      </c>
      <c r="B1624" s="9">
        <v>2.62152777777768E-2</v>
      </c>
      <c r="C1624" s="5">
        <v>179</v>
      </c>
    </row>
    <row r="1625" spans="1:3">
      <c r="A1625" s="68">
        <v>37301.646527777775</v>
      </c>
      <c r="B1625" s="42">
        <v>2.63888888888879E-2</v>
      </c>
      <c r="C1625" s="5">
        <v>179</v>
      </c>
    </row>
    <row r="1626" spans="1:3">
      <c r="A1626" s="68">
        <v>37301.646527777775</v>
      </c>
      <c r="B1626" s="9">
        <v>2.6562499999999E-2</v>
      </c>
      <c r="C1626" s="5">
        <v>181</v>
      </c>
    </row>
    <row r="1627" spans="1:3">
      <c r="A1627" s="68">
        <v>37301.646527777775</v>
      </c>
      <c r="B1627" s="42">
        <v>2.67361111111101E-2</v>
      </c>
      <c r="C1627" s="5">
        <v>181</v>
      </c>
    </row>
    <row r="1628" spans="1:3">
      <c r="A1628" s="68">
        <v>37301.646527777775</v>
      </c>
      <c r="B1628" s="9">
        <v>2.69097222222212E-2</v>
      </c>
      <c r="C1628" s="5">
        <v>182</v>
      </c>
    </row>
    <row r="1629" spans="1:3">
      <c r="A1629" s="68">
        <v>37301.646527777775</v>
      </c>
      <c r="B1629" s="42">
        <v>2.70833333333323E-2</v>
      </c>
      <c r="C1629" s="5">
        <v>181</v>
      </c>
    </row>
    <row r="1630" spans="1:3">
      <c r="A1630" s="68">
        <v>37301.646527777775</v>
      </c>
      <c r="B1630" s="9">
        <v>2.72569444444434E-2</v>
      </c>
      <c r="C1630" s="5">
        <v>181</v>
      </c>
    </row>
    <row r="1631" spans="1:3">
      <c r="A1631" s="68">
        <v>37301.646527777775</v>
      </c>
      <c r="B1631" s="42">
        <v>2.7430555555554501E-2</v>
      </c>
      <c r="C1631" s="5">
        <v>180</v>
      </c>
    </row>
    <row r="1632" spans="1:3">
      <c r="A1632" s="68">
        <v>37301.646527777775</v>
      </c>
      <c r="B1632" s="9">
        <v>2.7604166666665601E-2</v>
      </c>
      <c r="C1632" s="5">
        <v>182</v>
      </c>
    </row>
    <row r="1633" spans="1:3">
      <c r="A1633" s="68">
        <v>37301.646527777775</v>
      </c>
      <c r="B1633" s="42">
        <v>2.7777777777776701E-2</v>
      </c>
      <c r="C1633" s="5">
        <v>183</v>
      </c>
    </row>
    <row r="1634" spans="1:3">
      <c r="A1634" s="68">
        <v>37301.646527777775</v>
      </c>
      <c r="B1634" s="9">
        <v>2.7951388888887801E-2</v>
      </c>
      <c r="C1634" s="5">
        <v>183</v>
      </c>
    </row>
    <row r="1635" spans="1:3">
      <c r="A1635" s="68">
        <v>37301.646527777775</v>
      </c>
      <c r="B1635" s="42">
        <v>2.8124999999998901E-2</v>
      </c>
      <c r="C1635" s="5">
        <v>183</v>
      </c>
    </row>
    <row r="1636" spans="1:3">
      <c r="A1636" s="68">
        <v>37301.646527777775</v>
      </c>
      <c r="B1636" s="9">
        <v>2.8298611111110001E-2</v>
      </c>
      <c r="C1636" s="5">
        <v>183</v>
      </c>
    </row>
    <row r="1637" spans="1:3">
      <c r="A1637" s="68">
        <v>37301.646527777775</v>
      </c>
      <c r="B1637" s="42">
        <v>2.8472222222221101E-2</v>
      </c>
      <c r="C1637" s="5">
        <v>183</v>
      </c>
    </row>
    <row r="1638" spans="1:3">
      <c r="A1638" s="68">
        <v>37301.646527777775</v>
      </c>
      <c r="B1638" s="9">
        <v>2.8645833333332201E-2</v>
      </c>
      <c r="C1638" s="5">
        <v>183</v>
      </c>
    </row>
    <row r="1639" spans="1:3">
      <c r="A1639" s="68">
        <v>37301.646527777775</v>
      </c>
      <c r="B1639" s="42">
        <v>2.8819444444443301E-2</v>
      </c>
      <c r="C1639" s="5">
        <v>182</v>
      </c>
    </row>
    <row r="1640" spans="1:3">
      <c r="A1640" s="68">
        <v>37301.646527777775</v>
      </c>
      <c r="B1640" s="9">
        <v>2.8993055555554401E-2</v>
      </c>
      <c r="C1640" s="5">
        <v>182</v>
      </c>
    </row>
    <row r="1641" spans="1:3">
      <c r="A1641" s="68">
        <v>37301.646527777775</v>
      </c>
      <c r="B1641" s="42">
        <v>2.9166666666665501E-2</v>
      </c>
      <c r="C1641" s="5">
        <v>184</v>
      </c>
    </row>
    <row r="1642" spans="1:3">
      <c r="A1642" s="68">
        <v>37301.646527777775</v>
      </c>
      <c r="B1642" s="9">
        <v>2.9340277777776601E-2</v>
      </c>
      <c r="C1642" s="5">
        <v>184</v>
      </c>
    </row>
    <row r="1643" spans="1:3">
      <c r="A1643" s="68">
        <v>37301.646527777775</v>
      </c>
      <c r="B1643" s="42">
        <v>2.9513888888887702E-2</v>
      </c>
      <c r="C1643" s="5">
        <v>185</v>
      </c>
    </row>
    <row r="1644" spans="1:3">
      <c r="A1644" s="68">
        <v>37301.646527777775</v>
      </c>
      <c r="B1644" s="9">
        <v>2.9687499999998802E-2</v>
      </c>
      <c r="C1644" s="5">
        <v>186</v>
      </c>
    </row>
    <row r="1645" spans="1:3">
      <c r="A1645" s="68">
        <v>37301.646527777775</v>
      </c>
      <c r="B1645" s="42">
        <v>2.9861111111109898E-2</v>
      </c>
      <c r="C1645" s="5">
        <v>186</v>
      </c>
    </row>
    <row r="1646" spans="1:3">
      <c r="A1646" s="68">
        <v>37301.646527777775</v>
      </c>
      <c r="B1646" s="9">
        <v>3.0034722222220998E-2</v>
      </c>
      <c r="C1646" s="5">
        <v>187</v>
      </c>
    </row>
    <row r="1647" spans="1:3">
      <c r="A1647" s="68">
        <v>37301.646527777775</v>
      </c>
      <c r="B1647" s="42">
        <v>3.0208333333332098E-2</v>
      </c>
      <c r="C1647" s="5">
        <v>188</v>
      </c>
    </row>
    <row r="1648" spans="1:3">
      <c r="A1648" s="68">
        <v>37301.646527777775</v>
      </c>
      <c r="B1648" s="9">
        <v>3.0381944444443199E-2</v>
      </c>
      <c r="C1648" s="5">
        <v>189</v>
      </c>
    </row>
    <row r="1649" spans="1:3">
      <c r="A1649" s="68">
        <v>37317.566666666666</v>
      </c>
      <c r="B1649" s="6">
        <v>0</v>
      </c>
      <c r="C1649" s="5">
        <v>101</v>
      </c>
    </row>
    <row r="1650" spans="1:3">
      <c r="A1650" s="68">
        <v>37317.566666666666</v>
      </c>
      <c r="B1650" s="6">
        <v>5.7870370370370366E-5</v>
      </c>
      <c r="C1650" s="5">
        <v>101</v>
      </c>
    </row>
    <row r="1651" spans="1:3">
      <c r="A1651" s="68">
        <v>37317.566666666666</v>
      </c>
      <c r="B1651" s="6">
        <v>1.15740740740741E-4</v>
      </c>
      <c r="C1651" s="5">
        <v>113</v>
      </c>
    </row>
    <row r="1652" spans="1:3">
      <c r="A1652" s="68">
        <v>37317.566666666666</v>
      </c>
      <c r="B1652" s="6">
        <v>1.7361111111111101E-4</v>
      </c>
      <c r="C1652" s="5">
        <v>126</v>
      </c>
    </row>
    <row r="1653" spans="1:3">
      <c r="A1653" s="68">
        <v>37317.566666666666</v>
      </c>
      <c r="B1653" s="6">
        <v>2.31481481481481E-4</v>
      </c>
      <c r="C1653" s="5">
        <v>132</v>
      </c>
    </row>
    <row r="1654" spans="1:3">
      <c r="A1654" s="68">
        <v>37317.566666666666</v>
      </c>
      <c r="B1654" s="6">
        <v>2.89351851851852E-4</v>
      </c>
      <c r="C1654" s="5">
        <v>137</v>
      </c>
    </row>
    <row r="1655" spans="1:3">
      <c r="A1655" s="68">
        <v>37317.566666666666</v>
      </c>
      <c r="B1655" s="6">
        <v>3.4722222222222202E-4</v>
      </c>
      <c r="C1655" s="5">
        <v>142</v>
      </c>
    </row>
    <row r="1656" spans="1:3">
      <c r="A1656" s="68">
        <v>37317.566666666666</v>
      </c>
      <c r="B1656" s="6">
        <v>4.0509259259259301E-4</v>
      </c>
      <c r="C1656" s="5">
        <v>142</v>
      </c>
    </row>
    <row r="1657" spans="1:3">
      <c r="A1657" s="68">
        <v>37317.566666666666</v>
      </c>
      <c r="B1657" s="6">
        <v>4.6296296296296298E-4</v>
      </c>
      <c r="C1657" s="5">
        <v>142</v>
      </c>
    </row>
    <row r="1658" spans="1:3">
      <c r="A1658" s="68">
        <v>37317.566666666666</v>
      </c>
      <c r="B1658" s="6">
        <v>5.20833333333333E-4</v>
      </c>
      <c r="C1658" s="5">
        <v>151</v>
      </c>
    </row>
    <row r="1659" spans="1:3">
      <c r="A1659" s="68">
        <v>37317.566666666666</v>
      </c>
      <c r="B1659" s="6">
        <v>5.78703703703704E-4</v>
      </c>
      <c r="C1659" s="5">
        <v>151</v>
      </c>
    </row>
    <row r="1660" spans="1:3">
      <c r="A1660" s="68">
        <v>37317.566666666666</v>
      </c>
      <c r="B1660" s="6">
        <v>6.3657407407407402E-4</v>
      </c>
      <c r="C1660" s="5">
        <v>152</v>
      </c>
    </row>
    <row r="1661" spans="1:3">
      <c r="A1661" s="68">
        <v>37317.566666666666</v>
      </c>
      <c r="B1661" s="6">
        <v>6.9444444444444404E-4</v>
      </c>
      <c r="C1661" s="5">
        <v>153</v>
      </c>
    </row>
    <row r="1662" spans="1:3">
      <c r="A1662" s="68">
        <v>37317.566666666666</v>
      </c>
      <c r="B1662" s="6">
        <v>7.5231481481481503E-4</v>
      </c>
      <c r="C1662" s="5">
        <v>155</v>
      </c>
    </row>
    <row r="1663" spans="1:3">
      <c r="A1663" s="68">
        <v>37317.566666666666</v>
      </c>
      <c r="B1663" s="6">
        <v>8.1018518518518505E-4</v>
      </c>
      <c r="C1663" s="5">
        <v>156</v>
      </c>
    </row>
    <row r="1664" spans="1:3">
      <c r="A1664" s="68">
        <v>37317.566666666666</v>
      </c>
      <c r="B1664" s="6">
        <v>8.6805555555555605E-4</v>
      </c>
      <c r="C1664" s="5">
        <v>158</v>
      </c>
    </row>
    <row r="1665" spans="1:3">
      <c r="A1665" s="68">
        <v>37317.566666666666</v>
      </c>
      <c r="B1665" s="6">
        <v>9.2592592592592596E-4</v>
      </c>
      <c r="C1665" s="5">
        <v>159</v>
      </c>
    </row>
    <row r="1666" spans="1:3">
      <c r="A1666" s="68">
        <v>37317.566666666666</v>
      </c>
      <c r="B1666" s="6">
        <v>9.8379629629629598E-4</v>
      </c>
      <c r="C1666" s="5">
        <v>160</v>
      </c>
    </row>
    <row r="1667" spans="1:3">
      <c r="A1667" s="68">
        <v>37317.566666666666</v>
      </c>
      <c r="B1667" s="6">
        <v>1.0416666666666699E-3</v>
      </c>
      <c r="C1667" s="5">
        <v>161</v>
      </c>
    </row>
    <row r="1668" spans="1:3">
      <c r="A1668" s="68">
        <v>37317.566666666666</v>
      </c>
      <c r="B1668" s="6">
        <v>1.0995370370370399E-3</v>
      </c>
      <c r="C1668" s="5">
        <v>161</v>
      </c>
    </row>
    <row r="1669" spans="1:3">
      <c r="A1669" s="68">
        <v>37317.566666666666</v>
      </c>
      <c r="B1669" s="6">
        <v>1.1574074074074099E-3</v>
      </c>
      <c r="C1669" s="5">
        <v>158</v>
      </c>
    </row>
    <row r="1670" spans="1:3">
      <c r="A1670" s="68">
        <v>37317.566666666666</v>
      </c>
      <c r="B1670" s="6">
        <v>1.21527777777778E-3</v>
      </c>
      <c r="C1670" s="5">
        <v>159</v>
      </c>
    </row>
    <row r="1671" spans="1:3">
      <c r="A1671" s="68">
        <v>37317.566666666666</v>
      </c>
      <c r="B1671" s="6">
        <v>1.27314814814815E-3</v>
      </c>
      <c r="C1671" s="5">
        <v>159</v>
      </c>
    </row>
    <row r="1672" spans="1:3">
      <c r="A1672" s="68">
        <v>37317.566666666666</v>
      </c>
      <c r="B1672" s="6">
        <v>1.33101851851852E-3</v>
      </c>
      <c r="C1672" s="5">
        <v>156</v>
      </c>
    </row>
    <row r="1673" spans="1:3">
      <c r="A1673" s="68">
        <v>37317.566666666666</v>
      </c>
      <c r="B1673" s="6">
        <v>1.38888888888889E-3</v>
      </c>
      <c r="C1673" s="5">
        <v>149</v>
      </c>
    </row>
    <row r="1674" spans="1:3">
      <c r="A1674" s="68">
        <v>37317.566666666666</v>
      </c>
      <c r="B1674" s="6">
        <v>1.44675925925926E-3</v>
      </c>
      <c r="C1674" s="5">
        <v>148</v>
      </c>
    </row>
    <row r="1675" spans="1:3">
      <c r="A1675" s="68">
        <v>37317.566666666666</v>
      </c>
      <c r="B1675" s="6">
        <v>1.5046296296296301E-3</v>
      </c>
      <c r="C1675" s="5">
        <v>148</v>
      </c>
    </row>
    <row r="1676" spans="1:3">
      <c r="A1676" s="68">
        <v>37317.566666666666</v>
      </c>
      <c r="B1676" s="6">
        <v>1.5625000000000001E-3</v>
      </c>
      <c r="C1676" s="5">
        <v>148</v>
      </c>
    </row>
    <row r="1677" spans="1:3">
      <c r="A1677" s="68">
        <v>37317.566666666666</v>
      </c>
      <c r="B1677" s="6">
        <v>1.6203703703703701E-3</v>
      </c>
      <c r="C1677" s="5">
        <v>152</v>
      </c>
    </row>
    <row r="1678" spans="1:3">
      <c r="A1678" s="68">
        <v>37317.566666666666</v>
      </c>
      <c r="B1678" s="6">
        <v>1.6782407407407399E-3</v>
      </c>
      <c r="C1678" s="5">
        <v>152</v>
      </c>
    </row>
    <row r="1679" spans="1:3">
      <c r="A1679" s="68">
        <v>37317.566666666666</v>
      </c>
      <c r="B1679" s="6">
        <v>1.7361111111111099E-3</v>
      </c>
      <c r="C1679" s="5">
        <v>156</v>
      </c>
    </row>
    <row r="1680" spans="1:3">
      <c r="A1680" s="68">
        <v>37317.566666666666</v>
      </c>
      <c r="B1680" s="6">
        <v>1.79398148148148E-3</v>
      </c>
      <c r="C1680" s="5">
        <v>159</v>
      </c>
    </row>
    <row r="1681" spans="1:3">
      <c r="A1681" s="68">
        <v>37317.566666666666</v>
      </c>
      <c r="B1681" s="6">
        <v>1.85185185185185E-3</v>
      </c>
      <c r="C1681" s="5">
        <v>159</v>
      </c>
    </row>
    <row r="1682" spans="1:3">
      <c r="A1682" s="68">
        <v>37317.566666666666</v>
      </c>
      <c r="B1682" s="6">
        <v>1.90972222222222E-3</v>
      </c>
      <c r="C1682" s="5">
        <v>159</v>
      </c>
    </row>
    <row r="1683" spans="1:3">
      <c r="A1683" s="68">
        <v>37317.566666666666</v>
      </c>
      <c r="B1683" s="6">
        <v>1.9675925925925898E-3</v>
      </c>
      <c r="C1683" s="5">
        <v>159</v>
      </c>
    </row>
    <row r="1684" spans="1:3">
      <c r="A1684" s="68">
        <v>37317.566666666666</v>
      </c>
      <c r="B1684" s="6">
        <v>2.0254629629629598E-3</v>
      </c>
      <c r="C1684" s="5">
        <v>160</v>
      </c>
    </row>
    <row r="1685" spans="1:3">
      <c r="A1685" s="68">
        <v>37317.566666666666</v>
      </c>
      <c r="B1685" s="6">
        <v>2.0833333333333298E-3</v>
      </c>
      <c r="C1685" s="5">
        <v>161</v>
      </c>
    </row>
    <row r="1686" spans="1:3">
      <c r="A1686" s="68">
        <v>37317.566666666666</v>
      </c>
      <c r="B1686" s="6">
        <v>2.1412037037036999E-3</v>
      </c>
      <c r="C1686" s="5">
        <v>161</v>
      </c>
    </row>
    <row r="1687" spans="1:3">
      <c r="A1687" s="68">
        <v>37317.566666666666</v>
      </c>
      <c r="B1687" s="6">
        <v>2.1990740740740699E-3</v>
      </c>
      <c r="C1687" s="5">
        <v>162</v>
      </c>
    </row>
    <row r="1688" spans="1:3">
      <c r="A1688" s="68">
        <v>37317.566666666666</v>
      </c>
      <c r="B1688" s="6">
        <v>2.2569444444444399E-3</v>
      </c>
      <c r="C1688" s="5">
        <v>162</v>
      </c>
    </row>
    <row r="1689" spans="1:3">
      <c r="A1689" s="68">
        <v>37317.566666666666</v>
      </c>
      <c r="B1689" s="6">
        <v>2.3148148148148099E-3</v>
      </c>
      <c r="C1689" s="5">
        <v>163</v>
      </c>
    </row>
    <row r="1690" spans="1:3">
      <c r="A1690" s="68">
        <v>37317.566666666666</v>
      </c>
      <c r="B1690" s="6">
        <v>2.3726851851851899E-3</v>
      </c>
      <c r="C1690" s="5">
        <v>163</v>
      </c>
    </row>
    <row r="1691" spans="1:3">
      <c r="A1691" s="68">
        <v>37317.566666666666</v>
      </c>
      <c r="B1691" s="6">
        <v>2.4305555555555599E-3</v>
      </c>
      <c r="C1691" s="5">
        <v>163</v>
      </c>
    </row>
    <row r="1692" spans="1:3">
      <c r="A1692" s="68">
        <v>37317.566666666666</v>
      </c>
      <c r="B1692" s="6">
        <v>2.48842592592593E-3</v>
      </c>
      <c r="C1692" s="5">
        <v>163</v>
      </c>
    </row>
    <row r="1693" spans="1:3">
      <c r="A1693" s="68">
        <v>37317.566666666666</v>
      </c>
      <c r="B1693" s="6">
        <v>2.5462962962963E-3</v>
      </c>
      <c r="C1693" s="5">
        <v>163</v>
      </c>
    </row>
    <row r="1694" spans="1:3">
      <c r="A1694" s="68">
        <v>37317.566666666666</v>
      </c>
      <c r="B1694" s="6">
        <v>2.60416666666667E-3</v>
      </c>
      <c r="C1694" s="5">
        <v>163</v>
      </c>
    </row>
    <row r="1695" spans="1:3">
      <c r="A1695" s="68">
        <v>37317.566666666666</v>
      </c>
      <c r="B1695" s="6">
        <v>2.66203703703704E-3</v>
      </c>
      <c r="C1695" s="5">
        <v>163</v>
      </c>
    </row>
    <row r="1696" spans="1:3">
      <c r="A1696" s="68">
        <v>37317.566666666666</v>
      </c>
      <c r="B1696" s="6">
        <v>2.71990740740741E-3</v>
      </c>
      <c r="C1696" s="5">
        <v>163</v>
      </c>
    </row>
    <row r="1697" spans="1:3">
      <c r="A1697" s="68">
        <v>37317.566666666666</v>
      </c>
      <c r="B1697" s="6">
        <v>2.7777777777777801E-3</v>
      </c>
      <c r="C1697" s="5">
        <v>163</v>
      </c>
    </row>
    <row r="1698" spans="1:3">
      <c r="A1698" s="68">
        <v>37317.566666666666</v>
      </c>
      <c r="B1698" s="6">
        <v>2.8356481481481501E-3</v>
      </c>
      <c r="C1698" s="5">
        <v>158</v>
      </c>
    </row>
    <row r="1699" spans="1:3">
      <c r="A1699" s="68">
        <v>37317.566666666666</v>
      </c>
      <c r="B1699" s="6">
        <v>2.8935185185185201E-3</v>
      </c>
      <c r="C1699" s="5">
        <v>154</v>
      </c>
    </row>
    <row r="1700" spans="1:3">
      <c r="A1700" s="68">
        <v>37317.566666666666</v>
      </c>
      <c r="B1700" s="6">
        <v>2.9513888888888901E-3</v>
      </c>
      <c r="C1700" s="5">
        <v>154</v>
      </c>
    </row>
    <row r="1701" spans="1:3">
      <c r="A1701" s="68">
        <v>37317.566666666666</v>
      </c>
      <c r="B1701" s="6">
        <v>3.0092592592592601E-3</v>
      </c>
      <c r="C1701" s="5">
        <v>152</v>
      </c>
    </row>
    <row r="1702" spans="1:3">
      <c r="A1702" s="68">
        <v>37317.566666666666</v>
      </c>
      <c r="B1702" s="6">
        <v>3.0671296296296302E-3</v>
      </c>
      <c r="C1702" s="5">
        <v>153</v>
      </c>
    </row>
    <row r="1703" spans="1:3">
      <c r="A1703" s="68">
        <v>37317.566666666666</v>
      </c>
      <c r="B1703" s="6">
        <v>3.1250000000000002E-3</v>
      </c>
      <c r="C1703" s="5">
        <v>153</v>
      </c>
    </row>
    <row r="1704" spans="1:3">
      <c r="A1704" s="68">
        <v>37317.566666666666</v>
      </c>
      <c r="B1704" s="6">
        <v>3.1828703703703702E-3</v>
      </c>
      <c r="C1704" s="5">
        <v>153</v>
      </c>
    </row>
    <row r="1705" spans="1:3">
      <c r="A1705" s="68">
        <v>37317.566666666666</v>
      </c>
      <c r="B1705" s="6">
        <v>3.2407407407407402E-3</v>
      </c>
      <c r="C1705" s="5">
        <v>155</v>
      </c>
    </row>
    <row r="1706" spans="1:3">
      <c r="A1706" s="68">
        <v>37317.566666666666</v>
      </c>
      <c r="B1706" s="6">
        <v>3.2986111111111098E-3</v>
      </c>
      <c r="C1706" s="5">
        <v>152</v>
      </c>
    </row>
    <row r="1707" spans="1:3">
      <c r="A1707" s="68">
        <v>37317.566666666666</v>
      </c>
      <c r="B1707" s="6">
        <v>3.3564814814814798E-3</v>
      </c>
      <c r="C1707" s="5">
        <v>155</v>
      </c>
    </row>
    <row r="1708" spans="1:3">
      <c r="A1708" s="68">
        <v>37317.566666666666</v>
      </c>
      <c r="B1708" s="6">
        <v>3.4143518518518498E-3</v>
      </c>
      <c r="C1708" s="5">
        <v>156</v>
      </c>
    </row>
    <row r="1709" spans="1:3">
      <c r="A1709" s="68">
        <v>37317.566666666666</v>
      </c>
      <c r="B1709" s="6">
        <v>3.4722222222222199E-3</v>
      </c>
      <c r="C1709" s="5">
        <v>156</v>
      </c>
    </row>
    <row r="1710" spans="1:3">
      <c r="A1710" s="68">
        <v>37317.566666666666</v>
      </c>
      <c r="B1710" s="6">
        <v>3.5300925925925899E-3</v>
      </c>
      <c r="C1710" s="5">
        <v>156</v>
      </c>
    </row>
    <row r="1711" spans="1:3">
      <c r="A1711" s="68">
        <v>37317.566666666666</v>
      </c>
      <c r="B1711" s="6">
        <v>3.5879629629629599E-3</v>
      </c>
      <c r="C1711" s="5">
        <v>160</v>
      </c>
    </row>
    <row r="1712" spans="1:3">
      <c r="A1712" s="68">
        <v>37317.566666666666</v>
      </c>
      <c r="B1712" s="6">
        <v>3.6458333333333299E-3</v>
      </c>
      <c r="C1712" s="5">
        <v>160</v>
      </c>
    </row>
    <row r="1713" spans="1:3">
      <c r="A1713" s="68">
        <v>37317.566666666666</v>
      </c>
      <c r="B1713" s="6">
        <v>3.7037037037036999E-3</v>
      </c>
      <c r="C1713" s="5">
        <v>160</v>
      </c>
    </row>
    <row r="1714" spans="1:3">
      <c r="A1714" s="68">
        <v>37317.566666666666</v>
      </c>
      <c r="B1714" s="6">
        <v>3.76157407407407E-3</v>
      </c>
      <c r="C1714" s="5">
        <v>162</v>
      </c>
    </row>
    <row r="1715" spans="1:3">
      <c r="A1715" s="68">
        <v>37317.566666666666</v>
      </c>
      <c r="B1715" s="6">
        <v>3.81944444444444E-3</v>
      </c>
      <c r="C1715" s="5">
        <v>164</v>
      </c>
    </row>
    <row r="1716" spans="1:3">
      <c r="A1716" s="68">
        <v>37317.566666666666</v>
      </c>
      <c r="B1716" s="6">
        <v>3.87731481481481E-3</v>
      </c>
      <c r="C1716" s="5">
        <v>165</v>
      </c>
    </row>
    <row r="1717" spans="1:3">
      <c r="A1717" s="68">
        <v>37317.566666666666</v>
      </c>
      <c r="B1717" s="6">
        <v>3.9351851851851796E-3</v>
      </c>
      <c r="C1717" s="5">
        <v>166</v>
      </c>
    </row>
    <row r="1718" spans="1:3">
      <c r="A1718" s="68">
        <v>37317.566666666666</v>
      </c>
      <c r="B1718" s="6">
        <v>3.9930555555555596E-3</v>
      </c>
      <c r="C1718" s="5">
        <v>167</v>
      </c>
    </row>
    <row r="1719" spans="1:3">
      <c r="A1719" s="68">
        <v>37317.566666666666</v>
      </c>
      <c r="B1719" s="6">
        <v>4.05092592592593E-3</v>
      </c>
      <c r="C1719" s="5">
        <v>167</v>
      </c>
    </row>
    <row r="1720" spans="1:3">
      <c r="A1720" s="68">
        <v>37317.566666666666</v>
      </c>
      <c r="B1720" s="6">
        <v>4.1087962962962996E-3</v>
      </c>
      <c r="C1720" s="5">
        <v>167</v>
      </c>
    </row>
    <row r="1721" spans="1:3">
      <c r="A1721" s="68">
        <v>37317.566666666666</v>
      </c>
      <c r="B1721" s="6">
        <v>4.1666666666666701E-3</v>
      </c>
      <c r="C1721" s="5">
        <v>167</v>
      </c>
    </row>
    <row r="1722" spans="1:3">
      <c r="A1722" s="68">
        <v>37317.566666666666</v>
      </c>
      <c r="B1722" s="6">
        <v>4.2245370370370397E-3</v>
      </c>
      <c r="C1722" s="5">
        <v>164</v>
      </c>
    </row>
    <row r="1723" spans="1:3">
      <c r="A1723" s="68">
        <v>37317.566666666666</v>
      </c>
      <c r="B1723" s="6">
        <v>4.2824074074074101E-3</v>
      </c>
      <c r="C1723" s="5">
        <v>160</v>
      </c>
    </row>
    <row r="1724" spans="1:3">
      <c r="A1724" s="68">
        <v>37317.566666666666</v>
      </c>
      <c r="B1724" s="6">
        <v>4.3402777777777797E-3</v>
      </c>
      <c r="C1724" s="5">
        <v>157</v>
      </c>
    </row>
    <row r="1725" spans="1:3">
      <c r="A1725" s="68">
        <v>37317.566666666666</v>
      </c>
      <c r="B1725" s="6">
        <v>4.3981481481481502E-3</v>
      </c>
      <c r="C1725" s="5">
        <v>155</v>
      </c>
    </row>
    <row r="1726" spans="1:3">
      <c r="A1726" s="68">
        <v>37317.566666666666</v>
      </c>
      <c r="B1726" s="6">
        <v>4.4560185185185197E-3</v>
      </c>
      <c r="C1726" s="5">
        <v>155</v>
      </c>
    </row>
    <row r="1727" spans="1:3">
      <c r="A1727" s="68">
        <v>37317.566666666666</v>
      </c>
      <c r="B1727" s="6">
        <v>4.5138888888888902E-3</v>
      </c>
      <c r="C1727" s="5">
        <v>155</v>
      </c>
    </row>
    <row r="1728" spans="1:3">
      <c r="A1728" s="68">
        <v>37317.566666666666</v>
      </c>
      <c r="B1728" s="6">
        <v>4.5717592592592598E-3</v>
      </c>
      <c r="C1728" s="5">
        <v>155</v>
      </c>
    </row>
    <row r="1729" spans="1:3">
      <c r="A1729" s="68">
        <v>37317.566666666666</v>
      </c>
      <c r="B1729" s="6">
        <v>4.6296296296296302E-3</v>
      </c>
      <c r="C1729" s="5">
        <v>158</v>
      </c>
    </row>
    <row r="1730" spans="1:3">
      <c r="A1730" s="68">
        <v>37317.566666666666</v>
      </c>
      <c r="B1730" s="6">
        <v>4.6874999999999998E-3</v>
      </c>
      <c r="C1730" s="5">
        <v>159</v>
      </c>
    </row>
    <row r="1731" spans="1:3">
      <c r="A1731" s="68">
        <v>37317.566666666666</v>
      </c>
      <c r="B1731" s="6">
        <v>4.7453703703703703E-3</v>
      </c>
      <c r="C1731" s="5">
        <v>159</v>
      </c>
    </row>
    <row r="1732" spans="1:3">
      <c r="A1732" s="68">
        <v>37317.566666666666</v>
      </c>
      <c r="B1732" s="6">
        <v>4.8032407407407399E-3</v>
      </c>
      <c r="C1732" s="5">
        <v>160</v>
      </c>
    </row>
    <row r="1733" spans="1:3">
      <c r="A1733" s="68">
        <v>37317.566666666666</v>
      </c>
      <c r="B1733" s="6">
        <v>4.8611111111111103E-3</v>
      </c>
      <c r="C1733" s="5">
        <v>160</v>
      </c>
    </row>
    <row r="1734" spans="1:3">
      <c r="A1734" s="68">
        <v>37317.566666666666</v>
      </c>
      <c r="B1734" s="6">
        <v>4.9189814814814799E-3</v>
      </c>
      <c r="C1734" s="5">
        <v>160</v>
      </c>
    </row>
    <row r="1735" spans="1:3">
      <c r="A1735" s="68">
        <v>37317.566666666666</v>
      </c>
      <c r="B1735" s="6">
        <v>4.9768518518518504E-3</v>
      </c>
      <c r="C1735" s="5">
        <v>163</v>
      </c>
    </row>
    <row r="1736" spans="1:3">
      <c r="A1736" s="68">
        <v>37317.566666666666</v>
      </c>
      <c r="B1736" s="6">
        <v>5.0347222222222199E-3</v>
      </c>
      <c r="C1736" s="5">
        <v>165</v>
      </c>
    </row>
    <row r="1737" spans="1:3">
      <c r="A1737" s="68">
        <v>37317.566666666666</v>
      </c>
      <c r="B1737" s="6">
        <v>5.0925925925925904E-3</v>
      </c>
      <c r="C1737" s="5">
        <v>165</v>
      </c>
    </row>
    <row r="1738" spans="1:3">
      <c r="A1738" s="68">
        <v>37317.566666666666</v>
      </c>
      <c r="B1738" s="6">
        <v>5.15046296296296E-3</v>
      </c>
      <c r="C1738" s="5">
        <v>166</v>
      </c>
    </row>
    <row r="1739" spans="1:3">
      <c r="A1739" s="68">
        <v>37317.566666666666</v>
      </c>
      <c r="B1739" s="6">
        <v>5.2083333333333296E-3</v>
      </c>
      <c r="C1739" s="5">
        <v>167</v>
      </c>
    </row>
    <row r="1740" spans="1:3">
      <c r="A1740" s="68">
        <v>37317.566666666666</v>
      </c>
      <c r="B1740" s="6">
        <v>5.2662037037037E-3</v>
      </c>
      <c r="C1740" s="5">
        <v>167</v>
      </c>
    </row>
    <row r="1741" spans="1:3">
      <c r="A1741" s="68">
        <v>37317.566666666666</v>
      </c>
      <c r="B1741" s="6">
        <v>5.3240740740740696E-3</v>
      </c>
      <c r="C1741" s="5">
        <v>168</v>
      </c>
    </row>
    <row r="1742" spans="1:3">
      <c r="A1742" s="68">
        <v>37317.566666666666</v>
      </c>
      <c r="B1742" s="6">
        <v>5.3819444444444401E-3</v>
      </c>
      <c r="C1742" s="5">
        <v>168</v>
      </c>
    </row>
    <row r="1743" spans="1:3">
      <c r="A1743" s="68">
        <v>37317.566666666666</v>
      </c>
      <c r="B1743" s="6">
        <v>5.4398148148148097E-3</v>
      </c>
      <c r="C1743" s="5">
        <v>169</v>
      </c>
    </row>
    <row r="1744" spans="1:3">
      <c r="A1744" s="68">
        <v>37317.566666666666</v>
      </c>
      <c r="B1744" s="6">
        <v>5.4976851851851801E-3</v>
      </c>
      <c r="C1744" s="5">
        <v>169</v>
      </c>
    </row>
    <row r="1745" spans="1:3">
      <c r="A1745" s="68">
        <v>37317.566666666666</v>
      </c>
      <c r="B1745" s="6">
        <v>5.5555555555555497E-3</v>
      </c>
      <c r="C1745" s="5">
        <v>170</v>
      </c>
    </row>
    <row r="1746" spans="1:3">
      <c r="A1746" s="68">
        <v>37317.566666666666</v>
      </c>
      <c r="B1746" s="6">
        <v>5.6134259259259297E-3</v>
      </c>
      <c r="C1746" s="5">
        <v>168</v>
      </c>
    </row>
    <row r="1747" spans="1:3">
      <c r="A1747" s="68">
        <v>37317.566666666666</v>
      </c>
      <c r="B1747" s="6">
        <v>5.6712962962963001E-3</v>
      </c>
      <c r="C1747" s="5">
        <v>165</v>
      </c>
    </row>
    <row r="1748" spans="1:3">
      <c r="A1748" s="68">
        <v>37317.566666666666</v>
      </c>
      <c r="B1748" s="6">
        <v>5.7291666666666697E-3</v>
      </c>
      <c r="C1748" s="5">
        <v>163</v>
      </c>
    </row>
    <row r="1749" spans="1:3">
      <c r="A1749" s="68">
        <v>37317.566666666666</v>
      </c>
      <c r="B1749" s="6">
        <v>5.7870370370370402E-3</v>
      </c>
      <c r="C1749" s="5">
        <v>160</v>
      </c>
    </row>
    <row r="1750" spans="1:3">
      <c r="A1750" s="68">
        <v>37317.566666666666</v>
      </c>
      <c r="B1750" s="6">
        <v>5.8449074074074098E-3</v>
      </c>
      <c r="C1750" s="5">
        <v>157</v>
      </c>
    </row>
    <row r="1751" spans="1:3">
      <c r="A1751" s="68">
        <v>37317.566666666666</v>
      </c>
      <c r="B1751" s="6">
        <v>5.9027777777777802E-3</v>
      </c>
      <c r="C1751" s="5">
        <v>157</v>
      </c>
    </row>
    <row r="1752" spans="1:3">
      <c r="A1752" s="68">
        <v>37317.566666666666</v>
      </c>
      <c r="B1752" s="6">
        <v>5.9606481481481498E-3</v>
      </c>
      <c r="C1752" s="5">
        <v>156</v>
      </c>
    </row>
    <row r="1753" spans="1:3">
      <c r="A1753" s="68">
        <v>37317.566666666666</v>
      </c>
      <c r="B1753" s="6">
        <v>6.0185185185185203E-3</v>
      </c>
      <c r="C1753" s="5">
        <v>155</v>
      </c>
    </row>
    <row r="1754" spans="1:3">
      <c r="A1754" s="68">
        <v>37317.566666666666</v>
      </c>
      <c r="B1754" s="6">
        <v>6.0763888888888899E-3</v>
      </c>
      <c r="C1754" s="5">
        <v>157</v>
      </c>
    </row>
    <row r="1755" spans="1:3">
      <c r="A1755" s="68">
        <v>37317.566666666666</v>
      </c>
      <c r="B1755" s="6">
        <v>6.1342592592592603E-3</v>
      </c>
      <c r="C1755" s="5">
        <v>158</v>
      </c>
    </row>
    <row r="1756" spans="1:3">
      <c r="A1756" s="68">
        <v>37317.566666666666</v>
      </c>
      <c r="B1756" s="6">
        <v>6.1921296296296299E-3</v>
      </c>
      <c r="C1756" s="5">
        <v>159</v>
      </c>
    </row>
    <row r="1757" spans="1:3">
      <c r="A1757" s="68">
        <v>37317.566666666666</v>
      </c>
      <c r="B1757" s="6">
        <v>6.2500000000000003E-3</v>
      </c>
      <c r="C1757" s="5">
        <v>159</v>
      </c>
    </row>
    <row r="1758" spans="1:3">
      <c r="A1758" s="68">
        <v>37317.566666666666</v>
      </c>
      <c r="B1758" s="6">
        <v>6.3078703703703699E-3</v>
      </c>
      <c r="C1758" s="5">
        <v>159</v>
      </c>
    </row>
    <row r="1759" spans="1:3">
      <c r="A1759" s="68">
        <v>37317.566666666666</v>
      </c>
      <c r="B1759" s="6">
        <v>6.3657407407407404E-3</v>
      </c>
      <c r="C1759" s="5">
        <v>159</v>
      </c>
    </row>
    <row r="1760" spans="1:3">
      <c r="A1760" s="68">
        <v>37317.566666666666</v>
      </c>
      <c r="B1760" s="6">
        <v>6.42361111111111E-3</v>
      </c>
      <c r="C1760" s="5">
        <v>161</v>
      </c>
    </row>
    <row r="1761" spans="1:3">
      <c r="A1761" s="68">
        <v>37317.566666666666</v>
      </c>
      <c r="B1761" s="6">
        <v>6.4814814814814804E-3</v>
      </c>
      <c r="C1761" s="5">
        <v>164</v>
      </c>
    </row>
    <row r="1762" spans="1:3">
      <c r="A1762" s="68">
        <v>37317.566666666666</v>
      </c>
      <c r="B1762" s="6">
        <v>6.53935185185185E-3</v>
      </c>
      <c r="C1762" s="5">
        <v>164</v>
      </c>
    </row>
    <row r="1763" spans="1:3">
      <c r="A1763" s="68">
        <v>37317.566666666666</v>
      </c>
      <c r="B1763" s="6">
        <v>6.5972222222222196E-3</v>
      </c>
      <c r="C1763" s="5">
        <v>165</v>
      </c>
    </row>
    <row r="1764" spans="1:3">
      <c r="A1764" s="68">
        <v>37317.566666666666</v>
      </c>
      <c r="B1764" s="6">
        <v>6.6550925925925901E-3</v>
      </c>
      <c r="C1764" s="5">
        <v>165</v>
      </c>
    </row>
    <row r="1765" spans="1:3">
      <c r="A1765" s="68">
        <v>37317.566666666666</v>
      </c>
      <c r="B1765" s="6">
        <v>6.7129629629629596E-3</v>
      </c>
      <c r="C1765" s="5">
        <v>167</v>
      </c>
    </row>
    <row r="1766" spans="1:3">
      <c r="A1766" s="68">
        <v>37317.566666666666</v>
      </c>
      <c r="B1766" s="6">
        <v>6.7708333333333301E-3</v>
      </c>
      <c r="C1766" s="5">
        <v>167</v>
      </c>
    </row>
    <row r="1767" spans="1:3">
      <c r="A1767" s="68">
        <v>37317.566666666666</v>
      </c>
      <c r="B1767" s="6">
        <v>6.8287037037036997E-3</v>
      </c>
      <c r="C1767" s="5">
        <v>167</v>
      </c>
    </row>
    <row r="1768" spans="1:3">
      <c r="A1768" s="68">
        <v>37317.566666666666</v>
      </c>
      <c r="B1768" s="6">
        <v>6.8865740740740701E-3</v>
      </c>
      <c r="C1768" s="5">
        <v>168</v>
      </c>
    </row>
    <row r="1769" spans="1:3">
      <c r="A1769" s="68">
        <v>37317.566666666666</v>
      </c>
      <c r="B1769" s="6">
        <v>6.9444444444444397E-3</v>
      </c>
      <c r="C1769" s="5">
        <v>169</v>
      </c>
    </row>
    <row r="1770" spans="1:3">
      <c r="A1770" s="68">
        <v>37317.566666666666</v>
      </c>
      <c r="B1770" s="6">
        <v>7.0023148148148102E-3</v>
      </c>
      <c r="C1770" s="5">
        <v>168</v>
      </c>
    </row>
    <row r="1771" spans="1:3">
      <c r="A1771" s="68">
        <v>37317.566666666666</v>
      </c>
      <c r="B1771" s="6">
        <v>7.0601851851851798E-3</v>
      </c>
      <c r="C1771" s="5">
        <v>168</v>
      </c>
    </row>
    <row r="1772" spans="1:3">
      <c r="A1772" s="68">
        <v>37317.566666666666</v>
      </c>
      <c r="B1772" s="6">
        <v>7.1180555555555598E-3</v>
      </c>
      <c r="C1772" s="5">
        <v>167</v>
      </c>
    </row>
    <row r="1773" spans="1:3">
      <c r="A1773" s="68">
        <v>37317.566666666666</v>
      </c>
      <c r="B1773" s="6">
        <v>7.1759259259259302E-3</v>
      </c>
      <c r="C1773" s="5">
        <v>166</v>
      </c>
    </row>
    <row r="1774" spans="1:3">
      <c r="A1774" s="68">
        <v>37317.566666666666</v>
      </c>
      <c r="B1774" s="6">
        <v>7.2337962962962998E-3</v>
      </c>
      <c r="C1774" s="5">
        <v>163</v>
      </c>
    </row>
    <row r="1775" spans="1:3">
      <c r="A1775" s="68">
        <v>37317.566666666666</v>
      </c>
      <c r="B1775" s="6">
        <v>7.2916666666666703E-3</v>
      </c>
      <c r="C1775" s="5">
        <v>160</v>
      </c>
    </row>
    <row r="1776" spans="1:3">
      <c r="A1776" s="68">
        <v>37317.566666666666</v>
      </c>
      <c r="B1776" s="6">
        <v>7.3495370370370398E-3</v>
      </c>
      <c r="C1776" s="5">
        <v>160</v>
      </c>
    </row>
    <row r="1777" spans="1:3">
      <c r="A1777" s="68">
        <v>37317.566666666666</v>
      </c>
      <c r="B1777" s="6">
        <v>7.4074074074074103E-3</v>
      </c>
      <c r="C1777" s="5">
        <v>160</v>
      </c>
    </row>
    <row r="1778" spans="1:3">
      <c r="A1778" s="68">
        <v>37317.566666666666</v>
      </c>
      <c r="B1778" s="6">
        <v>7.4652777777777799E-3</v>
      </c>
      <c r="C1778" s="5">
        <v>160</v>
      </c>
    </row>
    <row r="1779" spans="1:3">
      <c r="A1779" s="68">
        <v>37317.566666666666</v>
      </c>
      <c r="B1779" s="6">
        <v>7.5231481481481503E-3</v>
      </c>
      <c r="C1779" s="5">
        <v>160</v>
      </c>
    </row>
    <row r="1780" spans="1:3">
      <c r="A1780" s="68">
        <v>37317.566666666666</v>
      </c>
      <c r="B1780" s="6">
        <v>7.5810185185185199E-3</v>
      </c>
      <c r="C1780" s="5">
        <v>162</v>
      </c>
    </row>
    <row r="1781" spans="1:3">
      <c r="A1781" s="68">
        <v>37317.566666666666</v>
      </c>
      <c r="B1781" s="6">
        <v>7.6388888888888904E-3</v>
      </c>
      <c r="C1781" s="5">
        <v>163</v>
      </c>
    </row>
    <row r="1782" spans="1:3">
      <c r="A1782" s="68">
        <v>37317.566666666666</v>
      </c>
      <c r="B1782" s="6">
        <v>7.69675925925926E-3</v>
      </c>
      <c r="C1782" s="5">
        <v>165</v>
      </c>
    </row>
    <row r="1783" spans="1:3">
      <c r="A1783" s="68">
        <v>37317.566666666666</v>
      </c>
      <c r="B1783" s="6">
        <v>7.7546296296296304E-3</v>
      </c>
      <c r="C1783" s="5">
        <v>166</v>
      </c>
    </row>
    <row r="1784" spans="1:3">
      <c r="A1784" s="68">
        <v>37317.566666666666</v>
      </c>
      <c r="B1784" s="6">
        <v>7.8125E-3</v>
      </c>
      <c r="C1784" s="5">
        <v>167</v>
      </c>
    </row>
    <row r="1785" spans="1:3">
      <c r="A1785" s="68">
        <v>37317.566666666666</v>
      </c>
      <c r="B1785" s="6">
        <v>7.8703703703703696E-3</v>
      </c>
      <c r="C1785" s="5">
        <v>168</v>
      </c>
    </row>
    <row r="1786" spans="1:3">
      <c r="A1786" s="68">
        <v>37317.566666666666</v>
      </c>
      <c r="B1786" s="6">
        <v>7.9282407407407392E-3</v>
      </c>
      <c r="C1786" s="5">
        <v>169</v>
      </c>
    </row>
    <row r="1787" spans="1:3">
      <c r="A1787" s="68">
        <v>37317.566666666666</v>
      </c>
      <c r="B1787" s="6">
        <v>7.9861111111111105E-3</v>
      </c>
      <c r="C1787" s="5">
        <v>168</v>
      </c>
    </row>
    <row r="1788" spans="1:3">
      <c r="A1788" s="68">
        <v>37317.566666666666</v>
      </c>
      <c r="B1788" s="6">
        <v>8.0439814814814801E-3</v>
      </c>
      <c r="C1788" s="5">
        <v>169</v>
      </c>
    </row>
    <row r="1789" spans="1:3">
      <c r="A1789" s="68">
        <v>37317.566666666666</v>
      </c>
      <c r="B1789" s="6">
        <v>8.1018518518518497E-3</v>
      </c>
      <c r="C1789" s="5">
        <v>169</v>
      </c>
    </row>
    <row r="1790" spans="1:3">
      <c r="A1790" s="68">
        <v>37317.566666666666</v>
      </c>
      <c r="B1790" s="6">
        <v>8.1597222222222193E-3</v>
      </c>
      <c r="C1790" s="5">
        <v>169</v>
      </c>
    </row>
    <row r="1791" spans="1:3">
      <c r="A1791" s="68">
        <v>37317.566666666666</v>
      </c>
      <c r="B1791" s="6">
        <v>8.2175925925925906E-3</v>
      </c>
      <c r="C1791" s="5">
        <v>169</v>
      </c>
    </row>
    <row r="1792" spans="1:3">
      <c r="A1792" s="68">
        <v>37317.566666666666</v>
      </c>
      <c r="B1792" s="6">
        <v>8.2754629629629602E-3</v>
      </c>
      <c r="C1792" s="5">
        <v>169</v>
      </c>
    </row>
    <row r="1793" spans="1:3">
      <c r="A1793" s="68">
        <v>37317.566666666666</v>
      </c>
      <c r="B1793" s="6">
        <v>8.3333333333333297E-3</v>
      </c>
      <c r="C1793" s="5">
        <v>169</v>
      </c>
    </row>
    <row r="1794" spans="1:3">
      <c r="A1794" s="68">
        <v>37317.566666666666</v>
      </c>
      <c r="B1794" s="6">
        <v>8.3912037037036993E-3</v>
      </c>
      <c r="C1794" s="5">
        <v>170</v>
      </c>
    </row>
    <row r="1795" spans="1:3">
      <c r="A1795" s="68">
        <v>37317.566666666666</v>
      </c>
      <c r="B1795" s="6">
        <v>8.4490740740740707E-3</v>
      </c>
      <c r="C1795" s="5">
        <v>170</v>
      </c>
    </row>
    <row r="1796" spans="1:3">
      <c r="A1796" s="68">
        <v>37317.566666666666</v>
      </c>
      <c r="B1796" s="6">
        <v>8.5069444444444402E-3</v>
      </c>
      <c r="C1796" s="5">
        <v>171</v>
      </c>
    </row>
    <row r="1797" spans="1:3">
      <c r="A1797" s="68">
        <v>37317.566666666666</v>
      </c>
      <c r="B1797" s="6">
        <v>8.5648148148148098E-3</v>
      </c>
      <c r="C1797" s="5">
        <v>170</v>
      </c>
    </row>
    <row r="1798" spans="1:3">
      <c r="A1798" s="68">
        <v>37317.566666666666</v>
      </c>
      <c r="B1798" s="6">
        <v>8.6226851851851794E-3</v>
      </c>
      <c r="C1798" s="5">
        <v>168</v>
      </c>
    </row>
    <row r="1799" spans="1:3">
      <c r="A1799" s="68">
        <v>37317.566666666666</v>
      </c>
      <c r="B1799" s="6">
        <v>8.6805555555555507E-3</v>
      </c>
      <c r="C1799" s="5">
        <v>164</v>
      </c>
    </row>
    <row r="1800" spans="1:3">
      <c r="A1800" s="68">
        <v>37317.566666666666</v>
      </c>
      <c r="B1800" s="6">
        <v>8.7384259259259307E-3</v>
      </c>
      <c r="C1800" s="5">
        <v>160</v>
      </c>
    </row>
    <row r="1801" spans="1:3">
      <c r="A1801" s="68">
        <v>37317.566666666666</v>
      </c>
      <c r="B1801" s="6">
        <v>8.7962962962963003E-3</v>
      </c>
      <c r="C1801" s="5">
        <v>160</v>
      </c>
    </row>
    <row r="1802" spans="1:3">
      <c r="A1802" s="68">
        <v>37317.566666666666</v>
      </c>
      <c r="B1802" s="6">
        <v>8.8541666666666699E-3</v>
      </c>
      <c r="C1802" s="5">
        <v>160</v>
      </c>
    </row>
    <row r="1803" spans="1:3">
      <c r="A1803" s="68">
        <v>37317.566666666666</v>
      </c>
      <c r="B1803" s="6">
        <v>8.9120370370370395E-3</v>
      </c>
      <c r="C1803" s="5">
        <v>158</v>
      </c>
    </row>
    <row r="1804" spans="1:3">
      <c r="A1804" s="68">
        <v>37317.566666666666</v>
      </c>
      <c r="B1804" s="6">
        <v>8.9699074074074108E-3</v>
      </c>
      <c r="C1804" s="5">
        <v>159</v>
      </c>
    </row>
    <row r="1805" spans="1:3">
      <c r="A1805" s="68">
        <v>37317.566666666666</v>
      </c>
      <c r="B1805" s="6">
        <v>9.0277777777777804E-3</v>
      </c>
      <c r="C1805" s="5">
        <v>159</v>
      </c>
    </row>
    <row r="1806" spans="1:3">
      <c r="A1806" s="68">
        <v>37317.566666666666</v>
      </c>
      <c r="B1806" s="6">
        <v>9.08564814814815E-3</v>
      </c>
      <c r="C1806" s="5">
        <v>159</v>
      </c>
    </row>
    <row r="1807" spans="1:3">
      <c r="A1807" s="68">
        <v>37317.566666666666</v>
      </c>
      <c r="B1807" s="6">
        <v>9.1435185185185196E-3</v>
      </c>
      <c r="C1807" s="5">
        <v>161</v>
      </c>
    </row>
    <row r="1808" spans="1:3">
      <c r="A1808" s="68">
        <v>37317.566666666666</v>
      </c>
      <c r="B1808" s="6">
        <v>9.2013888888888892E-3</v>
      </c>
      <c r="C1808" s="5">
        <v>163</v>
      </c>
    </row>
    <row r="1809" spans="1:3">
      <c r="A1809" s="68">
        <v>37317.566666666666</v>
      </c>
      <c r="B1809" s="6">
        <v>9.2592592592592605E-3</v>
      </c>
      <c r="C1809" s="5">
        <v>166</v>
      </c>
    </row>
    <row r="1810" spans="1:3">
      <c r="A1810" s="68">
        <v>37317.566666666666</v>
      </c>
      <c r="B1810" s="6">
        <v>9.3171296296296301E-3</v>
      </c>
      <c r="C1810" s="5">
        <v>167</v>
      </c>
    </row>
    <row r="1811" spans="1:3">
      <c r="A1811" s="68">
        <v>37317.566666666666</v>
      </c>
      <c r="B1811" s="6">
        <v>9.3749999999999997E-3</v>
      </c>
      <c r="C1811" s="5">
        <v>167</v>
      </c>
    </row>
    <row r="1812" spans="1:3">
      <c r="A1812" s="68">
        <v>37317.566666666666</v>
      </c>
      <c r="B1812" s="6">
        <v>9.4328703703703692E-3</v>
      </c>
      <c r="C1812" s="5">
        <v>167</v>
      </c>
    </row>
    <row r="1813" spans="1:3">
      <c r="A1813" s="68">
        <v>37317.566666666666</v>
      </c>
      <c r="B1813" s="6">
        <v>9.4907407407407406E-3</v>
      </c>
      <c r="C1813" s="5">
        <v>167</v>
      </c>
    </row>
    <row r="1814" spans="1:3">
      <c r="A1814" s="68">
        <v>37317.566666666666</v>
      </c>
      <c r="B1814" s="6">
        <v>9.5486111111111101E-3</v>
      </c>
      <c r="C1814" s="5">
        <v>167</v>
      </c>
    </row>
    <row r="1815" spans="1:3">
      <c r="A1815" s="68">
        <v>37317.566666666666</v>
      </c>
      <c r="B1815" s="6">
        <v>9.6064814814814797E-3</v>
      </c>
      <c r="C1815" s="5">
        <v>168</v>
      </c>
    </row>
    <row r="1816" spans="1:3">
      <c r="A1816" s="68">
        <v>37317.566666666666</v>
      </c>
      <c r="B1816" s="6">
        <v>9.6643518518518493E-3</v>
      </c>
      <c r="C1816" s="5">
        <v>168</v>
      </c>
    </row>
    <row r="1817" spans="1:3">
      <c r="A1817" s="68">
        <v>37317.566666666666</v>
      </c>
      <c r="B1817" s="6">
        <v>9.7222222222222206E-3</v>
      </c>
      <c r="C1817" s="5">
        <v>169</v>
      </c>
    </row>
    <row r="1818" spans="1:3">
      <c r="A1818" s="68">
        <v>37317.566666666666</v>
      </c>
      <c r="B1818" s="6">
        <v>9.7800925925925902E-3</v>
      </c>
      <c r="C1818" s="5">
        <v>170</v>
      </c>
    </row>
    <row r="1819" spans="1:3">
      <c r="A1819" s="68">
        <v>37317.566666666666</v>
      </c>
      <c r="B1819" s="6">
        <v>9.8379629629629598E-3</v>
      </c>
      <c r="C1819" s="5">
        <v>171</v>
      </c>
    </row>
    <row r="1820" spans="1:3">
      <c r="A1820" s="68">
        <v>37317.566666666666</v>
      </c>
      <c r="B1820" s="6">
        <v>9.8958333333333294E-3</v>
      </c>
      <c r="C1820" s="5">
        <v>170</v>
      </c>
    </row>
    <row r="1821" spans="1:3">
      <c r="A1821" s="68">
        <v>37317.566666666666</v>
      </c>
      <c r="B1821" s="6">
        <v>9.9537037037037007E-3</v>
      </c>
      <c r="C1821" s="5">
        <v>168</v>
      </c>
    </row>
    <row r="1822" spans="1:3">
      <c r="A1822" s="68">
        <v>37317.566666666666</v>
      </c>
      <c r="B1822" s="6">
        <v>1.00115740740741E-2</v>
      </c>
      <c r="C1822" s="5">
        <v>166</v>
      </c>
    </row>
    <row r="1823" spans="1:3">
      <c r="A1823" s="68">
        <v>37317.566666666666</v>
      </c>
      <c r="B1823" s="6">
        <v>1.00694444444444E-2</v>
      </c>
      <c r="C1823" s="5">
        <v>165</v>
      </c>
    </row>
    <row r="1824" spans="1:3">
      <c r="A1824" s="68">
        <v>37317.566666666666</v>
      </c>
      <c r="B1824" s="6">
        <v>1.0127314814814801E-2</v>
      </c>
      <c r="C1824" s="5">
        <v>159</v>
      </c>
    </row>
    <row r="1825" spans="1:3">
      <c r="A1825" s="68">
        <v>37317.566666666666</v>
      </c>
      <c r="B1825" s="6">
        <v>1.01851851851852E-2</v>
      </c>
      <c r="C1825" s="5">
        <v>159</v>
      </c>
    </row>
    <row r="1826" spans="1:3">
      <c r="A1826" s="68">
        <v>37317.566666666666</v>
      </c>
      <c r="B1826" s="6">
        <v>1.0243055555555601E-2</v>
      </c>
      <c r="C1826" s="5">
        <v>159</v>
      </c>
    </row>
    <row r="1827" spans="1:3">
      <c r="A1827" s="68">
        <v>37317.566666666666</v>
      </c>
      <c r="B1827" s="6">
        <v>1.0300925925925899E-2</v>
      </c>
      <c r="C1827" s="5">
        <v>158</v>
      </c>
    </row>
    <row r="1828" spans="1:3">
      <c r="A1828" s="68">
        <v>37317.566666666666</v>
      </c>
      <c r="B1828" s="6">
        <v>1.03587962962963E-2</v>
      </c>
      <c r="C1828" s="5">
        <v>158</v>
      </c>
    </row>
    <row r="1829" spans="1:3">
      <c r="A1829" s="68">
        <v>37317.566666666666</v>
      </c>
      <c r="B1829" s="6">
        <v>1.0416666666666701E-2</v>
      </c>
      <c r="C1829" s="5">
        <v>158</v>
      </c>
    </row>
    <row r="1830" spans="1:3">
      <c r="A1830" s="68">
        <v>37317.566666666666</v>
      </c>
      <c r="B1830" s="6">
        <v>1.0474537037036999E-2</v>
      </c>
      <c r="C1830" s="5">
        <v>159</v>
      </c>
    </row>
    <row r="1831" spans="1:3">
      <c r="A1831" s="68">
        <v>37317.566666666666</v>
      </c>
      <c r="B1831" s="6">
        <v>1.05324074074074E-2</v>
      </c>
      <c r="C1831" s="5">
        <v>160</v>
      </c>
    </row>
    <row r="1832" spans="1:3">
      <c r="A1832" s="68">
        <v>37317.566666666666</v>
      </c>
      <c r="B1832" s="6">
        <v>1.0590277777777799E-2</v>
      </c>
      <c r="C1832" s="5">
        <v>162</v>
      </c>
    </row>
    <row r="1833" spans="1:3">
      <c r="A1833" s="68">
        <v>37317.566666666666</v>
      </c>
      <c r="B1833" s="6">
        <v>1.0648148148148099E-2</v>
      </c>
      <c r="C1833" s="5">
        <v>162</v>
      </c>
    </row>
    <row r="1834" spans="1:3">
      <c r="A1834" s="68">
        <v>37317.566666666666</v>
      </c>
      <c r="B1834" s="6">
        <v>1.07060185185185E-2</v>
      </c>
      <c r="C1834" s="5">
        <v>165</v>
      </c>
    </row>
    <row r="1835" spans="1:3">
      <c r="A1835" s="68">
        <v>37317.566666666666</v>
      </c>
      <c r="B1835" s="6">
        <v>1.0763888888888899E-2</v>
      </c>
      <c r="C1835" s="5">
        <v>164</v>
      </c>
    </row>
    <row r="1836" spans="1:3">
      <c r="A1836" s="68">
        <v>37317.566666666666</v>
      </c>
      <c r="B1836" s="6">
        <v>1.08217592592593E-2</v>
      </c>
      <c r="C1836" s="5">
        <v>165</v>
      </c>
    </row>
    <row r="1837" spans="1:3">
      <c r="A1837" s="68">
        <v>37317.566666666666</v>
      </c>
      <c r="B1837" s="6">
        <v>1.08796296296296E-2</v>
      </c>
      <c r="C1837" s="5">
        <v>167</v>
      </c>
    </row>
    <row r="1838" spans="1:3">
      <c r="A1838" s="68">
        <v>37317.566666666666</v>
      </c>
      <c r="B1838" s="6">
        <v>1.0937499999999999E-2</v>
      </c>
      <c r="C1838" s="5">
        <v>168</v>
      </c>
    </row>
    <row r="1839" spans="1:3">
      <c r="A1839" s="68">
        <v>37317.566666666666</v>
      </c>
      <c r="B1839" s="6">
        <v>1.09953703703704E-2</v>
      </c>
      <c r="C1839" s="5">
        <v>168</v>
      </c>
    </row>
    <row r="1840" spans="1:3">
      <c r="A1840" s="68">
        <v>37317.566666666666</v>
      </c>
      <c r="B1840" s="6">
        <v>1.10532407407407E-2</v>
      </c>
      <c r="C1840" s="5">
        <v>168</v>
      </c>
    </row>
    <row r="1841" spans="1:3">
      <c r="A1841" s="68">
        <v>37317.566666666666</v>
      </c>
      <c r="B1841" s="6">
        <v>1.1111111111111099E-2</v>
      </c>
      <c r="C1841" s="5">
        <v>169</v>
      </c>
    </row>
    <row r="1842" spans="1:3">
      <c r="A1842" s="68">
        <v>37317.566666666666</v>
      </c>
      <c r="B1842" s="6">
        <v>1.11689814814815E-2</v>
      </c>
      <c r="C1842" s="5">
        <v>170</v>
      </c>
    </row>
    <row r="1843" spans="1:3">
      <c r="A1843" s="68">
        <v>37317.566666666666</v>
      </c>
      <c r="B1843" s="6">
        <v>1.1226851851851899E-2</v>
      </c>
      <c r="C1843" s="5">
        <v>169</v>
      </c>
    </row>
    <row r="1844" spans="1:3">
      <c r="A1844" s="68">
        <v>37317.566666666666</v>
      </c>
      <c r="B1844" s="6">
        <v>1.1284722222222199E-2</v>
      </c>
      <c r="C1844" s="5">
        <v>171</v>
      </c>
    </row>
    <row r="1845" spans="1:3">
      <c r="A1845" s="68">
        <v>37317.566666666666</v>
      </c>
      <c r="B1845" s="6">
        <v>1.13425925925926E-2</v>
      </c>
      <c r="C1845" s="5">
        <v>171</v>
      </c>
    </row>
    <row r="1846" spans="1:3">
      <c r="A1846" s="68">
        <v>37317.566666666666</v>
      </c>
      <c r="B1846" s="6">
        <v>1.1400462962962999E-2</v>
      </c>
      <c r="C1846" s="5">
        <v>172</v>
      </c>
    </row>
    <row r="1847" spans="1:3">
      <c r="A1847" s="68">
        <v>37317.566666666666</v>
      </c>
      <c r="B1847" s="6">
        <v>1.14583333333333E-2</v>
      </c>
      <c r="C1847" s="5">
        <v>170</v>
      </c>
    </row>
    <row r="1848" spans="1:3">
      <c r="A1848" s="68">
        <v>37317.566666666666</v>
      </c>
      <c r="B1848" s="6">
        <v>1.15162037037037E-2</v>
      </c>
      <c r="C1848" s="5">
        <v>167</v>
      </c>
    </row>
    <row r="1849" spans="1:3">
      <c r="A1849" s="68">
        <v>37317.566666666666</v>
      </c>
      <c r="B1849" s="6">
        <v>1.1574074074074099E-2</v>
      </c>
      <c r="C1849" s="5">
        <v>164</v>
      </c>
    </row>
    <row r="1850" spans="1:3">
      <c r="A1850" s="68">
        <v>37317.566666666666</v>
      </c>
      <c r="B1850" s="6">
        <v>1.16319444444444E-2</v>
      </c>
      <c r="C1850" s="5">
        <v>162</v>
      </c>
    </row>
    <row r="1851" spans="1:3">
      <c r="A1851" s="68">
        <v>37317.566666666666</v>
      </c>
      <c r="B1851" s="6">
        <v>1.16898148148148E-2</v>
      </c>
      <c r="C1851" s="5">
        <v>162</v>
      </c>
    </row>
    <row r="1852" spans="1:3">
      <c r="A1852" s="68">
        <v>37317.566666666666</v>
      </c>
      <c r="B1852" s="6">
        <v>1.17476851851852E-2</v>
      </c>
      <c r="C1852" s="5">
        <v>164</v>
      </c>
    </row>
    <row r="1853" spans="1:3">
      <c r="A1853" s="68">
        <v>37317.566666666666</v>
      </c>
      <c r="B1853" s="6">
        <v>1.18055555555556E-2</v>
      </c>
      <c r="C1853" s="5">
        <v>163</v>
      </c>
    </row>
    <row r="1854" spans="1:3">
      <c r="A1854" s="68">
        <v>37317.566666666666</v>
      </c>
      <c r="B1854" s="6">
        <v>1.1863425925925901E-2</v>
      </c>
      <c r="C1854" s="5">
        <v>162</v>
      </c>
    </row>
    <row r="1855" spans="1:3">
      <c r="A1855" s="68">
        <v>37317.566666666666</v>
      </c>
      <c r="B1855" s="6">
        <v>1.19212962962963E-2</v>
      </c>
      <c r="C1855" s="5">
        <v>163</v>
      </c>
    </row>
    <row r="1856" spans="1:3">
      <c r="A1856" s="68">
        <v>37317.566666666666</v>
      </c>
      <c r="B1856" s="6">
        <v>1.19791666666667E-2</v>
      </c>
      <c r="C1856" s="5">
        <v>164</v>
      </c>
    </row>
    <row r="1857" spans="1:3">
      <c r="A1857" s="68">
        <v>37317.566666666666</v>
      </c>
      <c r="B1857" s="6">
        <v>1.2037037037037001E-2</v>
      </c>
      <c r="C1857" s="5">
        <v>164</v>
      </c>
    </row>
    <row r="1858" spans="1:3">
      <c r="A1858" s="68">
        <v>37317.566666666666</v>
      </c>
      <c r="B1858" s="6">
        <v>1.20949074074074E-2</v>
      </c>
      <c r="C1858" s="5">
        <v>165</v>
      </c>
    </row>
    <row r="1859" spans="1:3">
      <c r="A1859" s="68">
        <v>37317.566666666666</v>
      </c>
      <c r="B1859" s="6">
        <v>1.2152777777777801E-2</v>
      </c>
      <c r="C1859" s="5">
        <v>165</v>
      </c>
    </row>
    <row r="1860" spans="1:3">
      <c r="A1860" s="68">
        <v>37317.566666666666</v>
      </c>
      <c r="B1860" s="6">
        <v>1.2210648148148101E-2</v>
      </c>
      <c r="C1860" s="5">
        <v>167</v>
      </c>
    </row>
    <row r="1861" spans="1:3">
      <c r="A1861" s="68">
        <v>37317.566666666666</v>
      </c>
      <c r="B1861" s="6">
        <v>1.22685185185185E-2</v>
      </c>
      <c r="C1861" s="5">
        <v>167</v>
      </c>
    </row>
    <row r="1862" spans="1:3">
      <c r="A1862" s="68">
        <v>37317.566666666666</v>
      </c>
      <c r="B1862" s="6">
        <v>1.2326388888888901E-2</v>
      </c>
      <c r="C1862" s="5">
        <v>167</v>
      </c>
    </row>
    <row r="1863" spans="1:3">
      <c r="A1863" s="68">
        <v>37317.566666666666</v>
      </c>
      <c r="B1863" s="6">
        <v>1.23842592592593E-2</v>
      </c>
      <c r="C1863" s="5">
        <v>167</v>
      </c>
    </row>
    <row r="1864" spans="1:3">
      <c r="A1864" s="68">
        <v>37317.566666666666</v>
      </c>
      <c r="B1864" s="6">
        <v>1.24421296296296E-2</v>
      </c>
      <c r="C1864" s="5">
        <v>167</v>
      </c>
    </row>
    <row r="1865" spans="1:3">
      <c r="A1865" s="68">
        <v>37317.566666666666</v>
      </c>
      <c r="B1865" s="6">
        <v>1.2500000000000001E-2</v>
      </c>
      <c r="C1865" s="5">
        <v>168</v>
      </c>
    </row>
    <row r="1866" spans="1:3">
      <c r="A1866" s="68">
        <v>37317.566666666666</v>
      </c>
      <c r="B1866" s="6">
        <v>1.25578703703704E-2</v>
      </c>
      <c r="C1866" s="5">
        <v>169</v>
      </c>
    </row>
    <row r="1867" spans="1:3">
      <c r="A1867" s="68">
        <v>37317.566666666666</v>
      </c>
      <c r="B1867" s="6">
        <v>1.26157407407407E-2</v>
      </c>
      <c r="C1867" s="5">
        <v>170</v>
      </c>
    </row>
    <row r="1868" spans="1:3">
      <c r="A1868" s="68">
        <v>37317.566666666666</v>
      </c>
      <c r="B1868" s="6">
        <v>1.2673611111111101E-2</v>
      </c>
      <c r="C1868" s="5">
        <v>171</v>
      </c>
    </row>
    <row r="1869" spans="1:3">
      <c r="A1869" s="68">
        <v>37317.566666666666</v>
      </c>
      <c r="B1869" s="6">
        <v>1.27314814814815E-2</v>
      </c>
      <c r="C1869" s="5">
        <v>171</v>
      </c>
    </row>
    <row r="1870" spans="1:3">
      <c r="A1870" s="68">
        <v>37317.566666666666</v>
      </c>
      <c r="B1870" s="6">
        <v>1.2789351851851901E-2</v>
      </c>
      <c r="C1870" s="5">
        <v>170</v>
      </c>
    </row>
    <row r="1871" spans="1:3">
      <c r="A1871" s="68">
        <v>37317.566666666666</v>
      </c>
      <c r="B1871" s="6">
        <v>1.2847222222222201E-2</v>
      </c>
      <c r="C1871" s="5">
        <v>170</v>
      </c>
    </row>
    <row r="1872" spans="1:3">
      <c r="A1872" s="68">
        <v>37317.566666666666</v>
      </c>
      <c r="B1872" s="6">
        <v>1.29050925925926E-2</v>
      </c>
      <c r="C1872" s="5">
        <v>168</v>
      </c>
    </row>
    <row r="1873" spans="1:3">
      <c r="A1873" s="68">
        <v>37317.566666666666</v>
      </c>
      <c r="B1873" s="6">
        <v>1.2962962962963001E-2</v>
      </c>
      <c r="C1873" s="5">
        <v>166</v>
      </c>
    </row>
    <row r="1874" spans="1:3">
      <c r="A1874" s="68">
        <v>37317.566666666666</v>
      </c>
      <c r="B1874" s="6">
        <v>1.3020833333333299E-2</v>
      </c>
      <c r="C1874" s="5">
        <v>165</v>
      </c>
    </row>
    <row r="1875" spans="1:3">
      <c r="A1875" s="68">
        <v>37317.566666666666</v>
      </c>
      <c r="B1875" s="6">
        <v>1.30787037037037E-2</v>
      </c>
      <c r="C1875" s="5">
        <v>162</v>
      </c>
    </row>
    <row r="1876" spans="1:3">
      <c r="A1876" s="68">
        <v>37317.566666666666</v>
      </c>
      <c r="B1876" s="6">
        <v>1.3136574074074101E-2</v>
      </c>
      <c r="C1876" s="5">
        <v>161</v>
      </c>
    </row>
    <row r="1877" spans="1:3">
      <c r="A1877" s="68">
        <v>37317.566666666666</v>
      </c>
      <c r="B1877" s="6">
        <v>1.3194444444444399E-2</v>
      </c>
      <c r="C1877" s="5">
        <v>161</v>
      </c>
    </row>
    <row r="1878" spans="1:3">
      <c r="A1878" s="68">
        <v>37317.566666666666</v>
      </c>
      <c r="B1878" s="6">
        <v>1.32523148148148E-2</v>
      </c>
      <c r="C1878" s="5">
        <v>161</v>
      </c>
    </row>
    <row r="1879" spans="1:3">
      <c r="A1879" s="68">
        <v>37317.566666666666</v>
      </c>
      <c r="B1879" s="6">
        <v>1.3310185185185199E-2</v>
      </c>
      <c r="C1879" s="5">
        <v>162</v>
      </c>
    </row>
    <row r="1880" spans="1:3">
      <c r="A1880" s="68">
        <v>37317.566666666666</v>
      </c>
      <c r="B1880" s="6">
        <v>1.33680555555556E-2</v>
      </c>
      <c r="C1880" s="5">
        <v>162</v>
      </c>
    </row>
    <row r="1881" spans="1:3">
      <c r="A1881" s="68">
        <v>37317.566666666666</v>
      </c>
      <c r="B1881" s="6">
        <v>1.34259259259259E-2</v>
      </c>
      <c r="C1881" s="5">
        <v>163</v>
      </c>
    </row>
    <row r="1882" spans="1:3">
      <c r="A1882" s="68">
        <v>37317.566666666666</v>
      </c>
      <c r="B1882" s="6">
        <v>1.3483796296296299E-2</v>
      </c>
      <c r="C1882" s="5">
        <v>164</v>
      </c>
    </row>
    <row r="1883" spans="1:3">
      <c r="A1883" s="68">
        <v>37317.566666666666</v>
      </c>
      <c r="B1883" s="6">
        <v>1.35416666666667E-2</v>
      </c>
      <c r="C1883" s="5">
        <v>165</v>
      </c>
    </row>
    <row r="1884" spans="1:3">
      <c r="A1884" s="68">
        <v>37317.566666666666</v>
      </c>
      <c r="B1884" s="6">
        <v>1.3599537037037E-2</v>
      </c>
      <c r="C1884" s="5">
        <v>166</v>
      </c>
    </row>
    <row r="1885" spans="1:3">
      <c r="A1885" s="68">
        <v>37317.566666666666</v>
      </c>
      <c r="B1885" s="6">
        <v>1.3657407407407399E-2</v>
      </c>
      <c r="C1885" s="5">
        <v>166</v>
      </c>
    </row>
    <row r="1886" spans="1:3">
      <c r="A1886" s="68">
        <v>37317.566666666666</v>
      </c>
      <c r="B1886" s="6">
        <v>1.37152777777778E-2</v>
      </c>
      <c r="C1886" s="5">
        <v>168</v>
      </c>
    </row>
    <row r="1887" spans="1:3">
      <c r="A1887" s="68">
        <v>37317.566666666666</v>
      </c>
      <c r="B1887" s="6">
        <v>1.37731481481481E-2</v>
      </c>
      <c r="C1887" s="5">
        <v>168</v>
      </c>
    </row>
    <row r="1888" spans="1:3">
      <c r="A1888" s="68">
        <v>37317.566666666666</v>
      </c>
      <c r="B1888" s="6">
        <v>1.3831018518518499E-2</v>
      </c>
      <c r="C1888" s="5">
        <v>168</v>
      </c>
    </row>
    <row r="1889" spans="1:3">
      <c r="A1889" s="68">
        <v>37317.566666666666</v>
      </c>
      <c r="B1889" s="6">
        <v>1.38888888888889E-2</v>
      </c>
      <c r="C1889" s="5">
        <v>168</v>
      </c>
    </row>
    <row r="1890" spans="1:3">
      <c r="A1890" s="68">
        <v>37317.566666666666</v>
      </c>
      <c r="B1890" s="6">
        <v>1.3946759259259299E-2</v>
      </c>
      <c r="C1890" s="5">
        <v>169</v>
      </c>
    </row>
    <row r="1891" spans="1:3">
      <c r="A1891" s="68">
        <v>37317.566666666666</v>
      </c>
      <c r="B1891" s="6">
        <v>1.40046296296296E-2</v>
      </c>
      <c r="C1891" s="5">
        <v>168</v>
      </c>
    </row>
    <row r="1892" spans="1:3">
      <c r="A1892" s="68">
        <v>37317.566666666666</v>
      </c>
      <c r="B1892" s="6">
        <v>1.40625E-2</v>
      </c>
      <c r="C1892" s="5">
        <v>169</v>
      </c>
    </row>
    <row r="1893" spans="1:3">
      <c r="A1893" s="68">
        <v>37317.566666666666</v>
      </c>
      <c r="B1893" s="6">
        <v>1.4120370370370399E-2</v>
      </c>
      <c r="C1893" s="5">
        <v>170</v>
      </c>
    </row>
    <row r="1894" spans="1:3">
      <c r="A1894" s="68">
        <v>37317.566666666666</v>
      </c>
      <c r="B1894" s="6">
        <v>1.41782407407407E-2</v>
      </c>
      <c r="C1894" s="5">
        <v>170</v>
      </c>
    </row>
    <row r="1895" spans="1:3">
      <c r="A1895" s="68">
        <v>37317.566666666666</v>
      </c>
      <c r="B1895" s="6">
        <v>1.42361111111111E-2</v>
      </c>
      <c r="C1895" s="5">
        <v>170</v>
      </c>
    </row>
    <row r="1896" spans="1:3">
      <c r="A1896" s="68">
        <v>37317.566666666666</v>
      </c>
      <c r="B1896" s="6">
        <v>1.42939814814815E-2</v>
      </c>
      <c r="C1896" s="5">
        <v>170</v>
      </c>
    </row>
    <row r="1897" spans="1:3">
      <c r="A1897" s="68">
        <v>37317.566666666666</v>
      </c>
      <c r="B1897" s="6">
        <v>1.43518518518519E-2</v>
      </c>
      <c r="C1897" s="5">
        <v>169</v>
      </c>
    </row>
    <row r="1898" spans="1:3">
      <c r="A1898" s="68">
        <v>37317.566666666666</v>
      </c>
      <c r="B1898" s="6">
        <v>1.4409722222222201E-2</v>
      </c>
      <c r="C1898" s="5">
        <v>168</v>
      </c>
    </row>
    <row r="1899" spans="1:3">
      <c r="A1899" s="68">
        <v>37317.566666666666</v>
      </c>
      <c r="B1899" s="6">
        <v>1.44675925925926E-2</v>
      </c>
      <c r="C1899" s="5">
        <v>165</v>
      </c>
    </row>
    <row r="1900" spans="1:3">
      <c r="A1900" s="68">
        <v>37317.566666666666</v>
      </c>
      <c r="B1900" s="6">
        <v>1.4525462962963E-2</v>
      </c>
      <c r="C1900" s="5">
        <v>164</v>
      </c>
    </row>
    <row r="1901" spans="1:3">
      <c r="A1901" s="68">
        <v>37317.566666666666</v>
      </c>
      <c r="B1901" s="6">
        <v>1.4583333333333301E-2</v>
      </c>
      <c r="C1901" s="5">
        <v>163</v>
      </c>
    </row>
    <row r="1902" spans="1:3">
      <c r="A1902" s="68">
        <v>37317.566666666666</v>
      </c>
      <c r="B1902" s="6">
        <v>1.46412037037037E-2</v>
      </c>
      <c r="C1902" s="5">
        <v>163</v>
      </c>
    </row>
    <row r="1903" spans="1:3">
      <c r="A1903" s="68">
        <v>37317.566666666666</v>
      </c>
      <c r="B1903" s="6">
        <v>1.46990740740741E-2</v>
      </c>
      <c r="C1903" s="5">
        <v>158</v>
      </c>
    </row>
    <row r="1904" spans="1:3">
      <c r="A1904" s="68">
        <v>37317.566666666666</v>
      </c>
      <c r="B1904" s="6">
        <v>1.4756944444444401E-2</v>
      </c>
      <c r="C1904" s="5">
        <v>158</v>
      </c>
    </row>
    <row r="1905" spans="1:3">
      <c r="A1905" s="68">
        <v>37317.566666666666</v>
      </c>
      <c r="B1905" s="6">
        <v>1.48148148148148E-2</v>
      </c>
      <c r="C1905" s="5">
        <v>158</v>
      </c>
    </row>
    <row r="1906" spans="1:3">
      <c r="A1906" s="68">
        <v>37317.566666666666</v>
      </c>
      <c r="B1906" s="6">
        <v>1.4872685185185201E-2</v>
      </c>
      <c r="C1906" s="5">
        <v>159</v>
      </c>
    </row>
    <row r="1907" spans="1:3">
      <c r="A1907" s="68">
        <v>37317.566666666666</v>
      </c>
      <c r="B1907" s="6">
        <v>1.49305555555556E-2</v>
      </c>
      <c r="C1907" s="5">
        <v>160</v>
      </c>
    </row>
    <row r="1908" spans="1:3">
      <c r="A1908" s="68">
        <v>37317.566666666666</v>
      </c>
      <c r="B1908" s="6">
        <v>1.49884259259259E-2</v>
      </c>
      <c r="C1908" s="5">
        <v>162</v>
      </c>
    </row>
    <row r="1909" spans="1:3">
      <c r="A1909" s="68">
        <v>37317.566666666666</v>
      </c>
      <c r="B1909" s="6">
        <v>1.5046296296296301E-2</v>
      </c>
      <c r="C1909" s="5">
        <v>163</v>
      </c>
    </row>
    <row r="1910" spans="1:3">
      <c r="A1910" s="68">
        <v>37317.566666666666</v>
      </c>
      <c r="B1910" s="6">
        <v>1.51041666666667E-2</v>
      </c>
      <c r="C1910" s="5">
        <v>164</v>
      </c>
    </row>
    <row r="1911" spans="1:3">
      <c r="A1911" s="68">
        <v>37317.566666666666</v>
      </c>
      <c r="B1911" s="6">
        <v>1.5162037037037E-2</v>
      </c>
      <c r="C1911" s="5">
        <v>164</v>
      </c>
    </row>
    <row r="1912" spans="1:3">
      <c r="A1912" s="68">
        <v>37317.566666666666</v>
      </c>
      <c r="B1912" s="6">
        <v>1.5219907407407401E-2</v>
      </c>
      <c r="C1912" s="5">
        <v>165</v>
      </c>
    </row>
    <row r="1913" spans="1:3">
      <c r="A1913" s="68">
        <v>37317.566666666666</v>
      </c>
      <c r="B1913" s="6">
        <v>1.52777777777778E-2</v>
      </c>
      <c r="C1913" s="5">
        <v>165</v>
      </c>
    </row>
    <row r="1914" spans="1:3">
      <c r="A1914" s="68">
        <v>37317.566666666666</v>
      </c>
      <c r="B1914" s="6">
        <v>1.53356481481481E-2</v>
      </c>
      <c r="C1914" s="5">
        <v>166</v>
      </c>
    </row>
    <row r="1915" spans="1:3">
      <c r="A1915" s="68">
        <v>37317.566666666666</v>
      </c>
      <c r="B1915" s="6">
        <v>1.5393518518518501E-2</v>
      </c>
      <c r="C1915" s="5">
        <v>167</v>
      </c>
    </row>
    <row r="1916" spans="1:3">
      <c r="A1916" s="68">
        <v>37317.566666666666</v>
      </c>
      <c r="B1916" s="6">
        <v>1.54513888888889E-2</v>
      </c>
      <c r="C1916" s="5">
        <v>169</v>
      </c>
    </row>
    <row r="1917" spans="1:3">
      <c r="A1917" s="68">
        <v>37317.566666666666</v>
      </c>
      <c r="B1917" s="6">
        <v>1.5509259259259301E-2</v>
      </c>
      <c r="C1917" s="5">
        <v>170</v>
      </c>
    </row>
    <row r="1918" spans="1:3">
      <c r="A1918" s="68">
        <v>37317.566666666666</v>
      </c>
      <c r="B1918" s="6">
        <v>1.5567129629629599E-2</v>
      </c>
      <c r="C1918" s="5">
        <v>171</v>
      </c>
    </row>
    <row r="1919" spans="1:3">
      <c r="A1919" s="68">
        <v>37317.566666666666</v>
      </c>
      <c r="B1919" s="6">
        <v>1.5625E-2</v>
      </c>
      <c r="C1919" s="5">
        <v>172</v>
      </c>
    </row>
    <row r="1920" spans="1:3">
      <c r="A1920" s="68">
        <v>37317.566666666666</v>
      </c>
      <c r="B1920" s="6">
        <v>1.5682870370370399E-2</v>
      </c>
      <c r="C1920" s="5">
        <v>171</v>
      </c>
    </row>
    <row r="1921" spans="1:3">
      <c r="A1921" s="68">
        <v>37317.566666666666</v>
      </c>
      <c r="B1921" s="6">
        <v>1.5740740740740701E-2</v>
      </c>
      <c r="C1921" s="5">
        <v>172</v>
      </c>
    </row>
    <row r="1922" spans="1:3">
      <c r="A1922" s="68">
        <v>37317.566666666666</v>
      </c>
      <c r="B1922" s="6">
        <v>1.57986111111111E-2</v>
      </c>
      <c r="C1922" s="5">
        <v>170</v>
      </c>
    </row>
    <row r="1923" spans="1:3">
      <c r="A1923" s="68">
        <v>37317.566666666666</v>
      </c>
      <c r="B1923" s="6">
        <v>1.5856481481481499E-2</v>
      </c>
      <c r="C1923" s="5">
        <v>169</v>
      </c>
    </row>
    <row r="1924" spans="1:3">
      <c r="A1924" s="68">
        <v>37317.566666666666</v>
      </c>
      <c r="B1924" s="6">
        <v>1.5914351851851801E-2</v>
      </c>
      <c r="C1924" s="5">
        <v>166</v>
      </c>
    </row>
    <row r="1925" spans="1:3">
      <c r="A1925" s="68">
        <v>37317.566666666666</v>
      </c>
      <c r="B1925" s="6">
        <v>1.59722222222222E-2</v>
      </c>
      <c r="C1925" s="5">
        <v>165</v>
      </c>
    </row>
    <row r="1926" spans="1:3">
      <c r="A1926" s="68">
        <v>37317.566666666666</v>
      </c>
      <c r="B1926" s="6">
        <v>1.6030092592592599E-2</v>
      </c>
      <c r="C1926" s="5">
        <v>159</v>
      </c>
    </row>
    <row r="1927" spans="1:3">
      <c r="A1927" s="68">
        <v>37317.566666666666</v>
      </c>
      <c r="B1927" s="6">
        <v>1.6087962962962998E-2</v>
      </c>
      <c r="C1927" s="5">
        <v>159</v>
      </c>
    </row>
    <row r="1928" spans="1:3">
      <c r="A1928" s="68">
        <v>37317.566666666666</v>
      </c>
      <c r="B1928" s="6">
        <v>1.61458333333333E-2</v>
      </c>
      <c r="C1928" s="5">
        <v>159</v>
      </c>
    </row>
    <row r="1929" spans="1:3">
      <c r="A1929" s="68">
        <v>37317.566666666666</v>
      </c>
      <c r="B1929" s="6">
        <v>1.6203703703703699E-2</v>
      </c>
      <c r="C1929" s="5">
        <v>159</v>
      </c>
    </row>
    <row r="1930" spans="1:3">
      <c r="A1930" s="68">
        <v>37317.566666666666</v>
      </c>
      <c r="B1930" s="6">
        <v>1.6261574074074098E-2</v>
      </c>
      <c r="C1930" s="5">
        <v>161</v>
      </c>
    </row>
    <row r="1931" spans="1:3">
      <c r="A1931" s="68">
        <v>37317.566666666666</v>
      </c>
      <c r="B1931" s="6">
        <v>1.63194444444444E-2</v>
      </c>
      <c r="C1931" s="5">
        <v>161</v>
      </c>
    </row>
    <row r="1932" spans="1:3">
      <c r="A1932" s="68">
        <v>37317.566666666666</v>
      </c>
      <c r="B1932" s="6">
        <v>1.6377314814814799E-2</v>
      </c>
      <c r="C1932" s="5">
        <v>163</v>
      </c>
    </row>
    <row r="1933" spans="1:3">
      <c r="A1933" s="68">
        <v>37317.566666666666</v>
      </c>
      <c r="B1933" s="6">
        <v>1.6435185185185198E-2</v>
      </c>
      <c r="C1933" s="5">
        <v>165</v>
      </c>
    </row>
    <row r="1934" spans="1:3">
      <c r="A1934" s="68">
        <v>37317.566666666666</v>
      </c>
      <c r="B1934" s="6">
        <v>1.6493055555555601E-2</v>
      </c>
      <c r="C1934" s="5">
        <v>165</v>
      </c>
    </row>
    <row r="1935" spans="1:3">
      <c r="A1935" s="68">
        <v>37317.566666666666</v>
      </c>
      <c r="B1935" s="6">
        <v>1.65509259259259E-2</v>
      </c>
      <c r="C1935" s="5">
        <v>166</v>
      </c>
    </row>
    <row r="1936" spans="1:3">
      <c r="A1936" s="68">
        <v>37317.566666666666</v>
      </c>
      <c r="B1936" s="6">
        <v>1.6608796296296299E-2</v>
      </c>
      <c r="C1936" s="5">
        <v>166</v>
      </c>
    </row>
    <row r="1937" spans="1:3">
      <c r="A1937" s="68">
        <v>37317.566666666666</v>
      </c>
      <c r="B1937" s="6">
        <v>1.6666666666666701E-2</v>
      </c>
      <c r="C1937" s="5">
        <v>167</v>
      </c>
    </row>
    <row r="1938" spans="1:3">
      <c r="A1938" s="68">
        <v>37317.566666666666</v>
      </c>
      <c r="B1938" s="6">
        <v>1.6724537037037E-2</v>
      </c>
      <c r="C1938" s="5">
        <v>168</v>
      </c>
    </row>
    <row r="1939" spans="1:3">
      <c r="A1939" s="68">
        <v>37317.566666666666</v>
      </c>
      <c r="B1939" s="6">
        <v>1.6782407407407399E-2</v>
      </c>
      <c r="C1939" s="5">
        <v>168</v>
      </c>
    </row>
    <row r="1940" spans="1:3">
      <c r="A1940" s="68">
        <v>37317.566666666666</v>
      </c>
      <c r="B1940" s="6">
        <v>1.6840277777777801E-2</v>
      </c>
      <c r="C1940" s="5">
        <v>169</v>
      </c>
    </row>
    <row r="1941" spans="1:3">
      <c r="A1941" s="68">
        <v>37317.566666666666</v>
      </c>
      <c r="B1941" s="6">
        <v>1.68981481481481E-2</v>
      </c>
      <c r="C1941" s="5">
        <v>169</v>
      </c>
    </row>
    <row r="1942" spans="1:3">
      <c r="A1942" s="68">
        <v>37317.566666666666</v>
      </c>
      <c r="B1942" s="6">
        <v>1.6956018518518499E-2</v>
      </c>
      <c r="C1942" s="5">
        <v>170</v>
      </c>
    </row>
    <row r="1943" spans="1:3">
      <c r="A1943" s="68">
        <v>37317.566666666666</v>
      </c>
      <c r="B1943" s="6">
        <v>1.7013888888888901E-2</v>
      </c>
      <c r="C1943" s="5">
        <v>170</v>
      </c>
    </row>
    <row r="1944" spans="1:3">
      <c r="A1944" s="68">
        <v>37317.566666666666</v>
      </c>
      <c r="B1944" s="6">
        <v>1.70717592592593E-2</v>
      </c>
      <c r="C1944" s="5">
        <v>171</v>
      </c>
    </row>
    <row r="1945" spans="1:3">
      <c r="A1945" s="68">
        <v>37317.566666666666</v>
      </c>
      <c r="B1945" s="6">
        <v>1.7129629629629599E-2</v>
      </c>
      <c r="C1945" s="5">
        <v>171</v>
      </c>
    </row>
    <row r="1946" spans="1:3">
      <c r="A1946" s="68">
        <v>37317.566666666666</v>
      </c>
      <c r="B1946" s="6">
        <v>1.7187500000000001E-2</v>
      </c>
      <c r="C1946" s="5">
        <v>170</v>
      </c>
    </row>
    <row r="1947" spans="1:3">
      <c r="A1947" s="68">
        <v>37317.566666666666</v>
      </c>
      <c r="B1947" s="6">
        <v>1.72453703703704E-2</v>
      </c>
      <c r="C1947" s="5">
        <v>170</v>
      </c>
    </row>
    <row r="1948" spans="1:3">
      <c r="A1948" s="68">
        <v>37317.566666666666</v>
      </c>
      <c r="B1948" s="6">
        <v>1.7303240740740699E-2</v>
      </c>
      <c r="C1948" s="5">
        <v>169</v>
      </c>
    </row>
    <row r="1949" spans="1:3">
      <c r="A1949" s="68">
        <v>37317.566666666666</v>
      </c>
      <c r="B1949" s="6">
        <v>1.7361111111111101E-2</v>
      </c>
      <c r="C1949" s="5">
        <v>167</v>
      </c>
    </row>
    <row r="1950" spans="1:3">
      <c r="A1950" s="68">
        <v>37317.566666666666</v>
      </c>
      <c r="B1950" s="6">
        <v>1.7418981481481501E-2</v>
      </c>
      <c r="C1950" s="5">
        <v>164</v>
      </c>
    </row>
    <row r="1951" spans="1:3">
      <c r="A1951" s="68">
        <v>37317.566666666666</v>
      </c>
      <c r="B1951" s="6">
        <v>1.74768518518519E-2</v>
      </c>
      <c r="C1951" s="5">
        <v>159</v>
      </c>
    </row>
    <row r="1952" spans="1:3">
      <c r="A1952" s="68">
        <v>37317.566666666666</v>
      </c>
      <c r="B1952" s="6">
        <v>1.7534722222222202E-2</v>
      </c>
      <c r="C1952" s="5">
        <v>155</v>
      </c>
    </row>
    <row r="1953" spans="1:3">
      <c r="A1953" s="68">
        <v>37317.566666666666</v>
      </c>
      <c r="B1953" s="6">
        <v>1.7592592592592601E-2</v>
      </c>
      <c r="C1953" s="5">
        <v>155</v>
      </c>
    </row>
    <row r="1954" spans="1:3">
      <c r="A1954" s="68">
        <v>37317.566666666666</v>
      </c>
      <c r="B1954" s="6">
        <v>1.7650462962963E-2</v>
      </c>
      <c r="C1954" s="5">
        <v>152</v>
      </c>
    </row>
    <row r="1955" spans="1:3">
      <c r="A1955" s="68">
        <v>37317.566666666666</v>
      </c>
      <c r="B1955" s="6">
        <v>1.7708333333333302E-2</v>
      </c>
      <c r="C1955" s="5">
        <v>152</v>
      </c>
    </row>
    <row r="1956" spans="1:3">
      <c r="A1956" s="68">
        <v>37317.566666666666</v>
      </c>
      <c r="B1956" s="6">
        <v>1.7766203703703701E-2</v>
      </c>
      <c r="C1956" s="5">
        <v>154</v>
      </c>
    </row>
    <row r="1957" spans="1:3">
      <c r="A1957" s="68">
        <v>37317.566666666666</v>
      </c>
      <c r="B1957" s="6">
        <v>1.78240740740741E-2</v>
      </c>
      <c r="C1957" s="5">
        <v>154</v>
      </c>
    </row>
    <row r="1958" spans="1:3">
      <c r="A1958" s="68">
        <v>37317.566666666666</v>
      </c>
      <c r="B1958" s="6">
        <v>1.7881944444444402E-2</v>
      </c>
      <c r="C1958" s="5">
        <v>157</v>
      </c>
    </row>
    <row r="1959" spans="1:3">
      <c r="A1959" s="68">
        <v>37317.566666666666</v>
      </c>
      <c r="B1959" s="6">
        <v>1.7939814814814801E-2</v>
      </c>
      <c r="C1959" s="5">
        <v>159</v>
      </c>
    </row>
    <row r="1960" spans="1:3">
      <c r="A1960" s="68">
        <v>37317.566666666666</v>
      </c>
      <c r="B1960" s="6">
        <v>1.79976851851852E-2</v>
      </c>
      <c r="C1960" s="5">
        <v>163</v>
      </c>
    </row>
    <row r="1961" spans="1:3">
      <c r="A1961" s="68">
        <v>37317.566666666666</v>
      </c>
      <c r="B1961" s="6">
        <v>1.8055555555555599E-2</v>
      </c>
      <c r="C1961" s="5">
        <v>164</v>
      </c>
    </row>
    <row r="1962" spans="1:3">
      <c r="A1962" s="68">
        <v>37317.566666666666</v>
      </c>
      <c r="B1962" s="6">
        <v>1.8113425925925901E-2</v>
      </c>
      <c r="C1962" s="5">
        <v>166</v>
      </c>
    </row>
    <row r="1963" spans="1:3">
      <c r="A1963" s="68">
        <v>37317.566666666666</v>
      </c>
      <c r="B1963" s="6">
        <v>1.81712962962963E-2</v>
      </c>
      <c r="C1963" s="5">
        <v>166</v>
      </c>
    </row>
    <row r="1964" spans="1:3">
      <c r="A1964" s="68">
        <v>37317.566666666666</v>
      </c>
      <c r="B1964" s="6">
        <v>1.8229166666666699E-2</v>
      </c>
      <c r="C1964" s="5">
        <v>167</v>
      </c>
    </row>
    <row r="1965" spans="1:3">
      <c r="A1965" s="68">
        <v>37317.566666666666</v>
      </c>
      <c r="B1965" s="6">
        <v>1.8287037037037001E-2</v>
      </c>
      <c r="C1965" s="5">
        <v>167</v>
      </c>
    </row>
    <row r="1966" spans="1:3">
      <c r="A1966" s="68">
        <v>37317.566666666666</v>
      </c>
      <c r="B1966" s="6">
        <v>1.83449074074074E-2</v>
      </c>
      <c r="C1966" s="5">
        <v>168</v>
      </c>
    </row>
    <row r="1967" spans="1:3">
      <c r="A1967" s="68">
        <v>37317.566666666666</v>
      </c>
      <c r="B1967" s="6">
        <v>1.8402777777777799E-2</v>
      </c>
      <c r="C1967" s="5">
        <v>168</v>
      </c>
    </row>
    <row r="1968" spans="1:3">
      <c r="A1968" s="68">
        <v>37317.566666666666</v>
      </c>
      <c r="B1968" s="6">
        <v>1.8460648148148101E-2</v>
      </c>
      <c r="C1968" s="5">
        <v>169</v>
      </c>
    </row>
    <row r="1969" spans="1:3">
      <c r="A1969" s="68">
        <v>37317.566666666666</v>
      </c>
      <c r="B1969" s="6">
        <v>1.85185185185185E-2</v>
      </c>
      <c r="C1969" s="5">
        <v>170</v>
      </c>
    </row>
    <row r="1970" spans="1:3">
      <c r="A1970" s="68">
        <v>37317.566666666666</v>
      </c>
      <c r="B1970" s="6">
        <v>1.8576388888888899E-2</v>
      </c>
      <c r="C1970" s="5">
        <v>171</v>
      </c>
    </row>
    <row r="1971" spans="1:3">
      <c r="A1971" s="68">
        <v>37317.566666666666</v>
      </c>
      <c r="B1971" s="6">
        <v>1.8634259259259298E-2</v>
      </c>
      <c r="C1971" s="5">
        <v>171</v>
      </c>
    </row>
    <row r="1972" spans="1:3">
      <c r="A1972" s="68">
        <v>37317.566666666666</v>
      </c>
      <c r="B1972" s="6">
        <v>1.86921296296296E-2</v>
      </c>
      <c r="C1972" s="5">
        <v>171</v>
      </c>
    </row>
    <row r="1973" spans="1:3">
      <c r="A1973" s="68">
        <v>37317.566666666666</v>
      </c>
      <c r="B1973" s="6">
        <v>1.8749999999999999E-2</v>
      </c>
      <c r="C1973" s="5">
        <v>172</v>
      </c>
    </row>
    <row r="1974" spans="1:3">
      <c r="A1974" s="68">
        <v>37317.566666666666</v>
      </c>
      <c r="B1974" s="6">
        <v>1.8807870370370398E-2</v>
      </c>
      <c r="C1974" s="5">
        <v>171</v>
      </c>
    </row>
    <row r="1975" spans="1:3">
      <c r="A1975" s="68">
        <v>37317.566666666666</v>
      </c>
      <c r="B1975" s="6">
        <v>1.88657407407407E-2</v>
      </c>
      <c r="C1975" s="5">
        <v>168</v>
      </c>
    </row>
    <row r="1976" spans="1:3">
      <c r="A1976" s="68">
        <v>37317.566666666666</v>
      </c>
      <c r="B1976" s="6">
        <v>1.8923611111111099E-2</v>
      </c>
      <c r="C1976" s="5">
        <v>166</v>
      </c>
    </row>
    <row r="1977" spans="1:3">
      <c r="A1977" s="68">
        <v>37317.566666666666</v>
      </c>
      <c r="B1977" s="6">
        <v>1.8981481481481498E-2</v>
      </c>
      <c r="C1977" s="5">
        <v>163</v>
      </c>
    </row>
    <row r="1978" spans="1:3">
      <c r="A1978" s="68">
        <v>37317.566666666666</v>
      </c>
      <c r="B1978" s="6">
        <v>1.90393518518518E-2</v>
      </c>
      <c r="C1978" s="5">
        <v>161</v>
      </c>
    </row>
    <row r="1979" spans="1:3">
      <c r="A1979" s="68">
        <v>37317.566666666666</v>
      </c>
      <c r="B1979" s="6">
        <v>1.9097222222222199E-2</v>
      </c>
      <c r="C1979" s="5">
        <v>163</v>
      </c>
    </row>
    <row r="1980" spans="1:3">
      <c r="A1980" s="68">
        <v>37317.566666666666</v>
      </c>
      <c r="B1980" s="6">
        <v>1.9155092592592599E-2</v>
      </c>
      <c r="C1980" s="5">
        <v>160</v>
      </c>
    </row>
    <row r="1981" spans="1:3">
      <c r="A1981" s="68">
        <v>37317.566666666666</v>
      </c>
      <c r="B1981" s="6">
        <v>1.9212962962963001E-2</v>
      </c>
      <c r="C1981" s="5">
        <v>161</v>
      </c>
    </row>
    <row r="1982" spans="1:3">
      <c r="A1982" s="68">
        <v>37317.566666666666</v>
      </c>
      <c r="B1982" s="6">
        <v>1.92708333333333E-2</v>
      </c>
      <c r="C1982" s="5">
        <v>163</v>
      </c>
    </row>
    <row r="1983" spans="1:3">
      <c r="A1983" s="68">
        <v>37317.566666666666</v>
      </c>
      <c r="B1983" s="6">
        <v>1.9328703703703699E-2</v>
      </c>
      <c r="C1983" s="5">
        <v>165</v>
      </c>
    </row>
    <row r="1984" spans="1:3">
      <c r="A1984" s="68">
        <v>37317.566666666666</v>
      </c>
      <c r="B1984" s="6">
        <v>1.9386574074074101E-2</v>
      </c>
      <c r="C1984" s="5">
        <v>167</v>
      </c>
    </row>
    <row r="1985" spans="1:3">
      <c r="A1985" s="68">
        <v>37317.566666666666</v>
      </c>
      <c r="B1985" s="6">
        <v>1.94444444444444E-2</v>
      </c>
      <c r="C1985" s="5">
        <v>168</v>
      </c>
    </row>
    <row r="1986" spans="1:3">
      <c r="A1986" s="68">
        <v>37317.566666666666</v>
      </c>
      <c r="B1986" s="6">
        <v>1.9502314814814799E-2</v>
      </c>
      <c r="C1986" s="5">
        <v>168</v>
      </c>
    </row>
    <row r="1987" spans="1:3">
      <c r="A1987" s="68">
        <v>37317.566666666666</v>
      </c>
      <c r="B1987" s="6">
        <v>1.9560185185185201E-2</v>
      </c>
      <c r="C1987" s="5">
        <v>168</v>
      </c>
    </row>
    <row r="1988" spans="1:3">
      <c r="A1988" s="68">
        <v>37317.566666666666</v>
      </c>
      <c r="B1988" s="6">
        <v>1.96180555555556E-2</v>
      </c>
      <c r="C1988" s="5">
        <v>168</v>
      </c>
    </row>
    <row r="1989" spans="1:3">
      <c r="A1989" s="68">
        <v>37317.566666666666</v>
      </c>
      <c r="B1989" s="6">
        <v>1.9675925925925899E-2</v>
      </c>
      <c r="C1989" s="5">
        <v>172</v>
      </c>
    </row>
    <row r="1990" spans="1:3">
      <c r="A1990" s="68">
        <v>37317.566666666666</v>
      </c>
      <c r="B1990" s="6">
        <v>1.9733796296296301E-2</v>
      </c>
      <c r="C1990" s="5">
        <v>172</v>
      </c>
    </row>
    <row r="1991" spans="1:3">
      <c r="A1991" s="68">
        <v>37317.566666666666</v>
      </c>
      <c r="B1991" s="6">
        <v>1.97916666666667E-2</v>
      </c>
      <c r="C1991" s="5">
        <v>172</v>
      </c>
    </row>
    <row r="1992" spans="1:3">
      <c r="A1992" s="68">
        <v>37317.566666666666</v>
      </c>
      <c r="B1992" s="6">
        <v>1.9849537037036999E-2</v>
      </c>
      <c r="C1992" s="5">
        <v>172</v>
      </c>
    </row>
    <row r="1993" spans="1:3">
      <c r="A1993" s="68">
        <v>37317.566666666666</v>
      </c>
      <c r="B1993" s="6">
        <v>1.9907407407407401E-2</v>
      </c>
      <c r="C1993" s="5">
        <v>172</v>
      </c>
    </row>
    <row r="1994" spans="1:3">
      <c r="A1994" s="68">
        <v>37317.566666666666</v>
      </c>
      <c r="B1994" s="6">
        <v>1.9965277777777801E-2</v>
      </c>
      <c r="C1994" s="5">
        <v>173</v>
      </c>
    </row>
    <row r="1995" spans="1:3">
      <c r="A1995" s="68">
        <v>37317.566666666666</v>
      </c>
      <c r="B1995" s="6">
        <v>2.0023148148148099E-2</v>
      </c>
      <c r="C1995" s="5">
        <v>171</v>
      </c>
    </row>
    <row r="1996" spans="1:3">
      <c r="A1996" s="68">
        <v>37317.566666666666</v>
      </c>
      <c r="B1996" s="6">
        <v>2.0081018518518502E-2</v>
      </c>
      <c r="C1996" s="5">
        <v>172</v>
      </c>
    </row>
    <row r="1997" spans="1:3">
      <c r="A1997" s="68">
        <v>37317.566666666666</v>
      </c>
      <c r="B1997" s="6">
        <v>2.0138888888888901E-2</v>
      </c>
      <c r="C1997" s="5">
        <v>173</v>
      </c>
    </row>
    <row r="1998" spans="1:3">
      <c r="A1998" s="68">
        <v>37317.566666666666</v>
      </c>
      <c r="B1998" s="6">
        <v>2.01967592592593E-2</v>
      </c>
      <c r="C1998" s="5">
        <v>173</v>
      </c>
    </row>
    <row r="1999" spans="1:3">
      <c r="A1999" s="68">
        <v>37317.566666666666</v>
      </c>
      <c r="B1999" s="6">
        <v>2.0254629629629602E-2</v>
      </c>
      <c r="C1999" s="5">
        <v>171</v>
      </c>
    </row>
    <row r="2000" spans="1:3">
      <c r="A2000" s="68">
        <v>37317.566666666666</v>
      </c>
      <c r="B2000" s="6">
        <v>2.0312500000000001E-2</v>
      </c>
      <c r="C2000" s="5">
        <v>169</v>
      </c>
    </row>
    <row r="2001" spans="1:3">
      <c r="A2001" s="68">
        <v>37317.566666666666</v>
      </c>
      <c r="B2001" s="6">
        <v>2.03703703703704E-2</v>
      </c>
      <c r="C2001" s="5">
        <v>166</v>
      </c>
    </row>
    <row r="2002" spans="1:3">
      <c r="A2002" s="68">
        <v>37317.566666666666</v>
      </c>
      <c r="B2002" s="6">
        <v>2.0428240740740702E-2</v>
      </c>
      <c r="C2002" s="5">
        <v>164</v>
      </c>
    </row>
    <row r="2003" spans="1:3">
      <c r="A2003" s="68">
        <v>37317.566666666666</v>
      </c>
      <c r="B2003" s="6">
        <v>2.0486111111111101E-2</v>
      </c>
      <c r="C2003" s="5">
        <v>163</v>
      </c>
    </row>
    <row r="2004" spans="1:3">
      <c r="A2004" s="68">
        <v>37317.566666666666</v>
      </c>
      <c r="B2004" s="6">
        <v>2.05439814814815E-2</v>
      </c>
      <c r="C2004" s="5">
        <v>164</v>
      </c>
    </row>
    <row r="2005" spans="1:3">
      <c r="A2005" s="68">
        <v>37317.566666666666</v>
      </c>
      <c r="B2005" s="6">
        <v>2.0601851851851899E-2</v>
      </c>
      <c r="C2005" s="5">
        <v>164</v>
      </c>
    </row>
    <row r="2006" spans="1:3">
      <c r="A2006" s="68">
        <v>37317.566666666666</v>
      </c>
      <c r="B2006" s="6">
        <v>2.0659722222222201E-2</v>
      </c>
      <c r="C2006" s="5">
        <v>159</v>
      </c>
    </row>
    <row r="2007" spans="1:3">
      <c r="A2007" s="68">
        <v>37317.566666666666</v>
      </c>
      <c r="B2007" s="6">
        <v>2.07175925925926E-2</v>
      </c>
      <c r="C2007" s="5">
        <v>162</v>
      </c>
    </row>
    <row r="2008" spans="1:3">
      <c r="A2008" s="68">
        <v>37317.566666666666</v>
      </c>
      <c r="B2008" s="6">
        <v>2.0775462962962999E-2</v>
      </c>
      <c r="C2008" s="5">
        <v>165</v>
      </c>
    </row>
    <row r="2009" spans="1:3">
      <c r="A2009" s="68">
        <v>37317.566666666666</v>
      </c>
      <c r="B2009" s="6">
        <v>2.0833333333333301E-2</v>
      </c>
      <c r="C2009" s="5">
        <v>167</v>
      </c>
    </row>
    <row r="2010" spans="1:3">
      <c r="A2010" s="68">
        <v>37317.566666666666</v>
      </c>
      <c r="B2010" s="6">
        <v>2.08912037037037E-2</v>
      </c>
      <c r="C2010" s="5">
        <v>168</v>
      </c>
    </row>
    <row r="2011" spans="1:3">
      <c r="A2011" s="68">
        <v>37317.566666666666</v>
      </c>
      <c r="B2011" s="6">
        <v>2.0949074074074099E-2</v>
      </c>
      <c r="C2011" s="5">
        <v>169</v>
      </c>
    </row>
    <row r="2012" spans="1:3">
      <c r="A2012" s="68">
        <v>37317.566666666666</v>
      </c>
      <c r="B2012" s="6">
        <v>2.1006944444444401E-2</v>
      </c>
      <c r="C2012" s="5">
        <v>169</v>
      </c>
    </row>
    <row r="2013" spans="1:3">
      <c r="A2013" s="68">
        <v>37317.566666666666</v>
      </c>
      <c r="B2013" s="6">
        <v>2.10648148148148E-2</v>
      </c>
      <c r="C2013" s="5">
        <v>169</v>
      </c>
    </row>
    <row r="2014" spans="1:3">
      <c r="A2014" s="68">
        <v>37317.566666666666</v>
      </c>
      <c r="B2014" s="6">
        <v>2.1122685185185199E-2</v>
      </c>
      <c r="C2014" s="5">
        <v>169</v>
      </c>
    </row>
    <row r="2015" spans="1:3">
      <c r="A2015" s="68">
        <v>37317.566666666666</v>
      </c>
      <c r="B2015" s="6">
        <v>2.1180555555555598E-2</v>
      </c>
      <c r="C2015" s="5">
        <v>169</v>
      </c>
    </row>
    <row r="2016" spans="1:3">
      <c r="A2016" s="68">
        <v>37317.566666666666</v>
      </c>
      <c r="B2016" s="6">
        <v>2.12384259259259E-2</v>
      </c>
      <c r="C2016" s="5">
        <v>169</v>
      </c>
    </row>
    <row r="2017" spans="1:3">
      <c r="A2017" s="68">
        <v>37317.566666666666</v>
      </c>
      <c r="B2017" s="6">
        <v>2.1296296296296299E-2</v>
      </c>
      <c r="C2017" s="5">
        <v>170</v>
      </c>
    </row>
    <row r="2018" spans="1:3">
      <c r="A2018" s="68">
        <v>37317.566666666666</v>
      </c>
      <c r="B2018" s="6">
        <v>2.1354166666666698E-2</v>
      </c>
      <c r="C2018" s="5">
        <v>171</v>
      </c>
    </row>
    <row r="2019" spans="1:3">
      <c r="A2019" s="68">
        <v>37317.566666666666</v>
      </c>
      <c r="B2019" s="6">
        <v>2.1412037037037E-2</v>
      </c>
      <c r="C2019" s="5">
        <v>172</v>
      </c>
    </row>
    <row r="2020" spans="1:3">
      <c r="A2020" s="68">
        <v>37317.566666666666</v>
      </c>
      <c r="B2020" s="6">
        <v>2.1469907407407399E-2</v>
      </c>
      <c r="C2020" s="5">
        <v>172</v>
      </c>
    </row>
    <row r="2021" spans="1:3">
      <c r="A2021" s="68">
        <v>37317.566666666666</v>
      </c>
      <c r="B2021" s="6">
        <v>2.1527777777777798E-2</v>
      </c>
      <c r="C2021" s="5">
        <v>172</v>
      </c>
    </row>
    <row r="2022" spans="1:3">
      <c r="A2022" s="68">
        <v>37317.566666666666</v>
      </c>
      <c r="B2022" s="6">
        <v>2.15856481481481E-2</v>
      </c>
      <c r="C2022" s="5">
        <v>172</v>
      </c>
    </row>
    <row r="2023" spans="1:3">
      <c r="A2023" s="68">
        <v>37317.566666666666</v>
      </c>
      <c r="B2023" s="6">
        <v>2.1643518518518499E-2</v>
      </c>
      <c r="C2023" s="5">
        <v>170</v>
      </c>
    </row>
    <row r="2024" spans="1:3">
      <c r="A2024" s="68">
        <v>37317.566666666666</v>
      </c>
      <c r="B2024" s="6">
        <v>2.1701388888888899E-2</v>
      </c>
      <c r="C2024" s="5">
        <v>170</v>
      </c>
    </row>
    <row r="2025" spans="1:3">
      <c r="A2025" s="68">
        <v>37317.566666666666</v>
      </c>
      <c r="B2025" s="6">
        <v>2.1759259259259301E-2</v>
      </c>
      <c r="C2025" s="5">
        <v>168</v>
      </c>
    </row>
    <row r="2026" spans="1:3">
      <c r="A2026" s="68">
        <v>37317.566666666666</v>
      </c>
      <c r="B2026" s="6">
        <v>2.18171296296296E-2</v>
      </c>
      <c r="C2026" s="5">
        <v>165</v>
      </c>
    </row>
    <row r="2027" spans="1:3">
      <c r="A2027" s="68">
        <v>37317.566666666666</v>
      </c>
      <c r="B2027" s="6">
        <v>2.1874999999999999E-2</v>
      </c>
      <c r="C2027" s="5">
        <v>162</v>
      </c>
    </row>
    <row r="2028" spans="1:3">
      <c r="A2028" s="68">
        <v>37317.566666666666</v>
      </c>
      <c r="B2028" s="6">
        <v>2.1932870370370401E-2</v>
      </c>
      <c r="C2028" s="5">
        <v>160</v>
      </c>
    </row>
    <row r="2029" spans="1:3">
      <c r="A2029" s="68">
        <v>37317.566666666666</v>
      </c>
      <c r="B2029" s="6">
        <v>2.19907407407407E-2</v>
      </c>
      <c r="C2029" s="5">
        <v>160</v>
      </c>
    </row>
    <row r="2030" spans="1:3">
      <c r="A2030" s="68">
        <v>37317.566666666666</v>
      </c>
      <c r="B2030" s="6">
        <v>2.2048611111111099E-2</v>
      </c>
      <c r="C2030" s="5">
        <v>162</v>
      </c>
    </row>
    <row r="2031" spans="1:3">
      <c r="A2031" s="68">
        <v>37317.566666666666</v>
      </c>
      <c r="B2031" s="6">
        <v>2.2106481481481501E-2</v>
      </c>
      <c r="C2031" s="5">
        <v>163</v>
      </c>
    </row>
    <row r="2032" spans="1:3">
      <c r="A2032" s="68">
        <v>37317.566666666666</v>
      </c>
      <c r="B2032" s="6">
        <v>2.21643518518519E-2</v>
      </c>
      <c r="C2032" s="5">
        <v>164</v>
      </c>
    </row>
    <row r="2033" spans="1:3">
      <c r="A2033" s="68">
        <v>37317.566666666666</v>
      </c>
      <c r="B2033" s="6">
        <v>2.2222222222222199E-2</v>
      </c>
      <c r="C2033" s="5">
        <v>166</v>
      </c>
    </row>
    <row r="2034" spans="1:3">
      <c r="A2034" s="68">
        <v>37317.566666666666</v>
      </c>
      <c r="B2034" s="6">
        <v>2.2280092592592601E-2</v>
      </c>
      <c r="C2034" s="5">
        <v>168</v>
      </c>
    </row>
    <row r="2035" spans="1:3">
      <c r="A2035" s="68">
        <v>37317.566666666666</v>
      </c>
      <c r="B2035" s="6">
        <v>2.2337962962963E-2</v>
      </c>
      <c r="C2035" s="5">
        <v>169</v>
      </c>
    </row>
    <row r="2036" spans="1:3">
      <c r="A2036" s="68">
        <v>37317.566666666666</v>
      </c>
      <c r="B2036" s="6">
        <v>2.2395833333333299E-2</v>
      </c>
      <c r="C2036" s="5">
        <v>169</v>
      </c>
    </row>
    <row r="2037" spans="1:3">
      <c r="A2037" s="68">
        <v>37317.566666666666</v>
      </c>
      <c r="B2037" s="6">
        <v>2.2453703703703701E-2</v>
      </c>
      <c r="C2037" s="5">
        <v>168</v>
      </c>
    </row>
    <row r="2038" spans="1:3">
      <c r="A2038" s="68">
        <v>37317.566666666666</v>
      </c>
      <c r="B2038" s="6">
        <v>2.25115740740741E-2</v>
      </c>
      <c r="C2038" s="5">
        <v>168</v>
      </c>
    </row>
    <row r="2039" spans="1:3">
      <c r="A2039" s="68">
        <v>37317.566666666666</v>
      </c>
      <c r="B2039" s="6">
        <v>2.2569444444444399E-2</v>
      </c>
      <c r="C2039" s="5">
        <v>169</v>
      </c>
    </row>
    <row r="2040" spans="1:3">
      <c r="A2040" s="68">
        <v>37317.566666666666</v>
      </c>
      <c r="B2040" s="6">
        <v>2.2627314814814802E-2</v>
      </c>
      <c r="C2040" s="5">
        <v>170</v>
      </c>
    </row>
    <row r="2041" spans="1:3">
      <c r="A2041" s="68">
        <v>37317.566666666666</v>
      </c>
      <c r="B2041" s="6">
        <v>2.2685185185185201E-2</v>
      </c>
      <c r="C2041" s="5">
        <v>171</v>
      </c>
    </row>
    <row r="2042" spans="1:3">
      <c r="A2042" s="68">
        <v>37317.566666666666</v>
      </c>
      <c r="B2042" s="6">
        <v>2.27430555555556E-2</v>
      </c>
      <c r="C2042" s="5">
        <v>172</v>
      </c>
    </row>
    <row r="2043" spans="1:3">
      <c r="A2043" s="68">
        <v>37317.566666666666</v>
      </c>
      <c r="B2043" s="6">
        <v>2.2800925925925902E-2</v>
      </c>
      <c r="C2043" s="5">
        <v>173</v>
      </c>
    </row>
    <row r="2044" spans="1:3">
      <c r="A2044" s="68">
        <v>37317.566666666666</v>
      </c>
      <c r="B2044" s="6">
        <v>2.2858796296296301E-2</v>
      </c>
      <c r="C2044" s="5">
        <v>174</v>
      </c>
    </row>
    <row r="2045" spans="1:3">
      <c r="A2045" s="68">
        <v>37317.566666666666</v>
      </c>
      <c r="B2045" s="6">
        <v>2.29166666666667E-2</v>
      </c>
      <c r="C2045" s="5">
        <v>173</v>
      </c>
    </row>
    <row r="2046" spans="1:3">
      <c r="A2046" s="68">
        <v>37317.566666666666</v>
      </c>
      <c r="B2046" s="6">
        <v>2.2974537037037002E-2</v>
      </c>
      <c r="C2046" s="5">
        <v>174</v>
      </c>
    </row>
    <row r="2047" spans="1:3">
      <c r="A2047" s="68">
        <v>37317.566666666666</v>
      </c>
      <c r="B2047" s="6">
        <v>2.3032407407407401E-2</v>
      </c>
      <c r="C2047" s="5">
        <v>174</v>
      </c>
    </row>
    <row r="2048" spans="1:3">
      <c r="A2048" s="68">
        <v>37317.566666666666</v>
      </c>
      <c r="B2048" s="6">
        <v>2.30902777777778E-2</v>
      </c>
      <c r="C2048" s="5">
        <v>172</v>
      </c>
    </row>
    <row r="2049" spans="1:3">
      <c r="A2049" s="68">
        <v>37317.566666666666</v>
      </c>
      <c r="B2049" s="6">
        <v>2.3148148148148098E-2</v>
      </c>
      <c r="C2049" s="5">
        <v>171</v>
      </c>
    </row>
    <row r="2050" spans="1:3">
      <c r="A2050" s="68">
        <v>37317.566666666666</v>
      </c>
      <c r="B2050" s="6">
        <v>2.3206018518518501E-2</v>
      </c>
      <c r="C2050" s="5">
        <v>169</v>
      </c>
    </row>
    <row r="2051" spans="1:3">
      <c r="A2051" s="68">
        <v>37317.566666666666</v>
      </c>
      <c r="B2051" s="6">
        <v>2.32638888888889E-2</v>
      </c>
      <c r="C2051" s="5">
        <v>166</v>
      </c>
    </row>
    <row r="2052" spans="1:3">
      <c r="A2052" s="68">
        <v>37317.566666666666</v>
      </c>
      <c r="B2052" s="6">
        <v>2.3321759259259299E-2</v>
      </c>
      <c r="C2052" s="5">
        <v>163</v>
      </c>
    </row>
    <row r="2053" spans="1:3">
      <c r="A2053" s="68">
        <v>37317.566666666666</v>
      </c>
      <c r="B2053" s="6">
        <v>2.3379629629629601E-2</v>
      </c>
      <c r="C2053" s="5">
        <v>165</v>
      </c>
    </row>
    <row r="2054" spans="1:3">
      <c r="A2054" s="68">
        <v>37317.566666666666</v>
      </c>
      <c r="B2054" s="6">
        <v>2.34375E-2</v>
      </c>
      <c r="C2054" s="5">
        <v>166</v>
      </c>
    </row>
    <row r="2055" spans="1:3">
      <c r="A2055" s="68">
        <v>37317.566666666666</v>
      </c>
      <c r="B2055" s="6">
        <v>2.3495370370370399E-2</v>
      </c>
      <c r="C2055" s="5">
        <v>166</v>
      </c>
    </row>
    <row r="2056" spans="1:3">
      <c r="A2056" s="68">
        <v>37317.566666666666</v>
      </c>
      <c r="B2056" s="6">
        <v>2.3553240740740701E-2</v>
      </c>
      <c r="C2056" s="5">
        <v>167</v>
      </c>
    </row>
    <row r="2057" spans="1:3">
      <c r="A2057" s="68">
        <v>37317.566666666666</v>
      </c>
      <c r="B2057" s="6">
        <v>2.36111111111111E-2</v>
      </c>
      <c r="C2057" s="5">
        <v>168</v>
      </c>
    </row>
    <row r="2058" spans="1:3">
      <c r="A2058" s="68">
        <v>37317.566666666666</v>
      </c>
      <c r="B2058" s="6">
        <v>2.3668981481481499E-2</v>
      </c>
      <c r="C2058" s="5">
        <v>168</v>
      </c>
    </row>
    <row r="2059" spans="1:3">
      <c r="A2059" s="68">
        <v>37317.566666666666</v>
      </c>
      <c r="B2059" s="6">
        <v>2.3726851851851801E-2</v>
      </c>
      <c r="C2059" s="5">
        <v>170</v>
      </c>
    </row>
    <row r="2060" spans="1:3">
      <c r="A2060" s="68">
        <v>37317.566666666666</v>
      </c>
      <c r="B2060" s="6">
        <v>2.37847222222222E-2</v>
      </c>
      <c r="C2060" s="5">
        <v>171</v>
      </c>
    </row>
    <row r="2061" spans="1:3">
      <c r="A2061" s="68">
        <v>37317.566666666666</v>
      </c>
      <c r="B2061" s="6">
        <v>2.3842592592592599E-2</v>
      </c>
      <c r="C2061" s="5">
        <v>171</v>
      </c>
    </row>
    <row r="2062" spans="1:3">
      <c r="A2062" s="68">
        <v>37317.566666666666</v>
      </c>
      <c r="B2062" s="6">
        <v>2.3900462962962998E-2</v>
      </c>
      <c r="C2062" s="5">
        <v>171</v>
      </c>
    </row>
    <row r="2063" spans="1:3">
      <c r="A2063" s="68">
        <v>37317.566666666666</v>
      </c>
      <c r="B2063" s="6">
        <v>2.39583333333333E-2</v>
      </c>
      <c r="C2063" s="5">
        <v>170</v>
      </c>
    </row>
    <row r="2064" spans="1:3">
      <c r="A2064" s="68">
        <v>37317.566666666666</v>
      </c>
      <c r="B2064" s="6">
        <v>2.4016203703703699E-2</v>
      </c>
      <c r="C2064" s="5">
        <v>171</v>
      </c>
    </row>
    <row r="2065" spans="1:3">
      <c r="A2065" s="68">
        <v>37317.566666666666</v>
      </c>
      <c r="B2065" s="6">
        <v>2.4074074074074098E-2</v>
      </c>
      <c r="C2065" s="5">
        <v>171</v>
      </c>
    </row>
    <row r="2066" spans="1:3">
      <c r="A2066" s="68">
        <v>37317.566666666666</v>
      </c>
      <c r="B2066" s="6">
        <v>2.41319444444444E-2</v>
      </c>
      <c r="C2066" s="5">
        <v>172</v>
      </c>
    </row>
    <row r="2067" spans="1:3">
      <c r="A2067" s="68">
        <v>37317.566666666666</v>
      </c>
      <c r="B2067" s="6">
        <v>2.4189814814814799E-2</v>
      </c>
      <c r="C2067" s="5">
        <v>172</v>
      </c>
    </row>
    <row r="2068" spans="1:3">
      <c r="A2068" s="68">
        <v>37317.566666666666</v>
      </c>
      <c r="B2068" s="6">
        <v>2.4247685185185198E-2</v>
      </c>
      <c r="C2068" s="5">
        <v>173</v>
      </c>
    </row>
    <row r="2069" spans="1:3">
      <c r="A2069" s="68">
        <v>37317.566666666666</v>
      </c>
      <c r="B2069" s="6">
        <v>2.4305555555555601E-2</v>
      </c>
      <c r="C2069" s="5">
        <v>173</v>
      </c>
    </row>
    <row r="2070" spans="1:3">
      <c r="A2070" s="68">
        <v>37317.566666666666</v>
      </c>
      <c r="B2070" s="6">
        <v>2.43634259259259E-2</v>
      </c>
      <c r="C2070" s="5">
        <v>174</v>
      </c>
    </row>
    <row r="2071" spans="1:3">
      <c r="A2071" s="68">
        <v>37317.566666666666</v>
      </c>
      <c r="B2071" s="6">
        <v>2.4421296296296299E-2</v>
      </c>
      <c r="C2071" s="5">
        <v>175</v>
      </c>
    </row>
    <row r="2072" spans="1:3">
      <c r="A2072" s="68">
        <v>37317.566666666666</v>
      </c>
      <c r="B2072" s="6">
        <v>2.4479166666666701E-2</v>
      </c>
      <c r="C2072" s="5">
        <v>177</v>
      </c>
    </row>
    <row r="2073" spans="1:3">
      <c r="A2073" s="68">
        <v>37317.566666666666</v>
      </c>
      <c r="B2073" s="6">
        <v>2.4537037037037E-2</v>
      </c>
      <c r="C2073" s="5">
        <v>176</v>
      </c>
    </row>
    <row r="2074" spans="1:3">
      <c r="A2074" s="68">
        <v>37317.566666666666</v>
      </c>
      <c r="B2074" s="6">
        <v>2.4594907407407399E-2</v>
      </c>
      <c r="C2074" s="5">
        <v>172</v>
      </c>
    </row>
    <row r="2075" spans="1:3">
      <c r="A2075" s="68">
        <v>37317.566666666666</v>
      </c>
      <c r="B2075" s="6">
        <v>2.4652777777777801E-2</v>
      </c>
      <c r="C2075" s="5">
        <v>171</v>
      </c>
    </row>
    <row r="2076" spans="1:3">
      <c r="A2076" s="68">
        <v>37317.566666666666</v>
      </c>
      <c r="B2076" s="6">
        <v>2.47106481481481E-2</v>
      </c>
      <c r="C2076" s="5">
        <v>167</v>
      </c>
    </row>
    <row r="2077" spans="1:3">
      <c r="A2077" s="68">
        <v>37317.566666666666</v>
      </c>
      <c r="B2077" s="6">
        <v>2.4768518518518499E-2</v>
      </c>
      <c r="C2077" s="5">
        <v>166</v>
      </c>
    </row>
    <row r="2078" spans="1:3">
      <c r="A2078" s="68">
        <v>37317.566666666666</v>
      </c>
      <c r="B2078" s="6">
        <v>2.4826388888888901E-2</v>
      </c>
      <c r="C2078" s="5">
        <v>166</v>
      </c>
    </row>
    <row r="2079" spans="1:3">
      <c r="A2079" s="68">
        <v>37317.566666666666</v>
      </c>
      <c r="B2079" s="6">
        <v>2.48842592592593E-2</v>
      </c>
      <c r="C2079" s="5">
        <v>167</v>
      </c>
    </row>
    <row r="2080" spans="1:3">
      <c r="A2080" s="68">
        <v>37317.566666666666</v>
      </c>
      <c r="B2080" s="6">
        <v>2.4942129629629599E-2</v>
      </c>
      <c r="C2080" s="5">
        <v>168</v>
      </c>
    </row>
    <row r="2081" spans="1:3">
      <c r="A2081" s="68">
        <v>37317.566666666666</v>
      </c>
      <c r="B2081" s="6">
        <v>2.5000000000000001E-2</v>
      </c>
      <c r="C2081" s="5">
        <v>169</v>
      </c>
    </row>
    <row r="2082" spans="1:3">
      <c r="A2082" s="68">
        <v>37317.566666666666</v>
      </c>
      <c r="B2082" s="6">
        <v>2.50578703703704E-2</v>
      </c>
      <c r="C2082" s="5">
        <v>170</v>
      </c>
    </row>
    <row r="2083" spans="1:3">
      <c r="A2083" s="68">
        <v>37317.566666666666</v>
      </c>
      <c r="B2083" s="6">
        <v>2.5115740740740699E-2</v>
      </c>
      <c r="C2083" s="5">
        <v>170</v>
      </c>
    </row>
    <row r="2084" spans="1:3">
      <c r="A2084" s="68">
        <v>37317.566666666666</v>
      </c>
      <c r="B2084" s="6">
        <v>2.5173611111111101E-2</v>
      </c>
      <c r="C2084" s="5">
        <v>171</v>
      </c>
    </row>
    <row r="2085" spans="1:3">
      <c r="A2085" s="68">
        <v>37317.566666666666</v>
      </c>
      <c r="B2085" s="6">
        <v>2.5231481481481501E-2</v>
      </c>
      <c r="C2085" s="5">
        <v>171</v>
      </c>
    </row>
    <row r="2086" spans="1:3">
      <c r="A2086" s="68">
        <v>37317.566666666666</v>
      </c>
      <c r="B2086" s="6">
        <v>2.52893518518519E-2</v>
      </c>
      <c r="C2086" s="5">
        <v>171</v>
      </c>
    </row>
    <row r="2087" spans="1:3">
      <c r="A2087" s="68">
        <v>37317.566666666666</v>
      </c>
      <c r="B2087" s="6">
        <v>2.5347222222222202E-2</v>
      </c>
      <c r="C2087" s="5">
        <v>171</v>
      </c>
    </row>
    <row r="2088" spans="1:3">
      <c r="A2088" s="68">
        <v>37317.566666666666</v>
      </c>
      <c r="B2088" s="6">
        <v>2.5405092592592601E-2</v>
      </c>
      <c r="C2088" s="5">
        <v>172</v>
      </c>
    </row>
    <row r="2089" spans="1:3">
      <c r="A2089" s="68">
        <v>37317.566666666666</v>
      </c>
      <c r="B2089" s="6">
        <v>2.5462962962963E-2</v>
      </c>
      <c r="C2089" s="5">
        <v>172</v>
      </c>
    </row>
    <row r="2090" spans="1:3">
      <c r="A2090" s="68">
        <v>37317.566666666666</v>
      </c>
      <c r="B2090" s="6">
        <v>2.5520833333333302E-2</v>
      </c>
      <c r="C2090" s="5">
        <v>172</v>
      </c>
    </row>
    <row r="2091" spans="1:3">
      <c r="A2091" s="68">
        <v>37317.566666666666</v>
      </c>
      <c r="B2091" s="6">
        <v>2.5578703703703701E-2</v>
      </c>
      <c r="C2091" s="5">
        <v>172</v>
      </c>
    </row>
    <row r="2092" spans="1:3">
      <c r="A2092" s="68">
        <v>37317.566666666666</v>
      </c>
      <c r="B2092" s="6">
        <v>2.56365740740741E-2</v>
      </c>
      <c r="C2092" s="5">
        <v>173</v>
      </c>
    </row>
    <row r="2093" spans="1:3">
      <c r="A2093" s="68">
        <v>37317.566666666666</v>
      </c>
      <c r="B2093" s="6">
        <v>2.5694444444444402E-2</v>
      </c>
      <c r="C2093" s="5">
        <v>174</v>
      </c>
    </row>
    <row r="2094" spans="1:3">
      <c r="A2094" s="68">
        <v>37317.566666666666</v>
      </c>
      <c r="B2094" s="6">
        <v>2.5752314814814801E-2</v>
      </c>
      <c r="C2094" s="5">
        <v>175</v>
      </c>
    </row>
    <row r="2095" spans="1:3">
      <c r="A2095" s="68">
        <v>37317.566666666666</v>
      </c>
      <c r="B2095" s="6">
        <v>2.58101851851852E-2</v>
      </c>
      <c r="C2095" s="5">
        <v>176</v>
      </c>
    </row>
    <row r="2096" spans="1:3">
      <c r="A2096" s="68">
        <v>37317.566666666666</v>
      </c>
      <c r="B2096" s="6">
        <v>2.5868055555555599E-2</v>
      </c>
      <c r="C2096" s="5">
        <v>175</v>
      </c>
    </row>
    <row r="2097" spans="1:3">
      <c r="A2097" s="68">
        <v>37317.566666666666</v>
      </c>
      <c r="B2097" s="6">
        <v>2.5925925925925901E-2</v>
      </c>
      <c r="C2097" s="5">
        <v>176</v>
      </c>
    </row>
    <row r="2098" spans="1:3">
      <c r="A2098" s="68">
        <v>37317.566666666666</v>
      </c>
      <c r="B2098" s="6">
        <v>2.59837962962963E-2</v>
      </c>
      <c r="C2098" s="5">
        <v>173</v>
      </c>
    </row>
    <row r="2099" spans="1:3">
      <c r="A2099" s="68">
        <v>37317.566666666666</v>
      </c>
      <c r="B2099" s="6">
        <v>2.6041666666666699E-2</v>
      </c>
      <c r="C2099" s="5">
        <v>171</v>
      </c>
    </row>
    <row r="2100" spans="1:3">
      <c r="A2100" s="68">
        <v>37317.566666666666</v>
      </c>
      <c r="B2100" s="6">
        <v>2.6099537037037001E-2</v>
      </c>
      <c r="C2100" s="5">
        <v>169</v>
      </c>
    </row>
    <row r="2101" spans="1:3">
      <c r="A2101" s="68">
        <v>37317.566666666666</v>
      </c>
      <c r="B2101" s="6">
        <v>2.61574074074074E-2</v>
      </c>
      <c r="C2101" s="5">
        <v>167</v>
      </c>
    </row>
    <row r="2102" spans="1:3">
      <c r="A2102" s="68">
        <v>37317.566666666666</v>
      </c>
      <c r="B2102" s="6">
        <v>2.6215277777777799E-2</v>
      </c>
      <c r="C2102" s="5">
        <v>166</v>
      </c>
    </row>
    <row r="2103" spans="1:3">
      <c r="A2103" s="68">
        <v>37317.566666666666</v>
      </c>
      <c r="B2103" s="6">
        <v>2.6273148148148101E-2</v>
      </c>
      <c r="C2103" s="5">
        <v>166</v>
      </c>
    </row>
    <row r="2104" spans="1:3">
      <c r="A2104" s="68">
        <v>37317.566666666666</v>
      </c>
      <c r="B2104" s="6">
        <v>2.63310185185185E-2</v>
      </c>
      <c r="C2104" s="5">
        <v>165</v>
      </c>
    </row>
    <row r="2105" spans="1:3">
      <c r="A2105" s="68">
        <v>37317.566666666666</v>
      </c>
      <c r="B2105" s="6">
        <v>2.6388888888888899E-2</v>
      </c>
      <c r="C2105" s="5">
        <v>166</v>
      </c>
    </row>
    <row r="2106" spans="1:3">
      <c r="A2106" s="68">
        <v>37317.566666666666</v>
      </c>
      <c r="B2106" s="6">
        <v>2.6446759259259298E-2</v>
      </c>
      <c r="C2106" s="5">
        <v>167</v>
      </c>
    </row>
    <row r="2107" spans="1:3">
      <c r="A2107" s="68">
        <v>37317.566666666666</v>
      </c>
      <c r="B2107" s="6">
        <v>2.65046296296296E-2</v>
      </c>
      <c r="C2107" s="5">
        <v>166</v>
      </c>
    </row>
    <row r="2108" spans="1:3">
      <c r="A2108" s="68">
        <v>37317.566666666666</v>
      </c>
      <c r="B2108" s="6">
        <v>2.6562499999999999E-2</v>
      </c>
      <c r="C2108" s="5">
        <v>167</v>
      </c>
    </row>
    <row r="2109" spans="1:3">
      <c r="A2109" s="68">
        <v>37317.566666666666</v>
      </c>
      <c r="B2109" s="6">
        <v>2.6620370370370398E-2</v>
      </c>
      <c r="C2109" s="5">
        <v>169</v>
      </c>
    </row>
    <row r="2110" spans="1:3">
      <c r="A2110" s="68">
        <v>37317.566666666666</v>
      </c>
      <c r="B2110" s="6">
        <v>2.66782407407407E-2</v>
      </c>
      <c r="C2110" s="5">
        <v>169</v>
      </c>
    </row>
    <row r="2111" spans="1:3">
      <c r="A2111" s="68">
        <v>37317.566666666666</v>
      </c>
      <c r="B2111" s="6">
        <v>2.6736111111111099E-2</v>
      </c>
      <c r="C2111" s="5">
        <v>171</v>
      </c>
    </row>
    <row r="2112" spans="1:3">
      <c r="A2112" s="68">
        <v>37317.566666666666</v>
      </c>
      <c r="B2112" s="6">
        <v>2.6793981481481498E-2</v>
      </c>
      <c r="C2112" s="5">
        <v>171</v>
      </c>
    </row>
    <row r="2113" spans="1:3">
      <c r="A2113" s="68">
        <v>37317.566666666666</v>
      </c>
      <c r="B2113" s="6">
        <v>2.68518518518518E-2</v>
      </c>
      <c r="C2113" s="5">
        <v>171</v>
      </c>
    </row>
    <row r="2114" spans="1:3">
      <c r="A2114" s="68">
        <v>37317.566666666666</v>
      </c>
      <c r="B2114" s="6">
        <v>2.6909722222222199E-2</v>
      </c>
      <c r="C2114" s="5">
        <v>171</v>
      </c>
    </row>
    <row r="2115" spans="1:3">
      <c r="A2115" s="68">
        <v>37317.566666666666</v>
      </c>
      <c r="B2115" s="6">
        <v>2.6967592592592599E-2</v>
      </c>
      <c r="C2115" s="5">
        <v>172</v>
      </c>
    </row>
    <row r="2116" spans="1:3">
      <c r="A2116" s="68">
        <v>37317.566666666666</v>
      </c>
      <c r="B2116" s="6">
        <v>2.7025462962963001E-2</v>
      </c>
      <c r="C2116" s="5">
        <v>174</v>
      </c>
    </row>
    <row r="2117" spans="1:3">
      <c r="A2117" s="68">
        <v>37317.566666666666</v>
      </c>
      <c r="B2117" s="6">
        <v>2.70833333333333E-2</v>
      </c>
      <c r="C2117" s="5">
        <v>175</v>
      </c>
    </row>
    <row r="2118" spans="1:3">
      <c r="A2118" s="68">
        <v>37317.566666666666</v>
      </c>
      <c r="B2118" s="6">
        <v>2.7141203703703699E-2</v>
      </c>
      <c r="C2118" s="5">
        <v>174</v>
      </c>
    </row>
    <row r="2119" spans="1:3">
      <c r="A2119" s="68">
        <v>37317.566666666666</v>
      </c>
      <c r="B2119" s="6">
        <v>2.7199074074074101E-2</v>
      </c>
      <c r="C2119" s="5">
        <v>174</v>
      </c>
    </row>
    <row r="2120" spans="1:3">
      <c r="A2120" s="68">
        <v>37317.566666666666</v>
      </c>
      <c r="B2120" s="6">
        <v>2.72569444444444E-2</v>
      </c>
      <c r="C2120" s="5">
        <v>174</v>
      </c>
    </row>
    <row r="2121" spans="1:3">
      <c r="A2121" s="68">
        <v>37317.566666666666</v>
      </c>
      <c r="B2121" s="6">
        <v>2.7314814814814799E-2</v>
      </c>
      <c r="C2121" s="5">
        <v>174</v>
      </c>
    </row>
    <row r="2122" spans="1:3">
      <c r="A2122" s="68">
        <v>37317.566666666666</v>
      </c>
      <c r="B2122" s="6">
        <v>2.7372685185185201E-2</v>
      </c>
      <c r="C2122" s="5">
        <v>175</v>
      </c>
    </row>
    <row r="2123" spans="1:3">
      <c r="A2123" s="68">
        <v>37317.566666666666</v>
      </c>
      <c r="B2123" s="6">
        <v>2.74305555555556E-2</v>
      </c>
      <c r="C2123" s="5">
        <v>173</v>
      </c>
    </row>
    <row r="2124" spans="1:3">
      <c r="A2124" s="68">
        <v>37317.566666666666</v>
      </c>
      <c r="B2124" s="6">
        <v>2.7488425925925899E-2</v>
      </c>
      <c r="C2124" s="5">
        <v>172</v>
      </c>
    </row>
    <row r="2125" spans="1:3">
      <c r="A2125" s="68">
        <v>37317.566666666666</v>
      </c>
      <c r="B2125" s="6">
        <v>2.7546296296296301E-2</v>
      </c>
      <c r="C2125" s="5">
        <v>170</v>
      </c>
    </row>
    <row r="2126" spans="1:3">
      <c r="A2126" s="68">
        <v>37317.566666666666</v>
      </c>
      <c r="B2126" s="6">
        <v>2.76041666666667E-2</v>
      </c>
      <c r="C2126" s="5">
        <v>168</v>
      </c>
    </row>
    <row r="2127" spans="1:3">
      <c r="A2127" s="68">
        <v>37317.566666666666</v>
      </c>
      <c r="B2127" s="6">
        <v>2.7662037037036999E-2</v>
      </c>
      <c r="C2127" s="5">
        <v>167</v>
      </c>
    </row>
    <row r="2128" spans="1:3">
      <c r="A2128" s="68">
        <v>37317.566666666666</v>
      </c>
      <c r="B2128" s="6">
        <v>2.7719907407407401E-2</v>
      </c>
      <c r="C2128" s="5">
        <v>166</v>
      </c>
    </row>
    <row r="2129" spans="1:3">
      <c r="A2129" s="68">
        <v>37317.566666666666</v>
      </c>
      <c r="B2129" s="6">
        <v>2.7777777777777801E-2</v>
      </c>
      <c r="C2129" s="5">
        <v>165</v>
      </c>
    </row>
    <row r="2130" spans="1:3">
      <c r="A2130" s="68">
        <v>37317.566666666666</v>
      </c>
      <c r="B2130" s="6">
        <v>2.7835648148148099E-2</v>
      </c>
      <c r="C2130" s="5">
        <v>166</v>
      </c>
    </row>
    <row r="2131" spans="1:3">
      <c r="A2131" s="68">
        <v>37317.566666666666</v>
      </c>
      <c r="B2131" s="6">
        <v>2.7893518518518502E-2</v>
      </c>
      <c r="C2131" s="5">
        <v>167</v>
      </c>
    </row>
    <row r="2132" spans="1:3">
      <c r="A2132" s="68">
        <v>37317.566666666666</v>
      </c>
      <c r="B2132" s="6">
        <v>2.7951388888888901E-2</v>
      </c>
      <c r="C2132" s="5">
        <v>168</v>
      </c>
    </row>
    <row r="2133" spans="1:3">
      <c r="A2133" s="68">
        <v>37317.566666666666</v>
      </c>
      <c r="B2133" s="6">
        <v>2.80092592592593E-2</v>
      </c>
      <c r="C2133" s="5">
        <v>168</v>
      </c>
    </row>
    <row r="2134" spans="1:3">
      <c r="A2134" s="68">
        <v>37317.566666666666</v>
      </c>
      <c r="B2134" s="6">
        <v>2.8067129629629602E-2</v>
      </c>
      <c r="C2134" s="5">
        <v>168</v>
      </c>
    </row>
    <row r="2135" spans="1:3">
      <c r="A2135" s="68">
        <v>37317.566666666666</v>
      </c>
      <c r="B2135" s="6">
        <v>2.8125000000000001E-2</v>
      </c>
      <c r="C2135" s="5">
        <v>169</v>
      </c>
    </row>
    <row r="2136" spans="1:3">
      <c r="A2136" s="68">
        <v>37317.566666666666</v>
      </c>
      <c r="B2136" s="6">
        <v>2.81828703703704E-2</v>
      </c>
      <c r="C2136" s="5">
        <v>170</v>
      </c>
    </row>
    <row r="2137" spans="1:3">
      <c r="A2137" s="68">
        <v>37317.566666666666</v>
      </c>
      <c r="B2137" s="6">
        <v>2.8240740740740702E-2</v>
      </c>
      <c r="C2137" s="5">
        <v>170</v>
      </c>
    </row>
    <row r="2138" spans="1:3">
      <c r="A2138" s="68">
        <v>37317.566666666666</v>
      </c>
      <c r="B2138" s="6">
        <v>2.8298611111111101E-2</v>
      </c>
      <c r="C2138" s="5">
        <v>171</v>
      </c>
    </row>
    <row r="2139" spans="1:3">
      <c r="A2139" s="68">
        <v>37317.566666666666</v>
      </c>
      <c r="B2139" s="6">
        <v>2.83564814814815E-2</v>
      </c>
      <c r="C2139" s="5">
        <v>171</v>
      </c>
    </row>
    <row r="2140" spans="1:3">
      <c r="A2140" s="68">
        <v>37317.566666666666</v>
      </c>
      <c r="B2140" s="6">
        <v>2.8414351851851899E-2</v>
      </c>
      <c r="C2140" s="5">
        <v>172</v>
      </c>
    </row>
    <row r="2141" spans="1:3">
      <c r="A2141" s="68">
        <v>37317.566666666666</v>
      </c>
      <c r="B2141" s="6">
        <v>2.8472222222222201E-2</v>
      </c>
      <c r="C2141" s="5">
        <v>172</v>
      </c>
    </row>
    <row r="2142" spans="1:3">
      <c r="A2142" s="68">
        <v>37317.566666666666</v>
      </c>
      <c r="B2142" s="6">
        <v>2.85300925925926E-2</v>
      </c>
      <c r="C2142" s="5">
        <v>172</v>
      </c>
    </row>
    <row r="2143" spans="1:3">
      <c r="A2143" s="68">
        <v>37317.566666666666</v>
      </c>
      <c r="B2143" s="6">
        <v>2.8587962962962999E-2</v>
      </c>
      <c r="C2143" s="5">
        <v>170</v>
      </c>
    </row>
    <row r="2144" spans="1:3">
      <c r="A2144" s="68">
        <v>37317.566666666666</v>
      </c>
      <c r="B2144" s="6">
        <v>2.8645833333333301E-2</v>
      </c>
      <c r="C2144" s="5">
        <v>170</v>
      </c>
    </row>
    <row r="2145" spans="1:3">
      <c r="A2145" s="68">
        <v>37317.566666666666</v>
      </c>
      <c r="B2145" s="6">
        <v>2.87037037037037E-2</v>
      </c>
      <c r="C2145" s="5">
        <v>171</v>
      </c>
    </row>
    <row r="2146" spans="1:3">
      <c r="A2146" s="68">
        <v>37317.566666666666</v>
      </c>
      <c r="B2146" s="6">
        <v>2.8761574074074099E-2</v>
      </c>
      <c r="C2146" s="5">
        <v>172</v>
      </c>
    </row>
    <row r="2147" spans="1:3">
      <c r="A2147" s="68">
        <v>37317.566666666666</v>
      </c>
      <c r="B2147" s="6">
        <v>2.8819444444444401E-2</v>
      </c>
      <c r="C2147" s="5">
        <v>172</v>
      </c>
    </row>
    <row r="2148" spans="1:3">
      <c r="A2148" s="68">
        <v>37317.566666666666</v>
      </c>
      <c r="B2148" s="6">
        <v>2.88773148148148E-2</v>
      </c>
      <c r="C2148" s="5">
        <v>172</v>
      </c>
    </row>
    <row r="2149" spans="1:3">
      <c r="A2149" s="68">
        <v>37317.566666666666</v>
      </c>
      <c r="B2149" s="6">
        <v>2.8935185185185199E-2</v>
      </c>
      <c r="C2149" s="5">
        <v>170</v>
      </c>
    </row>
    <row r="2150" spans="1:3">
      <c r="A2150" s="68">
        <v>37317.566666666666</v>
      </c>
      <c r="B2150" s="6">
        <v>2.8993055555555598E-2</v>
      </c>
      <c r="C2150" s="5">
        <v>168</v>
      </c>
    </row>
    <row r="2151" spans="1:3">
      <c r="A2151" s="68">
        <v>37317.566666666666</v>
      </c>
      <c r="B2151" s="6">
        <v>2.90509259259259E-2</v>
      </c>
      <c r="C2151" s="5">
        <v>165</v>
      </c>
    </row>
    <row r="2152" spans="1:3">
      <c r="A2152" s="68">
        <v>37317.566666666666</v>
      </c>
      <c r="B2152" s="6">
        <v>2.9108796296296299E-2</v>
      </c>
      <c r="C2152" s="5">
        <v>160</v>
      </c>
    </row>
    <row r="2153" spans="1:3">
      <c r="A2153" s="68">
        <v>37317.566666666666</v>
      </c>
      <c r="B2153" s="6">
        <v>2.9166666666666698E-2</v>
      </c>
      <c r="C2153" s="5">
        <v>157</v>
      </c>
    </row>
    <row r="2154" spans="1:3">
      <c r="A2154" s="68">
        <v>37317.566666666666</v>
      </c>
      <c r="B2154" s="6">
        <v>2.9224537037037E-2</v>
      </c>
      <c r="C2154" s="5">
        <v>153</v>
      </c>
    </row>
    <row r="2155" spans="1:3">
      <c r="A2155" s="68">
        <v>37317.566666666666</v>
      </c>
      <c r="B2155" s="6">
        <v>2.9282407407407399E-2</v>
      </c>
      <c r="C2155" s="5">
        <v>153</v>
      </c>
    </row>
    <row r="2156" spans="1:3">
      <c r="A2156" s="68">
        <v>37317.566666666666</v>
      </c>
      <c r="B2156" s="6">
        <v>2.9340277777777798E-2</v>
      </c>
      <c r="C2156" s="5">
        <v>146</v>
      </c>
    </row>
    <row r="2157" spans="1:3">
      <c r="A2157" s="68">
        <v>37317.566666666666</v>
      </c>
      <c r="B2157" s="6">
        <v>2.93981481481481E-2</v>
      </c>
      <c r="C2157" s="5">
        <v>143</v>
      </c>
    </row>
    <row r="2158" spans="1:3">
      <c r="A2158" s="68">
        <v>37317.566666666666</v>
      </c>
      <c r="B2158" s="6">
        <v>2.9456018518518499E-2</v>
      </c>
      <c r="C2158" s="5">
        <v>141</v>
      </c>
    </row>
    <row r="2159" spans="1:3">
      <c r="A2159" s="68">
        <v>37317.566666666666</v>
      </c>
      <c r="B2159" s="6">
        <v>2.9513888888888899E-2</v>
      </c>
      <c r="C2159" s="5">
        <v>139</v>
      </c>
    </row>
    <row r="2160" spans="1:3">
      <c r="A2160" s="68">
        <v>37317.566666666666</v>
      </c>
      <c r="B2160" s="6">
        <v>2.9571759259259301E-2</v>
      </c>
      <c r="C2160" s="5">
        <v>137</v>
      </c>
    </row>
    <row r="2161" spans="1:3">
      <c r="A2161" s="68">
        <v>37317.566666666666</v>
      </c>
      <c r="B2161" s="6">
        <v>2.96296296296296E-2</v>
      </c>
      <c r="C2161" s="5">
        <v>135</v>
      </c>
    </row>
    <row r="2162" spans="1:3">
      <c r="A2162" s="68">
        <v>37317.566666666666</v>
      </c>
      <c r="B2162" s="6">
        <v>2.9687499999999999E-2</v>
      </c>
      <c r="C2162" s="5">
        <v>134</v>
      </c>
    </row>
    <row r="2163" spans="1:3">
      <c r="A2163" s="68">
        <v>37317.566666666666</v>
      </c>
      <c r="B2163" s="6">
        <v>2.9745370370370401E-2</v>
      </c>
      <c r="C2163" s="5">
        <v>132</v>
      </c>
    </row>
    <row r="2164" spans="1:3">
      <c r="A2164" s="68">
        <v>37317.566666666666</v>
      </c>
      <c r="B2164" s="6">
        <v>2.98032407407407E-2</v>
      </c>
      <c r="C2164" s="5">
        <v>131</v>
      </c>
    </row>
    <row r="2165" spans="1:3">
      <c r="A2165" s="68">
        <v>37317.566666666666</v>
      </c>
      <c r="B2165" s="6">
        <v>2.9861111111111099E-2</v>
      </c>
      <c r="C2165" s="5">
        <v>130</v>
      </c>
    </row>
    <row r="2166" spans="1:3">
      <c r="A2166" s="68">
        <v>37317.566666666666</v>
      </c>
      <c r="B2166" s="6">
        <v>2.9918981481481501E-2</v>
      </c>
      <c r="C2166" s="5">
        <v>130</v>
      </c>
    </row>
    <row r="2167" spans="1:3">
      <c r="A2167" s="68">
        <v>37317.566666666666</v>
      </c>
      <c r="B2167" s="6">
        <v>2.99768518518518E-2</v>
      </c>
      <c r="C2167" s="5">
        <v>130</v>
      </c>
    </row>
    <row r="2168" spans="1:3">
      <c r="A2168" s="68">
        <v>37317.566666666666</v>
      </c>
      <c r="B2168" s="6">
        <v>3.0034722222222199E-2</v>
      </c>
      <c r="C2168" s="5">
        <v>129</v>
      </c>
    </row>
    <row r="2169" spans="1:3">
      <c r="A2169" s="68">
        <v>37317.566666666666</v>
      </c>
      <c r="B2169" s="6">
        <v>3.0092592592592601E-2</v>
      </c>
      <c r="C2169" s="5">
        <v>129</v>
      </c>
    </row>
    <row r="2170" spans="1:3">
      <c r="A2170" s="68">
        <v>37317.566666666666</v>
      </c>
      <c r="B2170" s="6">
        <v>3.0150462962963E-2</v>
      </c>
      <c r="C2170" s="5">
        <v>128</v>
      </c>
    </row>
    <row r="2171" spans="1:3">
      <c r="A2171" s="68">
        <v>37317.566666666666</v>
      </c>
      <c r="B2171" s="6">
        <v>3.0208333333333299E-2</v>
      </c>
      <c r="C2171" s="5">
        <v>128</v>
      </c>
    </row>
    <row r="2172" spans="1:3">
      <c r="A2172" s="68">
        <v>37318.491666666669</v>
      </c>
      <c r="B2172" s="6">
        <v>0</v>
      </c>
      <c r="C2172" s="5">
        <v>109</v>
      </c>
    </row>
    <row r="2173" spans="1:3">
      <c r="A2173" s="68">
        <v>37318.491666666669</v>
      </c>
      <c r="B2173" s="6">
        <v>5.7870370370370366E-5</v>
      </c>
      <c r="C2173" s="5">
        <v>109</v>
      </c>
    </row>
    <row r="2174" spans="1:3">
      <c r="A2174" s="68">
        <v>37318.491666666669</v>
      </c>
      <c r="B2174" s="6">
        <v>1.15740740740741E-4</v>
      </c>
      <c r="C2174" s="5">
        <v>123</v>
      </c>
    </row>
    <row r="2175" spans="1:3">
      <c r="A2175" s="68">
        <v>37318.491666666669</v>
      </c>
      <c r="B2175" s="6">
        <v>1.7361111111111101E-4</v>
      </c>
      <c r="C2175" s="5">
        <v>132</v>
      </c>
    </row>
    <row r="2176" spans="1:3">
      <c r="A2176" s="68">
        <v>37318.491666666669</v>
      </c>
      <c r="B2176" s="6">
        <v>2.31481481481481E-4</v>
      </c>
      <c r="C2176" s="5">
        <v>151</v>
      </c>
    </row>
    <row r="2177" spans="1:3">
      <c r="A2177" s="68">
        <v>37318.491666666669</v>
      </c>
      <c r="B2177" s="6">
        <v>2.89351851851852E-4</v>
      </c>
      <c r="C2177" s="5">
        <v>155</v>
      </c>
    </row>
    <row r="2178" spans="1:3">
      <c r="A2178" s="68">
        <v>37318.491666666669</v>
      </c>
      <c r="B2178" s="6">
        <v>3.4722222222222202E-4</v>
      </c>
      <c r="C2178" s="5">
        <v>157</v>
      </c>
    </row>
    <row r="2179" spans="1:3">
      <c r="A2179" s="68">
        <v>37318.491666666669</v>
      </c>
      <c r="B2179" s="6">
        <v>4.0509259259259301E-4</v>
      </c>
      <c r="C2179" s="5">
        <v>157</v>
      </c>
    </row>
    <row r="2180" spans="1:3">
      <c r="A2180" s="68">
        <v>37318.491666666669</v>
      </c>
      <c r="B2180" s="6">
        <v>4.6296296296296298E-4</v>
      </c>
      <c r="C2180" s="5">
        <v>159</v>
      </c>
    </row>
    <row r="2181" spans="1:3">
      <c r="A2181" s="68">
        <v>37318.491666666669</v>
      </c>
      <c r="B2181" s="6">
        <v>5.20833333333333E-4</v>
      </c>
      <c r="C2181" s="5">
        <v>160</v>
      </c>
    </row>
    <row r="2182" spans="1:3">
      <c r="A2182" s="68">
        <v>37318.491666666669</v>
      </c>
      <c r="B2182" s="6">
        <v>5.78703703703704E-4</v>
      </c>
      <c r="C2182" s="5">
        <v>162</v>
      </c>
    </row>
    <row r="2183" spans="1:3">
      <c r="A2183" s="68">
        <v>37318.491666666669</v>
      </c>
      <c r="B2183" s="6">
        <v>6.3657407407407402E-4</v>
      </c>
      <c r="C2183" s="5">
        <v>163</v>
      </c>
    </row>
    <row r="2184" spans="1:3">
      <c r="A2184" s="68">
        <v>37318.491666666669</v>
      </c>
      <c r="B2184" s="6">
        <v>6.9444444444444404E-4</v>
      </c>
      <c r="C2184" s="5">
        <v>165</v>
      </c>
    </row>
    <row r="2185" spans="1:3">
      <c r="A2185" s="68">
        <v>37318.491666666669</v>
      </c>
      <c r="B2185" s="6">
        <v>7.5231481481481503E-4</v>
      </c>
      <c r="C2185" s="5">
        <v>166</v>
      </c>
    </row>
    <row r="2186" spans="1:3">
      <c r="A2186" s="68">
        <v>37318.491666666669</v>
      </c>
      <c r="B2186" s="6">
        <v>8.1018518518518505E-4</v>
      </c>
      <c r="C2186" s="5">
        <v>166</v>
      </c>
    </row>
    <row r="2187" spans="1:3">
      <c r="A2187" s="68">
        <v>37318.491666666669</v>
      </c>
      <c r="B2187" s="6">
        <v>8.6805555555555605E-4</v>
      </c>
      <c r="C2187" s="5">
        <v>167</v>
      </c>
    </row>
    <row r="2188" spans="1:3">
      <c r="A2188" s="68">
        <v>37318.491666666669</v>
      </c>
      <c r="B2188" s="6">
        <v>9.2592592592592596E-4</v>
      </c>
      <c r="C2188" s="5">
        <v>166</v>
      </c>
    </row>
    <row r="2189" spans="1:3">
      <c r="A2189" s="68">
        <v>37318.491666666669</v>
      </c>
      <c r="B2189" s="6">
        <v>9.8379629629629598E-4</v>
      </c>
      <c r="C2189" s="5">
        <v>167</v>
      </c>
    </row>
    <row r="2190" spans="1:3">
      <c r="A2190" s="68">
        <v>37318.491666666669</v>
      </c>
      <c r="B2190" s="6">
        <v>1.0416666666666699E-3</v>
      </c>
      <c r="C2190" s="5">
        <v>168</v>
      </c>
    </row>
    <row r="2191" spans="1:3">
      <c r="A2191" s="68">
        <v>37318.491666666669</v>
      </c>
      <c r="B2191" s="6">
        <v>1.0995370370370399E-3</v>
      </c>
      <c r="C2191" s="5">
        <v>168</v>
      </c>
    </row>
    <row r="2192" spans="1:3">
      <c r="A2192" s="68">
        <v>37318.491666666669</v>
      </c>
      <c r="B2192" s="6">
        <v>1.1574074074074099E-3</v>
      </c>
      <c r="C2192" s="5">
        <v>167</v>
      </c>
    </row>
    <row r="2193" spans="1:3">
      <c r="A2193" s="68">
        <v>37318.491666666669</v>
      </c>
      <c r="B2193" s="6">
        <v>1.21527777777778E-3</v>
      </c>
      <c r="C2193" s="5">
        <v>167</v>
      </c>
    </row>
    <row r="2194" spans="1:3">
      <c r="A2194" s="68">
        <v>37318.491666666669</v>
      </c>
      <c r="B2194" s="6">
        <v>1.27314814814815E-3</v>
      </c>
      <c r="C2194" s="5">
        <v>164</v>
      </c>
    </row>
    <row r="2195" spans="1:3">
      <c r="A2195" s="68">
        <v>37318.491666666669</v>
      </c>
      <c r="B2195" s="6">
        <v>1.33101851851852E-3</v>
      </c>
      <c r="C2195" s="5">
        <v>159</v>
      </c>
    </row>
    <row r="2196" spans="1:3">
      <c r="A2196" s="68">
        <v>37318.491666666669</v>
      </c>
      <c r="B2196" s="6">
        <v>1.38888888888889E-3</v>
      </c>
      <c r="C2196" s="5">
        <v>156</v>
      </c>
    </row>
    <row r="2197" spans="1:3">
      <c r="A2197" s="68">
        <v>37318.491666666669</v>
      </c>
      <c r="B2197" s="6">
        <v>1.44675925925926E-3</v>
      </c>
      <c r="C2197" s="5">
        <v>149</v>
      </c>
    </row>
    <row r="2198" spans="1:3">
      <c r="A2198" s="68">
        <v>37318.491666666669</v>
      </c>
      <c r="B2198" s="6">
        <v>1.5046296296296301E-3</v>
      </c>
      <c r="C2198" s="5">
        <v>148</v>
      </c>
    </row>
    <row r="2199" spans="1:3">
      <c r="A2199" s="68">
        <v>37318.491666666669</v>
      </c>
      <c r="B2199" s="6">
        <v>1.5625000000000001E-3</v>
      </c>
      <c r="C2199" s="5">
        <v>150</v>
      </c>
    </row>
    <row r="2200" spans="1:3">
      <c r="A2200" s="68">
        <v>37318.491666666669</v>
      </c>
      <c r="B2200" s="6">
        <v>1.6203703703703701E-3</v>
      </c>
      <c r="C2200" s="5">
        <v>151</v>
      </c>
    </row>
    <row r="2201" spans="1:3">
      <c r="A2201" s="68">
        <v>37318.491666666669</v>
      </c>
      <c r="B2201" s="6">
        <v>1.6782407407407399E-3</v>
      </c>
      <c r="C2201" s="5">
        <v>152</v>
      </c>
    </row>
    <row r="2202" spans="1:3">
      <c r="A2202" s="68">
        <v>37318.491666666669</v>
      </c>
      <c r="B2202" s="6">
        <v>1.7361111111111099E-3</v>
      </c>
      <c r="C2202" s="5">
        <v>158</v>
      </c>
    </row>
    <row r="2203" spans="1:3">
      <c r="A2203" s="68">
        <v>37318.491666666669</v>
      </c>
      <c r="B2203" s="6">
        <v>1.79398148148148E-3</v>
      </c>
      <c r="C2203" s="5">
        <v>159</v>
      </c>
    </row>
    <row r="2204" spans="1:3">
      <c r="A2204" s="68">
        <v>37318.491666666669</v>
      </c>
      <c r="B2204" s="6">
        <v>1.85185185185185E-3</v>
      </c>
      <c r="C2204" s="5">
        <v>160</v>
      </c>
    </row>
    <row r="2205" spans="1:3">
      <c r="A2205" s="68">
        <v>37318.491666666669</v>
      </c>
      <c r="B2205" s="6">
        <v>1.90972222222222E-3</v>
      </c>
      <c r="C2205" s="5">
        <v>162</v>
      </c>
    </row>
    <row r="2206" spans="1:3">
      <c r="A2206" s="68">
        <v>37318.491666666669</v>
      </c>
      <c r="B2206" s="6">
        <v>1.9675925925925898E-3</v>
      </c>
      <c r="C2206" s="5">
        <v>163</v>
      </c>
    </row>
    <row r="2207" spans="1:3">
      <c r="A2207" s="68">
        <v>37318.491666666669</v>
      </c>
      <c r="B2207" s="6">
        <v>2.0254629629629598E-3</v>
      </c>
      <c r="C2207" s="5">
        <v>164</v>
      </c>
    </row>
    <row r="2208" spans="1:3">
      <c r="A2208" s="68">
        <v>37318.491666666669</v>
      </c>
      <c r="B2208" s="6">
        <v>2.0833333333333298E-3</v>
      </c>
      <c r="C2208" s="5">
        <v>165</v>
      </c>
    </row>
    <row r="2209" spans="1:3">
      <c r="A2209" s="68">
        <v>37318.491666666669</v>
      </c>
      <c r="B2209" s="6">
        <v>2.1412037037036999E-3</v>
      </c>
      <c r="C2209" s="5">
        <v>165</v>
      </c>
    </row>
    <row r="2210" spans="1:3">
      <c r="A2210" s="68">
        <v>37318.491666666669</v>
      </c>
      <c r="B2210" s="6">
        <v>2.1990740740740699E-3</v>
      </c>
      <c r="C2210" s="5">
        <v>166</v>
      </c>
    </row>
    <row r="2211" spans="1:3">
      <c r="A2211" s="68">
        <v>37318.491666666669</v>
      </c>
      <c r="B2211" s="6">
        <v>2.2569444444444399E-3</v>
      </c>
      <c r="C2211" s="5">
        <v>167</v>
      </c>
    </row>
    <row r="2212" spans="1:3">
      <c r="A2212" s="68">
        <v>37318.491666666669</v>
      </c>
      <c r="B2212" s="6">
        <v>2.3148148148148099E-3</v>
      </c>
      <c r="C2212" s="5">
        <v>168</v>
      </c>
    </row>
    <row r="2213" spans="1:3">
      <c r="A2213" s="68">
        <v>37318.491666666669</v>
      </c>
      <c r="B2213" s="6">
        <v>2.3726851851851899E-3</v>
      </c>
      <c r="C2213" s="5">
        <v>168</v>
      </c>
    </row>
    <row r="2214" spans="1:3">
      <c r="A2214" s="68">
        <v>37318.491666666669</v>
      </c>
      <c r="B2214" s="6">
        <v>2.4305555555555599E-3</v>
      </c>
      <c r="C2214" s="5">
        <v>170</v>
      </c>
    </row>
    <row r="2215" spans="1:3">
      <c r="A2215" s="68">
        <v>37318.491666666669</v>
      </c>
      <c r="B2215" s="6">
        <v>2.48842592592593E-3</v>
      </c>
      <c r="C2215" s="5">
        <v>170</v>
      </c>
    </row>
    <row r="2216" spans="1:3">
      <c r="A2216" s="68">
        <v>37318.491666666669</v>
      </c>
      <c r="B2216" s="6">
        <v>2.5462962962963E-3</v>
      </c>
      <c r="C2216" s="5">
        <v>167</v>
      </c>
    </row>
    <row r="2217" spans="1:3">
      <c r="A2217" s="68">
        <v>37318.491666666669</v>
      </c>
      <c r="B2217" s="6">
        <v>2.60416666666667E-3</v>
      </c>
      <c r="C2217" s="5">
        <v>170</v>
      </c>
    </row>
    <row r="2218" spans="1:3">
      <c r="A2218" s="68">
        <v>37318.491666666669</v>
      </c>
      <c r="B2218" s="6">
        <v>2.66203703703704E-3</v>
      </c>
      <c r="C2218" s="5">
        <v>169</v>
      </c>
    </row>
    <row r="2219" spans="1:3">
      <c r="A2219" s="68">
        <v>37318.491666666669</v>
      </c>
      <c r="B2219" s="6">
        <v>2.71990740740741E-3</v>
      </c>
      <c r="C2219" s="5">
        <v>166</v>
      </c>
    </row>
    <row r="2220" spans="1:3">
      <c r="A2220" s="68">
        <v>37318.491666666669</v>
      </c>
      <c r="B2220" s="6">
        <v>2.7777777777777801E-3</v>
      </c>
      <c r="C2220" s="5">
        <v>160</v>
      </c>
    </row>
    <row r="2221" spans="1:3">
      <c r="A2221" s="68">
        <v>37318.491666666669</v>
      </c>
      <c r="B2221" s="6">
        <v>2.8356481481481501E-3</v>
      </c>
      <c r="C2221" s="5">
        <v>157</v>
      </c>
    </row>
    <row r="2222" spans="1:3">
      <c r="A2222" s="68">
        <v>37318.491666666669</v>
      </c>
      <c r="B2222" s="6">
        <v>2.8935185185185201E-3</v>
      </c>
      <c r="C2222" s="5">
        <v>153</v>
      </c>
    </row>
    <row r="2223" spans="1:3">
      <c r="A2223" s="68">
        <v>37318.491666666669</v>
      </c>
      <c r="B2223" s="6">
        <v>2.9513888888888901E-3</v>
      </c>
      <c r="C2223" s="5">
        <v>152</v>
      </c>
    </row>
    <row r="2224" spans="1:3">
      <c r="A2224" s="68">
        <v>37318.491666666669</v>
      </c>
      <c r="B2224" s="6">
        <v>3.0092592592592601E-3</v>
      </c>
      <c r="C2224" s="5">
        <v>153</v>
      </c>
    </row>
    <row r="2225" spans="1:3">
      <c r="A2225" s="68">
        <v>37318.491666666669</v>
      </c>
      <c r="B2225" s="6">
        <v>3.0671296296296302E-3</v>
      </c>
      <c r="C2225" s="5">
        <v>155</v>
      </c>
    </row>
    <row r="2226" spans="1:3">
      <c r="A2226" s="68">
        <v>37318.491666666669</v>
      </c>
      <c r="B2226" s="6">
        <v>3.1250000000000002E-3</v>
      </c>
      <c r="C2226" s="5">
        <v>157</v>
      </c>
    </row>
    <row r="2227" spans="1:3">
      <c r="A2227" s="68">
        <v>37318.491666666669</v>
      </c>
      <c r="B2227" s="6">
        <v>3.1828703703703702E-3</v>
      </c>
      <c r="C2227" s="5">
        <v>159</v>
      </c>
    </row>
    <row r="2228" spans="1:3">
      <c r="A2228" s="68">
        <v>37318.491666666669</v>
      </c>
      <c r="B2228" s="6">
        <v>3.2407407407407402E-3</v>
      </c>
      <c r="C2228" s="5">
        <v>161</v>
      </c>
    </row>
    <row r="2229" spans="1:3">
      <c r="A2229" s="68">
        <v>37318.491666666669</v>
      </c>
      <c r="B2229" s="6">
        <v>3.2986111111111098E-3</v>
      </c>
      <c r="C2229" s="5">
        <v>162</v>
      </c>
    </row>
    <row r="2230" spans="1:3">
      <c r="A2230" s="68">
        <v>37318.491666666669</v>
      </c>
      <c r="B2230" s="6">
        <v>3.3564814814814798E-3</v>
      </c>
      <c r="C2230" s="5">
        <v>162</v>
      </c>
    </row>
    <row r="2231" spans="1:3">
      <c r="A2231" s="68">
        <v>37318.491666666669</v>
      </c>
      <c r="B2231" s="6">
        <v>3.4143518518518498E-3</v>
      </c>
      <c r="C2231" s="5">
        <v>169</v>
      </c>
    </row>
    <row r="2232" spans="1:3">
      <c r="A2232" s="68">
        <v>37318.491666666669</v>
      </c>
      <c r="B2232" s="6">
        <v>3.4722222222222199E-3</v>
      </c>
      <c r="C2232" s="5">
        <v>170</v>
      </c>
    </row>
    <row r="2233" spans="1:3">
      <c r="A2233" s="68">
        <v>37318.491666666669</v>
      </c>
      <c r="B2233" s="6">
        <v>3.5300925925925899E-3</v>
      </c>
      <c r="C2233" s="5">
        <v>171</v>
      </c>
    </row>
    <row r="2234" spans="1:3">
      <c r="A2234" s="68">
        <v>37318.491666666669</v>
      </c>
      <c r="B2234" s="6">
        <v>3.5879629629629599E-3</v>
      </c>
      <c r="C2234" s="5">
        <v>172</v>
      </c>
    </row>
    <row r="2235" spans="1:3">
      <c r="A2235" s="68">
        <v>37318.491666666669</v>
      </c>
      <c r="B2235" s="6">
        <v>3.6458333333333299E-3</v>
      </c>
      <c r="C2235" s="5">
        <v>173</v>
      </c>
    </row>
    <row r="2236" spans="1:3">
      <c r="A2236" s="68">
        <v>37318.491666666669</v>
      </c>
      <c r="B2236" s="6">
        <v>3.7037037037036999E-3</v>
      </c>
      <c r="C2236" s="5">
        <v>174</v>
      </c>
    </row>
    <row r="2237" spans="1:3">
      <c r="A2237" s="68">
        <v>37318.491666666669</v>
      </c>
      <c r="B2237" s="6">
        <v>3.76157407407407E-3</v>
      </c>
      <c r="C2237" s="5">
        <v>175</v>
      </c>
    </row>
    <row r="2238" spans="1:3">
      <c r="A2238" s="68">
        <v>37318.491666666669</v>
      </c>
      <c r="B2238" s="6">
        <v>3.81944444444444E-3</v>
      </c>
      <c r="C2238" s="5">
        <v>176</v>
      </c>
    </row>
    <row r="2239" spans="1:3">
      <c r="A2239" s="68">
        <v>37318.491666666669</v>
      </c>
      <c r="B2239" s="6">
        <v>3.87731481481481E-3</v>
      </c>
      <c r="C2239" s="5">
        <v>176</v>
      </c>
    </row>
    <row r="2240" spans="1:3">
      <c r="A2240" s="68">
        <v>37318.491666666669</v>
      </c>
      <c r="B2240" s="6">
        <v>3.9351851851851796E-3</v>
      </c>
      <c r="C2240" s="5">
        <v>175</v>
      </c>
    </row>
    <row r="2241" spans="1:3">
      <c r="A2241" s="68">
        <v>37318.491666666669</v>
      </c>
      <c r="B2241" s="6">
        <v>3.9930555555555596E-3</v>
      </c>
      <c r="C2241" s="5">
        <v>175</v>
      </c>
    </row>
    <row r="2242" spans="1:3">
      <c r="A2242" s="68">
        <v>37318.491666666669</v>
      </c>
      <c r="B2242" s="6">
        <v>4.05092592592593E-3</v>
      </c>
      <c r="C2242" s="5">
        <v>175</v>
      </c>
    </row>
    <row r="2243" spans="1:3">
      <c r="A2243" s="68">
        <v>37318.491666666669</v>
      </c>
      <c r="B2243" s="6">
        <v>4.1087962962962996E-3</v>
      </c>
      <c r="C2243" s="5">
        <v>173</v>
      </c>
    </row>
    <row r="2244" spans="1:3">
      <c r="A2244" s="68">
        <v>37318.491666666669</v>
      </c>
      <c r="B2244" s="6">
        <v>4.1666666666666701E-3</v>
      </c>
      <c r="C2244" s="5">
        <v>171</v>
      </c>
    </row>
    <row r="2245" spans="1:3">
      <c r="A2245" s="68">
        <v>37318.491666666669</v>
      </c>
      <c r="B2245" s="6">
        <v>4.2245370370370397E-3</v>
      </c>
      <c r="C2245" s="5">
        <v>168</v>
      </c>
    </row>
    <row r="2246" spans="1:3">
      <c r="A2246" s="68">
        <v>37318.491666666669</v>
      </c>
      <c r="B2246" s="6">
        <v>4.2824074074074101E-3</v>
      </c>
      <c r="C2246" s="5">
        <v>165</v>
      </c>
    </row>
    <row r="2247" spans="1:3">
      <c r="A2247" s="68">
        <v>37318.491666666669</v>
      </c>
      <c r="B2247" s="6">
        <v>4.3402777777777797E-3</v>
      </c>
      <c r="C2247" s="5">
        <v>159</v>
      </c>
    </row>
    <row r="2248" spans="1:3">
      <c r="A2248" s="68">
        <v>37318.491666666669</v>
      </c>
      <c r="B2248" s="6">
        <v>4.3981481481481502E-3</v>
      </c>
      <c r="C2248" s="5">
        <v>158</v>
      </c>
    </row>
    <row r="2249" spans="1:3">
      <c r="A2249" s="68">
        <v>37318.491666666669</v>
      </c>
      <c r="B2249" s="6">
        <v>4.4560185185185197E-3</v>
      </c>
      <c r="C2249" s="5">
        <v>157</v>
      </c>
    </row>
    <row r="2250" spans="1:3">
      <c r="A2250" s="68">
        <v>37318.491666666669</v>
      </c>
      <c r="B2250" s="6">
        <v>4.5138888888888902E-3</v>
      </c>
      <c r="C2250" s="5">
        <v>157</v>
      </c>
    </row>
    <row r="2251" spans="1:3">
      <c r="A2251" s="68">
        <v>37318.491666666669</v>
      </c>
      <c r="B2251" s="6">
        <v>4.5717592592592598E-3</v>
      </c>
      <c r="C2251" s="5">
        <v>157</v>
      </c>
    </row>
    <row r="2252" spans="1:3">
      <c r="A2252" s="68">
        <v>37318.491666666669</v>
      </c>
      <c r="B2252" s="6">
        <v>4.6296296296296302E-3</v>
      </c>
      <c r="C2252" s="5">
        <v>157</v>
      </c>
    </row>
    <row r="2253" spans="1:3">
      <c r="A2253" s="68">
        <v>37318.491666666669</v>
      </c>
      <c r="B2253" s="6">
        <v>4.6874999999999998E-3</v>
      </c>
      <c r="C2253" s="5">
        <v>161</v>
      </c>
    </row>
    <row r="2254" spans="1:3">
      <c r="A2254" s="68">
        <v>37318.491666666669</v>
      </c>
      <c r="B2254" s="6">
        <v>4.7453703703703703E-3</v>
      </c>
      <c r="C2254" s="5">
        <v>165</v>
      </c>
    </row>
    <row r="2255" spans="1:3">
      <c r="A2255" s="68">
        <v>37318.491666666669</v>
      </c>
      <c r="B2255" s="6">
        <v>4.8032407407407399E-3</v>
      </c>
      <c r="C2255" s="5">
        <v>167</v>
      </c>
    </row>
    <row r="2256" spans="1:3">
      <c r="A2256" s="68">
        <v>37318.491666666669</v>
      </c>
      <c r="B2256" s="6">
        <v>4.8611111111111103E-3</v>
      </c>
      <c r="C2256" s="5">
        <v>169</v>
      </c>
    </row>
    <row r="2257" spans="1:3">
      <c r="A2257" s="68">
        <v>37318.491666666669</v>
      </c>
      <c r="B2257" s="6">
        <v>4.9189814814814799E-3</v>
      </c>
      <c r="C2257" s="5">
        <v>172</v>
      </c>
    </row>
    <row r="2258" spans="1:3">
      <c r="A2258" s="68">
        <v>37318.491666666669</v>
      </c>
      <c r="B2258" s="6">
        <v>4.9768518518518504E-3</v>
      </c>
      <c r="C2258" s="5">
        <v>172</v>
      </c>
    </row>
    <row r="2259" spans="1:3">
      <c r="A2259" s="68">
        <v>37318.491666666669</v>
      </c>
      <c r="B2259" s="6">
        <v>5.0347222222222199E-3</v>
      </c>
      <c r="C2259" s="5">
        <v>172</v>
      </c>
    </row>
    <row r="2260" spans="1:3">
      <c r="A2260" s="68">
        <v>37318.491666666669</v>
      </c>
      <c r="B2260" s="6">
        <v>5.0925925925925904E-3</v>
      </c>
      <c r="C2260" s="5">
        <v>171</v>
      </c>
    </row>
    <row r="2261" spans="1:3">
      <c r="A2261" s="68">
        <v>37318.491666666669</v>
      </c>
      <c r="B2261" s="6">
        <v>5.15046296296296E-3</v>
      </c>
      <c r="C2261" s="5">
        <v>171</v>
      </c>
    </row>
    <row r="2262" spans="1:3">
      <c r="A2262" s="68">
        <v>37318.491666666669</v>
      </c>
      <c r="B2262" s="6">
        <v>5.2083333333333296E-3</v>
      </c>
      <c r="C2262" s="5">
        <v>170</v>
      </c>
    </row>
    <row r="2263" spans="1:3">
      <c r="A2263" s="68">
        <v>37318.491666666669</v>
      </c>
      <c r="B2263" s="6">
        <v>5.2662037037037E-3</v>
      </c>
      <c r="C2263" s="5">
        <v>172</v>
      </c>
    </row>
    <row r="2264" spans="1:3">
      <c r="A2264" s="68">
        <v>37318.491666666669</v>
      </c>
      <c r="B2264" s="6">
        <v>5.3240740740740696E-3</v>
      </c>
      <c r="C2264" s="5">
        <v>174</v>
      </c>
    </row>
    <row r="2265" spans="1:3">
      <c r="A2265" s="68">
        <v>37318.491666666669</v>
      </c>
      <c r="B2265" s="6">
        <v>5.3819444444444401E-3</v>
      </c>
      <c r="C2265" s="5">
        <v>175</v>
      </c>
    </row>
    <row r="2266" spans="1:3">
      <c r="A2266" s="68">
        <v>37318.491666666669</v>
      </c>
      <c r="B2266" s="6">
        <v>5.4398148148148097E-3</v>
      </c>
      <c r="C2266" s="5">
        <v>175</v>
      </c>
    </row>
    <row r="2267" spans="1:3">
      <c r="A2267" s="68">
        <v>37318.491666666669</v>
      </c>
      <c r="B2267" s="6">
        <v>5.4976851851851801E-3</v>
      </c>
      <c r="C2267" s="5">
        <v>177</v>
      </c>
    </row>
    <row r="2268" spans="1:3">
      <c r="A2268" s="68">
        <v>37318.491666666669</v>
      </c>
      <c r="B2268" s="6">
        <v>5.5555555555555497E-3</v>
      </c>
      <c r="C2268" s="5">
        <v>175</v>
      </c>
    </row>
    <row r="2269" spans="1:3">
      <c r="A2269" s="68">
        <v>37318.491666666669</v>
      </c>
      <c r="B2269" s="6">
        <v>5.6134259259259297E-3</v>
      </c>
      <c r="C2269" s="5">
        <v>172</v>
      </c>
    </row>
    <row r="2270" spans="1:3">
      <c r="A2270" s="68">
        <v>37318.491666666669</v>
      </c>
      <c r="B2270" s="6">
        <v>5.6712962962963001E-3</v>
      </c>
      <c r="C2270" s="5">
        <v>169</v>
      </c>
    </row>
    <row r="2271" spans="1:3">
      <c r="A2271" s="68">
        <v>37318.491666666669</v>
      </c>
      <c r="B2271" s="6">
        <v>5.7291666666666697E-3</v>
      </c>
      <c r="C2271" s="5">
        <v>167</v>
      </c>
    </row>
    <row r="2272" spans="1:3">
      <c r="A2272" s="68">
        <v>37318.491666666669</v>
      </c>
      <c r="B2272" s="6">
        <v>5.7870370370370402E-3</v>
      </c>
      <c r="C2272" s="5">
        <v>160</v>
      </c>
    </row>
    <row r="2273" spans="1:3">
      <c r="A2273" s="68">
        <v>37318.491666666669</v>
      </c>
      <c r="B2273" s="6">
        <v>5.8449074074074098E-3</v>
      </c>
      <c r="C2273" s="5">
        <v>157</v>
      </c>
    </row>
    <row r="2274" spans="1:3">
      <c r="A2274" s="68">
        <v>37318.491666666669</v>
      </c>
      <c r="B2274" s="6">
        <v>5.9027777777777802E-3</v>
      </c>
      <c r="C2274" s="5">
        <v>158</v>
      </c>
    </row>
    <row r="2275" spans="1:3">
      <c r="A2275" s="68">
        <v>37318.491666666669</v>
      </c>
      <c r="B2275" s="6">
        <v>5.9606481481481498E-3</v>
      </c>
      <c r="C2275" s="5">
        <v>159</v>
      </c>
    </row>
    <row r="2276" spans="1:3">
      <c r="A2276" s="68">
        <v>37318.491666666669</v>
      </c>
      <c r="B2276" s="6">
        <v>6.0185185185185203E-3</v>
      </c>
      <c r="C2276" s="5">
        <v>161</v>
      </c>
    </row>
    <row r="2277" spans="1:3">
      <c r="A2277" s="68">
        <v>37318.491666666669</v>
      </c>
      <c r="B2277" s="6">
        <v>6.0763888888888899E-3</v>
      </c>
      <c r="C2277" s="5">
        <v>163</v>
      </c>
    </row>
    <row r="2278" spans="1:3">
      <c r="A2278" s="68">
        <v>37318.491666666669</v>
      </c>
      <c r="B2278" s="6">
        <v>6.1342592592592603E-3</v>
      </c>
      <c r="C2278" s="5">
        <v>166</v>
      </c>
    </row>
    <row r="2279" spans="1:3">
      <c r="A2279" s="68">
        <v>37318.491666666669</v>
      </c>
      <c r="B2279" s="6">
        <v>6.1921296296296299E-3</v>
      </c>
      <c r="C2279" s="5">
        <v>168</v>
      </c>
    </row>
    <row r="2280" spans="1:3">
      <c r="A2280" s="68">
        <v>37318.491666666669</v>
      </c>
      <c r="B2280" s="6">
        <v>6.2500000000000003E-3</v>
      </c>
      <c r="C2280" s="5">
        <v>169</v>
      </c>
    </row>
    <row r="2281" spans="1:3">
      <c r="A2281" s="68">
        <v>37318.491666666669</v>
      </c>
      <c r="B2281" s="6">
        <v>6.3078703703703699E-3</v>
      </c>
      <c r="C2281" s="5">
        <v>172</v>
      </c>
    </row>
    <row r="2282" spans="1:3">
      <c r="A2282" s="68">
        <v>37318.491666666669</v>
      </c>
      <c r="B2282" s="6">
        <v>6.3657407407407404E-3</v>
      </c>
      <c r="C2282" s="5">
        <v>172</v>
      </c>
    </row>
    <row r="2283" spans="1:3">
      <c r="A2283" s="68">
        <v>37318.491666666669</v>
      </c>
      <c r="B2283" s="6">
        <v>6.42361111111111E-3</v>
      </c>
      <c r="C2283" s="5">
        <v>174</v>
      </c>
    </row>
    <row r="2284" spans="1:3">
      <c r="A2284" s="68">
        <v>37318.491666666669</v>
      </c>
      <c r="B2284" s="6">
        <v>6.4814814814814804E-3</v>
      </c>
      <c r="C2284" s="5">
        <v>176</v>
      </c>
    </row>
    <row r="2285" spans="1:3">
      <c r="A2285" s="68">
        <v>37318.491666666669</v>
      </c>
      <c r="B2285" s="6">
        <v>6.53935185185185E-3</v>
      </c>
      <c r="C2285" s="5">
        <v>176</v>
      </c>
    </row>
    <row r="2286" spans="1:3">
      <c r="A2286" s="68">
        <v>37318.491666666669</v>
      </c>
      <c r="B2286" s="6">
        <v>6.5972222222222196E-3</v>
      </c>
      <c r="C2286" s="5">
        <v>177</v>
      </c>
    </row>
    <row r="2287" spans="1:3">
      <c r="A2287" s="68">
        <v>37318.491666666669</v>
      </c>
      <c r="B2287" s="6">
        <v>6.6550925925925901E-3</v>
      </c>
      <c r="C2287" s="5">
        <v>177</v>
      </c>
    </row>
    <row r="2288" spans="1:3">
      <c r="A2288" s="68">
        <v>37318.491666666669</v>
      </c>
      <c r="B2288" s="6">
        <v>6.7129629629629596E-3</v>
      </c>
      <c r="C2288" s="5">
        <v>178</v>
      </c>
    </row>
    <row r="2289" spans="1:3">
      <c r="A2289" s="68">
        <v>37318.491666666669</v>
      </c>
      <c r="B2289" s="6">
        <v>6.7708333333333301E-3</v>
      </c>
      <c r="C2289" s="5">
        <v>179</v>
      </c>
    </row>
    <row r="2290" spans="1:3">
      <c r="A2290" s="68">
        <v>37318.491666666669</v>
      </c>
      <c r="B2290" s="6">
        <v>6.8287037037036997E-3</v>
      </c>
      <c r="C2290" s="5">
        <v>179</v>
      </c>
    </row>
    <row r="2291" spans="1:3">
      <c r="A2291" s="68">
        <v>37318.491666666669</v>
      </c>
      <c r="B2291" s="6">
        <v>6.8865740740740701E-3</v>
      </c>
      <c r="C2291" s="5">
        <v>179</v>
      </c>
    </row>
    <row r="2292" spans="1:3">
      <c r="A2292" s="68">
        <v>37318.491666666669</v>
      </c>
      <c r="B2292" s="6">
        <v>6.9444444444444397E-3</v>
      </c>
      <c r="C2292" s="5">
        <v>177</v>
      </c>
    </row>
    <row r="2293" spans="1:3">
      <c r="A2293" s="68">
        <v>37318.491666666669</v>
      </c>
      <c r="B2293" s="6">
        <v>7.0023148148148102E-3</v>
      </c>
      <c r="C2293" s="5">
        <v>177</v>
      </c>
    </row>
    <row r="2294" spans="1:3">
      <c r="A2294" s="68">
        <v>37318.491666666669</v>
      </c>
      <c r="B2294" s="6">
        <v>7.0601851851851798E-3</v>
      </c>
      <c r="C2294" s="5">
        <v>177</v>
      </c>
    </row>
    <row r="2295" spans="1:3">
      <c r="A2295" s="68">
        <v>37318.491666666669</v>
      </c>
      <c r="B2295" s="6">
        <v>7.1180555555555598E-3</v>
      </c>
      <c r="C2295" s="5">
        <v>172</v>
      </c>
    </row>
    <row r="2296" spans="1:3">
      <c r="A2296" s="68">
        <v>37318.491666666669</v>
      </c>
      <c r="B2296" s="6">
        <v>7.1759259259259302E-3</v>
      </c>
      <c r="C2296" s="5">
        <v>169</v>
      </c>
    </row>
    <row r="2297" spans="1:3">
      <c r="A2297" s="68">
        <v>37318.491666666669</v>
      </c>
      <c r="B2297" s="6">
        <v>7.2337962962962998E-3</v>
      </c>
      <c r="C2297" s="5">
        <v>166</v>
      </c>
    </row>
    <row r="2298" spans="1:3">
      <c r="A2298" s="68">
        <v>37318.491666666669</v>
      </c>
      <c r="B2298" s="6">
        <v>7.2916666666666703E-3</v>
      </c>
      <c r="C2298" s="5">
        <v>164</v>
      </c>
    </row>
    <row r="2299" spans="1:3">
      <c r="A2299" s="68">
        <v>37318.491666666669</v>
      </c>
      <c r="B2299" s="6">
        <v>7.3495370370370398E-3</v>
      </c>
      <c r="C2299" s="5">
        <v>162</v>
      </c>
    </row>
    <row r="2300" spans="1:3">
      <c r="A2300" s="68">
        <v>37318.491666666669</v>
      </c>
      <c r="B2300" s="6">
        <v>7.4074074074074103E-3</v>
      </c>
      <c r="C2300" s="5">
        <v>161</v>
      </c>
    </row>
    <row r="2301" spans="1:3">
      <c r="A2301" s="68">
        <v>37318.491666666669</v>
      </c>
      <c r="B2301" s="6">
        <v>7.4652777777777799E-3</v>
      </c>
      <c r="C2301" s="5">
        <v>162</v>
      </c>
    </row>
    <row r="2302" spans="1:3">
      <c r="A2302" s="68">
        <v>37318.491666666669</v>
      </c>
      <c r="B2302" s="6">
        <v>7.5231481481481503E-3</v>
      </c>
      <c r="C2302" s="5">
        <v>164</v>
      </c>
    </row>
    <row r="2303" spans="1:3">
      <c r="A2303" s="68">
        <v>37318.491666666669</v>
      </c>
      <c r="B2303" s="6">
        <v>7.5810185185185199E-3</v>
      </c>
      <c r="C2303" s="5">
        <v>167</v>
      </c>
    </row>
    <row r="2304" spans="1:3">
      <c r="A2304" s="68">
        <v>37318.491666666669</v>
      </c>
      <c r="B2304" s="6">
        <v>7.6388888888888904E-3</v>
      </c>
      <c r="C2304" s="5">
        <v>170</v>
      </c>
    </row>
    <row r="2305" spans="1:3">
      <c r="A2305" s="68">
        <v>37318.491666666669</v>
      </c>
      <c r="B2305" s="6">
        <v>7.69675925925926E-3</v>
      </c>
      <c r="C2305" s="5">
        <v>173</v>
      </c>
    </row>
    <row r="2306" spans="1:3">
      <c r="A2306" s="68">
        <v>37318.491666666669</v>
      </c>
      <c r="B2306" s="6">
        <v>7.7546296296296304E-3</v>
      </c>
      <c r="C2306" s="5">
        <v>173</v>
      </c>
    </row>
    <row r="2307" spans="1:3">
      <c r="A2307" s="68">
        <v>37318.491666666669</v>
      </c>
      <c r="B2307" s="6">
        <v>7.8125E-3</v>
      </c>
      <c r="C2307" s="5">
        <v>174</v>
      </c>
    </row>
    <row r="2308" spans="1:3">
      <c r="A2308" s="68">
        <v>37318.491666666669</v>
      </c>
      <c r="B2308" s="6">
        <v>7.8703703703703696E-3</v>
      </c>
      <c r="C2308" s="5">
        <v>174</v>
      </c>
    </row>
    <row r="2309" spans="1:3">
      <c r="A2309" s="68">
        <v>37318.491666666669</v>
      </c>
      <c r="B2309" s="6">
        <v>7.9282407407407392E-3</v>
      </c>
      <c r="C2309" s="5">
        <v>174</v>
      </c>
    </row>
    <row r="2310" spans="1:3">
      <c r="A2310" s="68">
        <v>37318.491666666669</v>
      </c>
      <c r="B2310" s="6">
        <v>7.9861111111111105E-3</v>
      </c>
      <c r="C2310" s="5">
        <v>174</v>
      </c>
    </row>
    <row r="2311" spans="1:3">
      <c r="A2311" s="68">
        <v>37318.491666666669</v>
      </c>
      <c r="B2311" s="6">
        <v>8.0439814814814801E-3</v>
      </c>
      <c r="C2311" s="5">
        <v>176</v>
      </c>
    </row>
    <row r="2312" spans="1:3">
      <c r="A2312" s="68">
        <v>37318.491666666669</v>
      </c>
      <c r="B2312" s="6">
        <v>8.1018518518518497E-3</v>
      </c>
      <c r="C2312" s="5">
        <v>177</v>
      </c>
    </row>
    <row r="2313" spans="1:3">
      <c r="A2313" s="68">
        <v>37318.491666666669</v>
      </c>
      <c r="B2313" s="6">
        <v>8.1597222222222193E-3</v>
      </c>
      <c r="C2313" s="5">
        <v>178</v>
      </c>
    </row>
    <row r="2314" spans="1:3">
      <c r="A2314" s="68">
        <v>37318.491666666669</v>
      </c>
      <c r="B2314" s="6">
        <v>8.2175925925925906E-3</v>
      </c>
      <c r="C2314" s="5">
        <v>178</v>
      </c>
    </row>
    <row r="2315" spans="1:3">
      <c r="A2315" s="68">
        <v>37318.491666666669</v>
      </c>
      <c r="B2315" s="6">
        <v>8.2754629629629602E-3</v>
      </c>
      <c r="C2315" s="5">
        <v>178</v>
      </c>
    </row>
    <row r="2316" spans="1:3">
      <c r="A2316" s="68">
        <v>37318.491666666669</v>
      </c>
      <c r="B2316" s="6">
        <v>8.3333333333333297E-3</v>
      </c>
      <c r="C2316" s="5">
        <v>178</v>
      </c>
    </row>
    <row r="2317" spans="1:3">
      <c r="A2317" s="68">
        <v>37318.491666666669</v>
      </c>
      <c r="B2317" s="6">
        <v>8.3912037037036993E-3</v>
      </c>
      <c r="C2317" s="5">
        <v>178</v>
      </c>
    </row>
    <row r="2318" spans="1:3">
      <c r="A2318" s="68">
        <v>37318.491666666669</v>
      </c>
      <c r="B2318" s="6">
        <v>8.4490740740740707E-3</v>
      </c>
      <c r="C2318" s="5">
        <v>178</v>
      </c>
    </row>
    <row r="2319" spans="1:3">
      <c r="A2319" s="68">
        <v>37318.491666666669</v>
      </c>
      <c r="B2319" s="6">
        <v>8.5069444444444402E-3</v>
      </c>
      <c r="C2319" s="5">
        <v>173</v>
      </c>
    </row>
    <row r="2320" spans="1:3">
      <c r="A2320" s="68">
        <v>37318.491666666669</v>
      </c>
      <c r="B2320" s="6">
        <v>8.5648148148148098E-3</v>
      </c>
      <c r="C2320" s="5">
        <v>170</v>
      </c>
    </row>
    <row r="2321" spans="1:3">
      <c r="A2321" s="68">
        <v>37318.491666666669</v>
      </c>
      <c r="B2321" s="6">
        <v>8.6226851851851794E-3</v>
      </c>
      <c r="C2321" s="5">
        <v>167</v>
      </c>
    </row>
    <row r="2322" spans="1:3">
      <c r="A2322" s="68">
        <v>37318.491666666669</v>
      </c>
      <c r="B2322" s="6">
        <v>8.6805555555555507E-3</v>
      </c>
      <c r="C2322" s="5">
        <v>165</v>
      </c>
    </row>
    <row r="2323" spans="1:3">
      <c r="A2323" s="68">
        <v>37318.491666666669</v>
      </c>
      <c r="B2323" s="6">
        <v>8.7384259259259307E-3</v>
      </c>
      <c r="C2323" s="5">
        <v>162</v>
      </c>
    </row>
    <row r="2324" spans="1:3">
      <c r="A2324" s="68">
        <v>37318.491666666669</v>
      </c>
      <c r="B2324" s="6">
        <v>8.7962962962963003E-3</v>
      </c>
      <c r="C2324" s="5">
        <v>161</v>
      </c>
    </row>
    <row r="2325" spans="1:3">
      <c r="A2325" s="68">
        <v>37318.491666666669</v>
      </c>
      <c r="B2325" s="6">
        <v>8.8541666666666699E-3</v>
      </c>
      <c r="C2325" s="5">
        <v>162</v>
      </c>
    </row>
    <row r="2326" spans="1:3">
      <c r="A2326" s="68">
        <v>37318.491666666669</v>
      </c>
      <c r="B2326" s="6">
        <v>8.9120370370370395E-3</v>
      </c>
      <c r="C2326" s="5">
        <v>164</v>
      </c>
    </row>
    <row r="2327" spans="1:3">
      <c r="A2327" s="68">
        <v>37318.491666666669</v>
      </c>
      <c r="B2327" s="6">
        <v>8.9699074074074108E-3</v>
      </c>
      <c r="C2327" s="5">
        <v>164</v>
      </c>
    </row>
    <row r="2328" spans="1:3">
      <c r="A2328" s="68">
        <v>37318.491666666669</v>
      </c>
      <c r="B2328" s="6">
        <v>9.0277777777777804E-3</v>
      </c>
      <c r="C2328" s="5">
        <v>166</v>
      </c>
    </row>
    <row r="2329" spans="1:3">
      <c r="A2329" s="68">
        <v>37318.491666666669</v>
      </c>
      <c r="B2329" s="6">
        <v>9.08564814814815E-3</v>
      </c>
      <c r="C2329" s="5">
        <v>166</v>
      </c>
    </row>
    <row r="2330" spans="1:3">
      <c r="A2330" s="68">
        <v>37318.491666666669</v>
      </c>
      <c r="B2330" s="6">
        <v>9.1435185185185196E-3</v>
      </c>
      <c r="C2330" s="5">
        <v>169</v>
      </c>
    </row>
    <row r="2331" spans="1:3">
      <c r="A2331" s="68">
        <v>37318.491666666669</v>
      </c>
      <c r="B2331" s="6">
        <v>9.2013888888888892E-3</v>
      </c>
      <c r="C2331" s="5">
        <v>170</v>
      </c>
    </row>
    <row r="2332" spans="1:3">
      <c r="A2332" s="68">
        <v>37318.491666666669</v>
      </c>
      <c r="B2332" s="6">
        <v>9.2592592592592605E-3</v>
      </c>
      <c r="C2332" s="5">
        <v>170</v>
      </c>
    </row>
    <row r="2333" spans="1:3">
      <c r="A2333" s="68">
        <v>37318.491666666669</v>
      </c>
      <c r="B2333" s="6">
        <v>9.3171296296296301E-3</v>
      </c>
      <c r="C2333" s="5">
        <v>173</v>
      </c>
    </row>
    <row r="2334" spans="1:3">
      <c r="A2334" s="68">
        <v>37318.491666666669</v>
      </c>
      <c r="B2334" s="6">
        <v>9.3749999999999997E-3</v>
      </c>
      <c r="C2334" s="5">
        <v>175</v>
      </c>
    </row>
    <row r="2335" spans="1:3">
      <c r="A2335" s="68">
        <v>37318.491666666669</v>
      </c>
      <c r="B2335" s="6">
        <v>9.4328703703703692E-3</v>
      </c>
      <c r="C2335" s="5">
        <v>176</v>
      </c>
    </row>
    <row r="2336" spans="1:3">
      <c r="A2336" s="68">
        <v>37318.491666666669</v>
      </c>
      <c r="B2336" s="6">
        <v>9.4907407407407406E-3</v>
      </c>
      <c r="C2336" s="5">
        <v>177</v>
      </c>
    </row>
    <row r="2337" spans="1:3">
      <c r="A2337" s="68">
        <v>37318.491666666669</v>
      </c>
      <c r="B2337" s="6">
        <v>9.5486111111111101E-3</v>
      </c>
      <c r="C2337" s="5">
        <v>178</v>
      </c>
    </row>
    <row r="2338" spans="1:3">
      <c r="A2338" s="68">
        <v>37318.491666666669</v>
      </c>
      <c r="B2338" s="6">
        <v>9.6064814814814797E-3</v>
      </c>
      <c r="C2338" s="5">
        <v>179</v>
      </c>
    </row>
    <row r="2339" spans="1:3">
      <c r="A2339" s="68">
        <v>37318.491666666669</v>
      </c>
      <c r="B2339" s="6">
        <v>9.6643518518518493E-3</v>
      </c>
      <c r="C2339" s="5">
        <v>179</v>
      </c>
    </row>
    <row r="2340" spans="1:3">
      <c r="A2340" s="68">
        <v>37318.491666666669</v>
      </c>
      <c r="B2340" s="6">
        <v>9.7222222222222206E-3</v>
      </c>
      <c r="C2340" s="5">
        <v>179</v>
      </c>
    </row>
    <row r="2341" spans="1:3">
      <c r="A2341" s="68">
        <v>37318.491666666669</v>
      </c>
      <c r="B2341" s="6">
        <v>9.7800925925925902E-3</v>
      </c>
      <c r="C2341" s="5">
        <v>180</v>
      </c>
    </row>
    <row r="2342" spans="1:3">
      <c r="A2342" s="68">
        <v>37318.491666666669</v>
      </c>
      <c r="B2342" s="6">
        <v>9.8379629629629598E-3</v>
      </c>
      <c r="C2342" s="5">
        <v>176</v>
      </c>
    </row>
    <row r="2343" spans="1:3">
      <c r="A2343" s="68">
        <v>37318.491666666669</v>
      </c>
      <c r="B2343" s="6">
        <v>9.8958333333333294E-3</v>
      </c>
      <c r="C2343" s="5">
        <v>178</v>
      </c>
    </row>
    <row r="2344" spans="1:3">
      <c r="A2344" s="68">
        <v>37318.491666666669</v>
      </c>
      <c r="B2344" s="6">
        <v>9.9537037037037007E-3</v>
      </c>
      <c r="C2344" s="5">
        <v>176</v>
      </c>
    </row>
    <row r="2345" spans="1:3">
      <c r="A2345" s="68">
        <v>37318.491666666669</v>
      </c>
      <c r="B2345" s="6">
        <v>1.00115740740741E-2</v>
      </c>
      <c r="C2345" s="5">
        <v>173</v>
      </c>
    </row>
    <row r="2346" spans="1:3">
      <c r="A2346" s="68">
        <v>37318.491666666669</v>
      </c>
      <c r="B2346" s="6">
        <v>1.00694444444444E-2</v>
      </c>
      <c r="C2346" s="5">
        <v>171</v>
      </c>
    </row>
    <row r="2347" spans="1:3">
      <c r="A2347" s="68">
        <v>37318.491666666669</v>
      </c>
      <c r="B2347" s="6">
        <v>1.0127314814814801E-2</v>
      </c>
      <c r="C2347" s="5">
        <v>168</v>
      </c>
    </row>
    <row r="2348" spans="1:3">
      <c r="A2348" s="68">
        <v>37318.491666666669</v>
      </c>
      <c r="B2348" s="6">
        <v>1.01851851851852E-2</v>
      </c>
      <c r="C2348" s="5">
        <v>163</v>
      </c>
    </row>
    <row r="2349" spans="1:3">
      <c r="A2349" s="68">
        <v>37318.491666666669</v>
      </c>
      <c r="B2349" s="6">
        <v>1.0243055555555601E-2</v>
      </c>
      <c r="C2349" s="5">
        <v>161</v>
      </c>
    </row>
    <row r="2350" spans="1:3">
      <c r="A2350" s="68">
        <v>37318.491666666669</v>
      </c>
      <c r="B2350" s="6">
        <v>1.0300925925925899E-2</v>
      </c>
      <c r="C2350" s="5">
        <v>160</v>
      </c>
    </row>
    <row r="2351" spans="1:3">
      <c r="A2351" s="68">
        <v>37318.491666666669</v>
      </c>
      <c r="B2351" s="6">
        <v>1.03587962962963E-2</v>
      </c>
      <c r="C2351" s="5">
        <v>160</v>
      </c>
    </row>
    <row r="2352" spans="1:3">
      <c r="A2352" s="68">
        <v>37318.491666666669</v>
      </c>
      <c r="B2352" s="6">
        <v>1.0416666666666701E-2</v>
      </c>
      <c r="C2352" s="5">
        <v>164</v>
      </c>
    </row>
    <row r="2353" spans="1:3">
      <c r="A2353" s="68">
        <v>37318.491666666669</v>
      </c>
      <c r="B2353" s="6">
        <v>1.0474537037036999E-2</v>
      </c>
      <c r="C2353" s="5">
        <v>168</v>
      </c>
    </row>
    <row r="2354" spans="1:3">
      <c r="A2354" s="68">
        <v>37318.491666666669</v>
      </c>
      <c r="B2354" s="6">
        <v>1.05324074074074E-2</v>
      </c>
      <c r="C2354" s="5">
        <v>169</v>
      </c>
    </row>
    <row r="2355" spans="1:3">
      <c r="A2355" s="68">
        <v>37318.491666666669</v>
      </c>
      <c r="B2355" s="6">
        <v>1.0590277777777799E-2</v>
      </c>
      <c r="C2355" s="5">
        <v>171</v>
      </c>
    </row>
    <row r="2356" spans="1:3">
      <c r="A2356" s="68">
        <v>37318.491666666669</v>
      </c>
      <c r="B2356" s="6">
        <v>1.0648148148148099E-2</v>
      </c>
      <c r="C2356" s="5">
        <v>172</v>
      </c>
    </row>
    <row r="2357" spans="1:3">
      <c r="A2357" s="68">
        <v>37318.491666666669</v>
      </c>
      <c r="B2357" s="6">
        <v>1.07060185185185E-2</v>
      </c>
      <c r="C2357" s="5">
        <v>172</v>
      </c>
    </row>
    <row r="2358" spans="1:3">
      <c r="A2358" s="68">
        <v>37318.491666666669</v>
      </c>
      <c r="B2358" s="6">
        <v>1.0763888888888899E-2</v>
      </c>
      <c r="C2358" s="5">
        <v>173</v>
      </c>
    </row>
    <row r="2359" spans="1:3">
      <c r="A2359" s="68">
        <v>37318.491666666669</v>
      </c>
      <c r="B2359" s="6">
        <v>1.08217592592593E-2</v>
      </c>
      <c r="C2359" s="5">
        <v>174</v>
      </c>
    </row>
    <row r="2360" spans="1:3">
      <c r="A2360" s="68">
        <v>37318.491666666669</v>
      </c>
      <c r="B2360" s="6">
        <v>1.08796296296296E-2</v>
      </c>
      <c r="C2360" s="5">
        <v>175</v>
      </c>
    </row>
    <row r="2361" spans="1:3">
      <c r="A2361" s="68">
        <v>37318.491666666669</v>
      </c>
      <c r="B2361" s="6">
        <v>1.0937499999999999E-2</v>
      </c>
      <c r="C2361" s="5">
        <v>174</v>
      </c>
    </row>
    <row r="2362" spans="1:3">
      <c r="A2362" s="68">
        <v>37318.491666666669</v>
      </c>
      <c r="B2362" s="6">
        <v>1.09953703703704E-2</v>
      </c>
      <c r="C2362" s="5">
        <v>175</v>
      </c>
    </row>
    <row r="2363" spans="1:3">
      <c r="A2363" s="68">
        <v>37318.491666666669</v>
      </c>
      <c r="B2363" s="6">
        <v>1.10532407407407E-2</v>
      </c>
      <c r="C2363" s="5">
        <v>177</v>
      </c>
    </row>
    <row r="2364" spans="1:3">
      <c r="A2364" s="68">
        <v>37318.491666666669</v>
      </c>
      <c r="B2364" s="6">
        <v>1.1111111111111099E-2</v>
      </c>
      <c r="C2364" s="5">
        <v>178</v>
      </c>
    </row>
    <row r="2365" spans="1:3">
      <c r="A2365" s="68">
        <v>37318.491666666669</v>
      </c>
      <c r="B2365" s="6">
        <v>1.11689814814815E-2</v>
      </c>
      <c r="C2365" s="5">
        <v>178</v>
      </c>
    </row>
    <row r="2366" spans="1:3">
      <c r="A2366" s="68">
        <v>37318.491666666669</v>
      </c>
      <c r="B2366" s="6">
        <v>1.1226851851851899E-2</v>
      </c>
      <c r="C2366" s="5">
        <v>177</v>
      </c>
    </row>
    <row r="2367" spans="1:3">
      <c r="A2367" s="68">
        <v>37318.491666666669</v>
      </c>
      <c r="B2367" s="6">
        <v>1.1284722222222199E-2</v>
      </c>
      <c r="C2367" s="5">
        <v>177</v>
      </c>
    </row>
    <row r="2368" spans="1:3">
      <c r="A2368" s="68">
        <v>37318.491666666669</v>
      </c>
      <c r="B2368" s="6">
        <v>1.13425925925926E-2</v>
      </c>
      <c r="C2368" s="5">
        <v>177</v>
      </c>
    </row>
    <row r="2369" spans="1:3">
      <c r="A2369" s="68">
        <v>37318.491666666669</v>
      </c>
      <c r="B2369" s="6">
        <v>1.1400462962962999E-2</v>
      </c>
      <c r="C2369" s="5">
        <v>175</v>
      </c>
    </row>
    <row r="2370" spans="1:3">
      <c r="A2370" s="68">
        <v>37318.491666666669</v>
      </c>
      <c r="B2370" s="6">
        <v>1.14583333333333E-2</v>
      </c>
      <c r="C2370" s="5">
        <v>172</v>
      </c>
    </row>
    <row r="2371" spans="1:3">
      <c r="A2371" s="68">
        <v>37318.491666666669</v>
      </c>
      <c r="B2371" s="6">
        <v>1.15162037037037E-2</v>
      </c>
      <c r="C2371" s="5">
        <v>170</v>
      </c>
    </row>
    <row r="2372" spans="1:3">
      <c r="A2372" s="68">
        <v>37318.491666666669</v>
      </c>
      <c r="B2372" s="6">
        <v>1.1574074074074099E-2</v>
      </c>
      <c r="C2372" s="5">
        <v>166</v>
      </c>
    </row>
    <row r="2373" spans="1:3">
      <c r="A2373" s="68">
        <v>37318.491666666669</v>
      </c>
      <c r="B2373" s="6">
        <v>1.16319444444444E-2</v>
      </c>
      <c r="C2373" s="5">
        <v>161</v>
      </c>
    </row>
    <row r="2374" spans="1:3">
      <c r="A2374" s="68">
        <v>37318.491666666669</v>
      </c>
      <c r="B2374" s="6">
        <v>1.16898148148148E-2</v>
      </c>
      <c r="C2374" s="5">
        <v>160</v>
      </c>
    </row>
    <row r="2375" spans="1:3">
      <c r="A2375" s="68">
        <v>37318.491666666669</v>
      </c>
      <c r="B2375" s="6">
        <v>1.17476851851852E-2</v>
      </c>
      <c r="C2375" s="5">
        <v>160</v>
      </c>
    </row>
    <row r="2376" spans="1:3">
      <c r="A2376" s="68">
        <v>37318.491666666669</v>
      </c>
      <c r="B2376" s="6">
        <v>1.18055555555556E-2</v>
      </c>
      <c r="C2376" s="5">
        <v>161</v>
      </c>
    </row>
    <row r="2377" spans="1:3">
      <c r="A2377" s="68">
        <v>37318.491666666669</v>
      </c>
      <c r="B2377" s="6">
        <v>1.1863425925925901E-2</v>
      </c>
      <c r="C2377" s="5">
        <v>163</v>
      </c>
    </row>
    <row r="2378" spans="1:3">
      <c r="A2378" s="68">
        <v>37318.491666666669</v>
      </c>
      <c r="B2378" s="6">
        <v>1.19212962962963E-2</v>
      </c>
      <c r="C2378" s="5">
        <v>165</v>
      </c>
    </row>
    <row r="2379" spans="1:3">
      <c r="A2379" s="68">
        <v>37318.491666666669</v>
      </c>
      <c r="B2379" s="6">
        <v>1.19791666666667E-2</v>
      </c>
      <c r="C2379" s="5">
        <v>164</v>
      </c>
    </row>
    <row r="2380" spans="1:3">
      <c r="A2380" s="68">
        <v>37318.491666666669</v>
      </c>
      <c r="B2380" s="6">
        <v>1.2037037037037001E-2</v>
      </c>
      <c r="C2380" s="5">
        <v>164</v>
      </c>
    </row>
    <row r="2381" spans="1:3">
      <c r="A2381" s="68">
        <v>37318.491666666669</v>
      </c>
      <c r="B2381" s="6">
        <v>1.20949074074074E-2</v>
      </c>
      <c r="C2381" s="5">
        <v>166</v>
      </c>
    </row>
    <row r="2382" spans="1:3">
      <c r="A2382" s="68">
        <v>37318.491666666669</v>
      </c>
      <c r="B2382" s="6">
        <v>1.2152777777777801E-2</v>
      </c>
      <c r="C2382" s="5">
        <v>167</v>
      </c>
    </row>
    <row r="2383" spans="1:3">
      <c r="A2383" s="68">
        <v>37318.491666666669</v>
      </c>
      <c r="B2383" s="6">
        <v>1.2210648148148101E-2</v>
      </c>
      <c r="C2383" s="5">
        <v>166</v>
      </c>
    </row>
    <row r="2384" spans="1:3">
      <c r="A2384" s="68">
        <v>37318.491666666669</v>
      </c>
      <c r="B2384" s="6">
        <v>1.22685185185185E-2</v>
      </c>
      <c r="C2384" s="5">
        <v>168</v>
      </c>
    </row>
    <row r="2385" spans="1:3">
      <c r="A2385" s="68">
        <v>37318.491666666669</v>
      </c>
      <c r="B2385" s="6">
        <v>1.2326388888888901E-2</v>
      </c>
      <c r="C2385" s="5">
        <v>172</v>
      </c>
    </row>
    <row r="2386" spans="1:3">
      <c r="A2386" s="68">
        <v>37318.491666666669</v>
      </c>
      <c r="B2386" s="6">
        <v>1.23842592592593E-2</v>
      </c>
      <c r="C2386" s="5">
        <v>174</v>
      </c>
    </row>
    <row r="2387" spans="1:3">
      <c r="A2387" s="68">
        <v>37318.491666666669</v>
      </c>
      <c r="B2387" s="6">
        <v>1.24421296296296E-2</v>
      </c>
      <c r="C2387" s="5">
        <v>177</v>
      </c>
    </row>
    <row r="2388" spans="1:3">
      <c r="A2388" s="68">
        <v>37318.491666666669</v>
      </c>
      <c r="B2388" s="6">
        <v>1.2500000000000001E-2</v>
      </c>
      <c r="C2388" s="5">
        <v>179</v>
      </c>
    </row>
    <row r="2389" spans="1:3">
      <c r="A2389" s="68">
        <v>37318.491666666669</v>
      </c>
      <c r="B2389" s="6">
        <v>1.25578703703704E-2</v>
      </c>
      <c r="C2389" s="5">
        <v>180</v>
      </c>
    </row>
    <row r="2390" spans="1:3">
      <c r="A2390" s="68">
        <v>37318.491666666669</v>
      </c>
      <c r="B2390" s="6">
        <v>1.26157407407407E-2</v>
      </c>
      <c r="C2390" s="5">
        <v>179</v>
      </c>
    </row>
    <row r="2391" spans="1:3">
      <c r="A2391" s="68">
        <v>37318.491666666669</v>
      </c>
      <c r="B2391" s="6">
        <v>1.2673611111111101E-2</v>
      </c>
      <c r="C2391" s="5">
        <v>179</v>
      </c>
    </row>
    <row r="2392" spans="1:3">
      <c r="A2392" s="68">
        <v>37318.491666666669</v>
      </c>
      <c r="B2392" s="6">
        <v>1.27314814814815E-2</v>
      </c>
      <c r="C2392" s="5">
        <v>178</v>
      </c>
    </row>
    <row r="2393" spans="1:3">
      <c r="A2393" s="68">
        <v>37318.491666666669</v>
      </c>
      <c r="B2393" s="6">
        <v>1.2789351851851901E-2</v>
      </c>
      <c r="C2393" s="5">
        <v>178</v>
      </c>
    </row>
    <row r="2394" spans="1:3">
      <c r="A2394" s="68">
        <v>37318.491666666669</v>
      </c>
      <c r="B2394" s="6">
        <v>1.2847222222222201E-2</v>
      </c>
      <c r="C2394" s="5">
        <v>178</v>
      </c>
    </row>
    <row r="2395" spans="1:3">
      <c r="A2395" s="68">
        <v>37318.491666666669</v>
      </c>
      <c r="B2395" s="6">
        <v>1.29050925925926E-2</v>
      </c>
      <c r="C2395" s="5">
        <v>176</v>
      </c>
    </row>
    <row r="2396" spans="1:3">
      <c r="A2396" s="68">
        <v>37318.491666666669</v>
      </c>
      <c r="B2396" s="6">
        <v>1.2962962962963001E-2</v>
      </c>
      <c r="C2396" s="5">
        <v>174</v>
      </c>
    </row>
    <row r="2397" spans="1:3">
      <c r="A2397" s="68">
        <v>37318.491666666669</v>
      </c>
      <c r="B2397" s="6">
        <v>1.3020833333333299E-2</v>
      </c>
      <c r="C2397" s="5">
        <v>171</v>
      </c>
    </row>
    <row r="2398" spans="1:3">
      <c r="A2398" s="68">
        <v>37318.491666666669</v>
      </c>
      <c r="B2398" s="6">
        <v>1.30787037037037E-2</v>
      </c>
      <c r="C2398" s="5">
        <v>166</v>
      </c>
    </row>
    <row r="2399" spans="1:3">
      <c r="A2399" s="68">
        <v>37318.491666666669</v>
      </c>
      <c r="B2399" s="6">
        <v>1.3136574074074101E-2</v>
      </c>
      <c r="C2399" s="5">
        <v>164</v>
      </c>
    </row>
    <row r="2400" spans="1:3">
      <c r="A2400" s="68">
        <v>37318.491666666669</v>
      </c>
      <c r="B2400" s="6">
        <v>1.3194444444444399E-2</v>
      </c>
      <c r="C2400" s="5">
        <v>162</v>
      </c>
    </row>
    <row r="2401" spans="1:3">
      <c r="A2401" s="68">
        <v>37318.491666666669</v>
      </c>
      <c r="B2401" s="6">
        <v>1.32523148148148E-2</v>
      </c>
      <c r="C2401" s="5">
        <v>162</v>
      </c>
    </row>
    <row r="2402" spans="1:3">
      <c r="A2402" s="68">
        <v>37318.491666666669</v>
      </c>
      <c r="B2402" s="6">
        <v>1.3310185185185199E-2</v>
      </c>
      <c r="C2402" s="5">
        <v>166</v>
      </c>
    </row>
    <row r="2403" spans="1:3">
      <c r="A2403" s="68">
        <v>37318.491666666669</v>
      </c>
      <c r="B2403" s="6">
        <v>1.33680555555556E-2</v>
      </c>
      <c r="C2403" s="5">
        <v>168</v>
      </c>
    </row>
    <row r="2404" spans="1:3">
      <c r="A2404" s="68">
        <v>37318.491666666669</v>
      </c>
      <c r="B2404" s="6">
        <v>1.34259259259259E-2</v>
      </c>
      <c r="C2404" s="5">
        <v>172</v>
      </c>
    </row>
    <row r="2405" spans="1:3">
      <c r="A2405" s="68">
        <v>37318.491666666669</v>
      </c>
      <c r="B2405" s="6">
        <v>1.3483796296296299E-2</v>
      </c>
      <c r="C2405" s="5">
        <v>177</v>
      </c>
    </row>
    <row r="2406" spans="1:3">
      <c r="A2406" s="68">
        <v>37318.491666666669</v>
      </c>
      <c r="B2406" s="6">
        <v>1.35416666666667E-2</v>
      </c>
      <c r="C2406" s="5">
        <v>181</v>
      </c>
    </row>
    <row r="2407" spans="1:3">
      <c r="A2407" s="68">
        <v>37318.491666666669</v>
      </c>
      <c r="B2407" s="6">
        <v>1.3599537037037E-2</v>
      </c>
      <c r="C2407" s="5">
        <v>184</v>
      </c>
    </row>
    <row r="2408" spans="1:3">
      <c r="A2408" s="68">
        <v>37318.491666666669</v>
      </c>
      <c r="B2408" s="6">
        <v>1.3657407407407399E-2</v>
      </c>
      <c r="C2408" s="5">
        <v>185</v>
      </c>
    </row>
    <row r="2409" spans="1:3">
      <c r="A2409" s="68">
        <v>37318.491666666669</v>
      </c>
      <c r="B2409" s="6">
        <v>1.37152777777778E-2</v>
      </c>
      <c r="C2409" s="5">
        <v>187</v>
      </c>
    </row>
    <row r="2410" spans="1:3">
      <c r="A2410" s="68">
        <v>37318.491666666669</v>
      </c>
      <c r="B2410" s="6">
        <v>1.37731481481481E-2</v>
      </c>
      <c r="C2410" s="5">
        <v>189</v>
      </c>
    </row>
    <row r="2411" spans="1:3">
      <c r="A2411" s="68">
        <v>37318.491666666669</v>
      </c>
      <c r="B2411" s="6">
        <v>1.3831018518518499E-2</v>
      </c>
      <c r="C2411" s="5">
        <v>190</v>
      </c>
    </row>
    <row r="2412" spans="1:3">
      <c r="A2412" s="68">
        <v>37318.491666666669</v>
      </c>
      <c r="B2412" s="6">
        <v>1.38888888888889E-2</v>
      </c>
      <c r="C2412" s="5">
        <v>192</v>
      </c>
    </row>
    <row r="2413" spans="1:3">
      <c r="A2413" s="68">
        <v>37318.491666666669</v>
      </c>
      <c r="B2413" s="6">
        <v>1.3946759259259299E-2</v>
      </c>
      <c r="C2413" s="5">
        <v>192</v>
      </c>
    </row>
    <row r="2414" spans="1:3">
      <c r="A2414" s="68">
        <v>37318.491666666669</v>
      </c>
      <c r="B2414" s="6">
        <v>1.40046296296296E-2</v>
      </c>
      <c r="C2414" s="5">
        <v>192</v>
      </c>
    </row>
    <row r="2415" spans="1:3">
      <c r="A2415" s="68">
        <v>37318.491666666669</v>
      </c>
      <c r="B2415" s="6">
        <v>1.40625E-2</v>
      </c>
      <c r="C2415" s="5">
        <v>193</v>
      </c>
    </row>
    <row r="2416" spans="1:3">
      <c r="A2416" s="68">
        <v>37318.491666666669</v>
      </c>
      <c r="B2416" s="6">
        <v>1.4120370370370399E-2</v>
      </c>
      <c r="C2416" s="5">
        <v>192</v>
      </c>
    </row>
    <row r="2417" spans="1:3">
      <c r="A2417" s="68">
        <v>37318.491666666669</v>
      </c>
      <c r="B2417" s="6">
        <v>1.41782407407407E-2</v>
      </c>
      <c r="C2417" s="5">
        <v>190</v>
      </c>
    </row>
    <row r="2418" spans="1:3">
      <c r="A2418" s="68">
        <v>37318.491666666669</v>
      </c>
      <c r="B2418" s="6">
        <v>1.42361111111111E-2</v>
      </c>
      <c r="C2418" s="5">
        <v>188</v>
      </c>
    </row>
    <row r="2419" spans="1:3">
      <c r="A2419" s="68">
        <v>37318.491666666669</v>
      </c>
      <c r="B2419" s="6">
        <v>1.42939814814815E-2</v>
      </c>
      <c r="C2419" s="5">
        <v>183</v>
      </c>
    </row>
    <row r="2420" spans="1:3">
      <c r="A2420" s="68">
        <v>37318.491666666669</v>
      </c>
      <c r="B2420" s="6">
        <v>1.43518518518519E-2</v>
      </c>
      <c r="C2420" s="5">
        <v>179</v>
      </c>
    </row>
    <row r="2421" spans="1:3">
      <c r="A2421" s="68">
        <v>37318.491666666669</v>
      </c>
      <c r="B2421" s="6">
        <v>1.4409722222222201E-2</v>
      </c>
      <c r="C2421" s="5">
        <v>176</v>
      </c>
    </row>
    <row r="2422" spans="1:3">
      <c r="A2422" s="68">
        <v>37318.491666666669</v>
      </c>
      <c r="B2422" s="6">
        <v>1.44675925925926E-2</v>
      </c>
      <c r="C2422" s="5">
        <v>173</v>
      </c>
    </row>
    <row r="2423" spans="1:3">
      <c r="A2423" s="68">
        <v>37318.491666666669</v>
      </c>
      <c r="B2423" s="6">
        <v>1.4525462962963E-2</v>
      </c>
      <c r="C2423" s="5">
        <v>170</v>
      </c>
    </row>
    <row r="2424" spans="1:3">
      <c r="A2424" s="68">
        <v>37318.491666666669</v>
      </c>
      <c r="B2424" s="6">
        <v>1.4583333333333301E-2</v>
      </c>
      <c r="C2424" s="5">
        <v>165</v>
      </c>
    </row>
    <row r="2425" spans="1:3">
      <c r="A2425" s="68">
        <v>37318.491666666669</v>
      </c>
      <c r="B2425" s="6">
        <v>1.46412037037037E-2</v>
      </c>
      <c r="C2425" s="5">
        <v>158</v>
      </c>
    </row>
    <row r="2426" spans="1:3">
      <c r="A2426" s="68">
        <v>37318.491666666669</v>
      </c>
      <c r="B2426" s="6">
        <v>1.46990740740741E-2</v>
      </c>
      <c r="C2426" s="5">
        <v>153</v>
      </c>
    </row>
    <row r="2427" spans="1:3">
      <c r="A2427" s="68">
        <v>37318.491666666669</v>
      </c>
      <c r="B2427" s="6">
        <v>1.4756944444444401E-2</v>
      </c>
      <c r="C2427" s="5">
        <v>150</v>
      </c>
    </row>
    <row r="2428" spans="1:3">
      <c r="A2428" s="68">
        <v>37318.491666666669</v>
      </c>
      <c r="B2428" s="6">
        <v>1.48148148148148E-2</v>
      </c>
      <c r="C2428" s="5">
        <v>149</v>
      </c>
    </row>
    <row r="2429" spans="1:3">
      <c r="A2429" s="68">
        <v>37318.491666666669</v>
      </c>
      <c r="B2429" s="6">
        <v>1.4872685185185201E-2</v>
      </c>
      <c r="C2429" s="5">
        <v>147</v>
      </c>
    </row>
    <row r="2430" spans="1:3">
      <c r="A2430" s="68">
        <v>37318.491666666669</v>
      </c>
      <c r="B2430" s="6">
        <v>1.49305555555556E-2</v>
      </c>
      <c r="C2430" s="5">
        <v>145</v>
      </c>
    </row>
    <row r="2431" spans="1:3">
      <c r="A2431" s="68">
        <v>37318.491666666669</v>
      </c>
      <c r="B2431" s="6">
        <v>1.49884259259259E-2</v>
      </c>
      <c r="C2431" s="5">
        <v>144</v>
      </c>
    </row>
    <row r="2432" spans="1:3">
      <c r="A2432" s="68">
        <v>37318.491666666669</v>
      </c>
      <c r="B2432" s="6">
        <v>1.5046296296296301E-2</v>
      </c>
      <c r="C2432" s="5">
        <v>143</v>
      </c>
    </row>
    <row r="2433" spans="1:3">
      <c r="A2433" s="68">
        <v>37318.491666666669</v>
      </c>
      <c r="B2433" s="6">
        <v>1.51041666666667E-2</v>
      </c>
      <c r="C2433" s="5">
        <v>141</v>
      </c>
    </row>
    <row r="2434" spans="1:3">
      <c r="A2434" s="68">
        <v>37318.491666666669</v>
      </c>
      <c r="B2434" s="6">
        <v>1.5162037037037E-2</v>
      </c>
      <c r="C2434" s="5">
        <v>139</v>
      </c>
    </row>
    <row r="2435" spans="1:3">
      <c r="A2435" s="68">
        <v>37318.491666666669</v>
      </c>
      <c r="B2435" s="6">
        <v>1.5219907407407401E-2</v>
      </c>
      <c r="C2435" s="5">
        <v>137</v>
      </c>
    </row>
    <row r="2436" spans="1:3">
      <c r="A2436" s="68">
        <v>37318.491666666669</v>
      </c>
      <c r="B2436" s="6">
        <v>1.52777777777778E-2</v>
      </c>
      <c r="C2436" s="5">
        <v>135</v>
      </c>
    </row>
    <row r="2437" spans="1:3">
      <c r="A2437" s="68">
        <v>37318.491666666669</v>
      </c>
      <c r="B2437" s="6">
        <v>1.53356481481481E-2</v>
      </c>
      <c r="C2437" s="5">
        <v>133</v>
      </c>
    </row>
    <row r="2438" spans="1:3">
      <c r="A2438" s="68">
        <v>37318.491666666669</v>
      </c>
      <c r="B2438" s="6">
        <v>1.5393518518518501E-2</v>
      </c>
      <c r="C2438" s="5">
        <v>132</v>
      </c>
    </row>
    <row r="2439" spans="1:3">
      <c r="A2439" s="68">
        <v>37318.491666666669</v>
      </c>
      <c r="B2439" s="6">
        <v>1.54513888888889E-2</v>
      </c>
      <c r="C2439" s="5">
        <v>133</v>
      </c>
    </row>
    <row r="2440" spans="1:3">
      <c r="A2440" s="68">
        <v>37318.491666666669</v>
      </c>
      <c r="B2440" s="6">
        <v>1.5509259259259301E-2</v>
      </c>
      <c r="C2440" s="5">
        <v>132</v>
      </c>
    </row>
    <row r="2441" spans="1:3">
      <c r="A2441" s="68">
        <v>37318.491666666669</v>
      </c>
      <c r="B2441" s="6">
        <v>1.5567129629629599E-2</v>
      </c>
      <c r="C2441" s="5">
        <v>129</v>
      </c>
    </row>
    <row r="2442" spans="1:3">
      <c r="A2442" s="68">
        <v>37318.491666666669</v>
      </c>
      <c r="B2442" s="6">
        <v>1.5625E-2</v>
      </c>
      <c r="C2442" s="5">
        <v>129</v>
      </c>
    </row>
    <row r="2443" spans="1:3">
      <c r="A2443" s="68">
        <v>37327.710416666669</v>
      </c>
      <c r="B2443" s="6">
        <v>0</v>
      </c>
      <c r="C2443" s="5">
        <v>123</v>
      </c>
    </row>
    <row r="2444" spans="1:3">
      <c r="A2444" s="68">
        <v>37327.710416666669</v>
      </c>
      <c r="B2444" s="6">
        <v>6.9444444444444447E-4</v>
      </c>
      <c r="C2444" s="5">
        <v>153</v>
      </c>
    </row>
    <row r="2445" spans="1:3">
      <c r="A2445" s="68">
        <v>37327.710416666669</v>
      </c>
      <c r="B2445" s="6">
        <v>1.38888888888889E-3</v>
      </c>
      <c r="C2445" s="5">
        <v>158</v>
      </c>
    </row>
    <row r="2446" spans="1:3">
      <c r="A2446" s="68">
        <v>37327.710416666669</v>
      </c>
      <c r="B2446" s="6">
        <v>2.0833333333333298E-3</v>
      </c>
      <c r="C2446" s="5">
        <v>158</v>
      </c>
    </row>
    <row r="2447" spans="1:3">
      <c r="A2447" s="68">
        <v>37327.710416666669</v>
      </c>
      <c r="B2447" s="6">
        <v>2.7777777777777801E-3</v>
      </c>
      <c r="C2447" s="5">
        <v>167</v>
      </c>
    </row>
    <row r="2448" spans="1:3">
      <c r="A2448" s="68">
        <v>37327.710416666669</v>
      </c>
      <c r="B2448" s="6">
        <v>3.4722222222222199E-3</v>
      </c>
      <c r="C2448" s="5">
        <v>173</v>
      </c>
    </row>
    <row r="2449" spans="1:3">
      <c r="A2449" s="68">
        <v>37327.710416666669</v>
      </c>
      <c r="B2449" s="6">
        <v>4.1666666666666701E-3</v>
      </c>
      <c r="C2449" s="5">
        <v>174</v>
      </c>
    </row>
    <row r="2450" spans="1:3">
      <c r="A2450" s="68">
        <v>37327.710416666669</v>
      </c>
      <c r="B2450" s="6">
        <v>4.8611111111111103E-3</v>
      </c>
      <c r="C2450" s="5">
        <v>175</v>
      </c>
    </row>
    <row r="2451" spans="1:3">
      <c r="A2451" s="68">
        <v>37327.710416666669</v>
      </c>
      <c r="B2451" s="6">
        <v>5.5555555555555601E-3</v>
      </c>
      <c r="C2451" s="5">
        <v>174</v>
      </c>
    </row>
    <row r="2452" spans="1:3">
      <c r="A2452" s="68">
        <v>37327.710416666669</v>
      </c>
      <c r="B2452" s="6">
        <v>6.2500000000000003E-3</v>
      </c>
      <c r="C2452" s="5">
        <v>176</v>
      </c>
    </row>
    <row r="2453" spans="1:3">
      <c r="A2453" s="68">
        <v>37327.710416666669</v>
      </c>
      <c r="B2453" s="6">
        <v>6.9444444444444397E-3</v>
      </c>
      <c r="C2453" s="5">
        <v>175</v>
      </c>
    </row>
    <row r="2454" spans="1:3">
      <c r="A2454" s="68">
        <v>37327.710416666669</v>
      </c>
      <c r="B2454" s="6">
        <v>7.6388888888888904E-3</v>
      </c>
      <c r="C2454" s="5">
        <v>175</v>
      </c>
    </row>
    <row r="2455" spans="1:3">
      <c r="A2455" s="68">
        <v>37327.710416666669</v>
      </c>
      <c r="B2455" s="6">
        <v>8.3333333333333297E-3</v>
      </c>
      <c r="C2455" s="5">
        <v>176</v>
      </c>
    </row>
    <row r="2456" spans="1:3">
      <c r="A2456" s="68">
        <v>37327.710416666669</v>
      </c>
      <c r="B2456" s="6">
        <v>9.0277777777777804E-3</v>
      </c>
      <c r="C2456" s="5">
        <v>176</v>
      </c>
    </row>
    <row r="2457" spans="1:3">
      <c r="A2457" s="68">
        <v>37327.710416666669</v>
      </c>
      <c r="B2457" s="6">
        <v>9.7222222222222206E-3</v>
      </c>
      <c r="C2457" s="5">
        <v>179</v>
      </c>
    </row>
    <row r="2458" spans="1:3">
      <c r="A2458" s="68">
        <v>37327.710416666669</v>
      </c>
      <c r="B2458" s="6">
        <v>1.0416666666666701E-2</v>
      </c>
      <c r="C2458" s="5">
        <v>180</v>
      </c>
    </row>
    <row r="2459" spans="1:3">
      <c r="A2459" s="68">
        <v>37327.710416666669</v>
      </c>
      <c r="B2459" s="6">
        <v>1.1111111111111099E-2</v>
      </c>
      <c r="C2459" s="5">
        <v>178</v>
      </c>
    </row>
    <row r="2460" spans="1:3">
      <c r="A2460" s="68">
        <v>37327.710416666669</v>
      </c>
      <c r="B2460" s="6">
        <v>1.18055555555556E-2</v>
      </c>
      <c r="C2460" s="5">
        <v>180</v>
      </c>
    </row>
    <row r="2461" spans="1:3">
      <c r="A2461" s="68">
        <v>37327.710416666669</v>
      </c>
      <c r="B2461" s="6">
        <v>1.2500000000000001E-2</v>
      </c>
      <c r="C2461" s="5">
        <v>178</v>
      </c>
    </row>
    <row r="2462" spans="1:3">
      <c r="A2462" s="68">
        <v>37327.710416666669</v>
      </c>
      <c r="B2462" s="6">
        <v>1.3194444444444399E-2</v>
      </c>
      <c r="C2462" s="5">
        <v>181</v>
      </c>
    </row>
    <row r="2463" spans="1:3">
      <c r="A2463" s="68">
        <v>37327.710416666669</v>
      </c>
      <c r="B2463" s="6">
        <v>1.38888888888889E-2</v>
      </c>
      <c r="C2463" s="5">
        <v>180</v>
      </c>
    </row>
    <row r="2464" spans="1:3">
      <c r="A2464" s="68">
        <v>37327.710416666669</v>
      </c>
      <c r="B2464" s="6">
        <v>1.4583333333333301E-2</v>
      </c>
      <c r="C2464" s="5">
        <v>183</v>
      </c>
    </row>
    <row r="2465" spans="1:3">
      <c r="A2465" s="68">
        <v>37327.710416666669</v>
      </c>
      <c r="B2465" s="6">
        <v>1.52777777777778E-2</v>
      </c>
      <c r="C2465" s="5">
        <v>183</v>
      </c>
    </row>
    <row r="2466" spans="1:3">
      <c r="A2466" s="68">
        <v>37327.710416666669</v>
      </c>
      <c r="B2466" s="6">
        <v>1.59722222222222E-2</v>
      </c>
      <c r="C2466" s="5">
        <v>185</v>
      </c>
    </row>
    <row r="2467" spans="1:3">
      <c r="A2467" s="68">
        <v>37327.710416666669</v>
      </c>
      <c r="B2467" s="6">
        <v>1.6666666666666701E-2</v>
      </c>
      <c r="C2467" s="5">
        <v>186</v>
      </c>
    </row>
    <row r="2468" spans="1:3">
      <c r="A2468" s="68">
        <v>37327.710416666669</v>
      </c>
      <c r="B2468" s="6">
        <v>1.7361111111111199E-2</v>
      </c>
      <c r="C2468" s="5">
        <v>187</v>
      </c>
    </row>
    <row r="2469" spans="1:3">
      <c r="A2469" s="68">
        <v>37328.725694444445</v>
      </c>
      <c r="B2469" s="6">
        <v>0</v>
      </c>
      <c r="C2469" s="5">
        <v>149</v>
      </c>
    </row>
    <row r="2470" spans="1:3">
      <c r="A2470" s="68">
        <v>37328.725694444445</v>
      </c>
      <c r="B2470" s="6">
        <v>6.9444444444444447E-4</v>
      </c>
      <c r="C2470" s="5">
        <v>152</v>
      </c>
    </row>
    <row r="2471" spans="1:3">
      <c r="A2471" s="68">
        <v>37328.725694444445</v>
      </c>
      <c r="B2471" s="6">
        <v>1.38888888888889E-3</v>
      </c>
      <c r="C2471" s="5">
        <v>153</v>
      </c>
    </row>
    <row r="2472" spans="1:3">
      <c r="A2472" s="68">
        <v>37328.725694444445</v>
      </c>
      <c r="B2472" s="6">
        <v>2.0833333333333298E-3</v>
      </c>
      <c r="C2472" s="5">
        <v>154</v>
      </c>
    </row>
    <row r="2473" spans="1:3">
      <c r="A2473" s="68">
        <v>37328.725694444445</v>
      </c>
      <c r="B2473" s="6">
        <v>2.7777777777777801E-3</v>
      </c>
      <c r="C2473" s="5">
        <v>160</v>
      </c>
    </row>
    <row r="2474" spans="1:3">
      <c r="A2474" s="68">
        <v>37328.725694444445</v>
      </c>
      <c r="B2474" s="6">
        <v>3.4722222222222199E-3</v>
      </c>
      <c r="C2474" s="5">
        <v>159</v>
      </c>
    </row>
    <row r="2475" spans="1:3">
      <c r="A2475" s="68">
        <v>37328.725694444445</v>
      </c>
      <c r="B2475" s="6">
        <v>4.1666666666666701E-3</v>
      </c>
      <c r="C2475" s="5">
        <v>159</v>
      </c>
    </row>
    <row r="2476" spans="1:3">
      <c r="A2476" s="68">
        <v>37328.725694444445</v>
      </c>
      <c r="B2476" s="6">
        <v>4.8611111111111103E-3</v>
      </c>
      <c r="C2476" s="5">
        <v>163</v>
      </c>
    </row>
    <row r="2477" spans="1:3">
      <c r="A2477" s="68">
        <v>37328.725694444445</v>
      </c>
      <c r="B2477" s="6">
        <v>5.5555555555555601E-3</v>
      </c>
      <c r="C2477" s="5">
        <v>162</v>
      </c>
    </row>
    <row r="2478" spans="1:3">
      <c r="A2478" s="68">
        <v>37328.725694444445</v>
      </c>
      <c r="B2478" s="6">
        <v>6.2500000000000003E-3</v>
      </c>
      <c r="C2478" s="5">
        <v>159</v>
      </c>
    </row>
    <row r="2479" spans="1:3">
      <c r="A2479" s="68">
        <v>37328.725694444445</v>
      </c>
      <c r="B2479" s="6">
        <v>6.9444444444444397E-3</v>
      </c>
      <c r="C2479" s="5">
        <v>163</v>
      </c>
    </row>
    <row r="2480" spans="1:3">
      <c r="A2480" s="68">
        <v>37328.725694444445</v>
      </c>
      <c r="B2480" s="6">
        <v>7.6388888888888904E-3</v>
      </c>
      <c r="C2480" s="5">
        <v>158</v>
      </c>
    </row>
    <row r="2481" spans="1:3">
      <c r="A2481" s="68">
        <v>37328.725694444445</v>
      </c>
      <c r="B2481" s="6">
        <v>8.3333333333333297E-3</v>
      </c>
      <c r="C2481" s="5">
        <v>158</v>
      </c>
    </row>
    <row r="2482" spans="1:3">
      <c r="A2482" s="68">
        <v>37328.725694444445</v>
      </c>
      <c r="B2482" s="6">
        <v>9.0277777777777804E-3</v>
      </c>
      <c r="C2482" s="5">
        <v>158</v>
      </c>
    </row>
    <row r="2483" spans="1:3">
      <c r="A2483" s="68">
        <v>37328.725694444445</v>
      </c>
      <c r="B2483" s="6">
        <v>9.7222222222222206E-3</v>
      </c>
      <c r="C2483" s="5">
        <v>156</v>
      </c>
    </row>
    <row r="2484" spans="1:3">
      <c r="A2484" s="68">
        <v>37328.725694444445</v>
      </c>
      <c r="B2484" s="6">
        <v>1.0416666666666701E-2</v>
      </c>
      <c r="C2484" s="5">
        <v>161</v>
      </c>
    </row>
    <row r="2485" spans="1:3">
      <c r="A2485" s="68">
        <v>37328.725694444445</v>
      </c>
      <c r="B2485" s="6">
        <v>1.1111111111111099E-2</v>
      </c>
      <c r="C2485" s="5">
        <v>157</v>
      </c>
    </row>
    <row r="2486" spans="1:3">
      <c r="A2486" s="68">
        <v>37328.725694444445</v>
      </c>
      <c r="B2486" s="6">
        <v>1.18055555555556E-2</v>
      </c>
      <c r="C2486" s="5">
        <v>154</v>
      </c>
    </row>
    <row r="2487" spans="1:3">
      <c r="A2487" s="68">
        <v>37328.725694444445</v>
      </c>
      <c r="B2487" s="6">
        <v>1.2500000000000001E-2</v>
      </c>
      <c r="C2487" s="5">
        <v>160</v>
      </c>
    </row>
    <row r="2488" spans="1:3">
      <c r="A2488" s="68">
        <v>37328.725694444445</v>
      </c>
      <c r="B2488" s="6">
        <v>1.3194444444444399E-2</v>
      </c>
      <c r="C2488" s="5">
        <v>160</v>
      </c>
    </row>
    <row r="2489" spans="1:3">
      <c r="A2489" s="68">
        <v>37328.725694444445</v>
      </c>
      <c r="B2489" s="6">
        <v>1.38888888888889E-2</v>
      </c>
      <c r="C2489" s="5">
        <v>160</v>
      </c>
    </row>
    <row r="2490" spans="1:3">
      <c r="A2490" s="68">
        <v>37328.725694444445</v>
      </c>
      <c r="B2490" s="6">
        <v>1.4583333333333301E-2</v>
      </c>
      <c r="C2490" s="5">
        <v>159</v>
      </c>
    </row>
    <row r="2491" spans="1:3">
      <c r="A2491" s="68">
        <v>37328.725694444445</v>
      </c>
      <c r="B2491" s="6">
        <v>1.52777777777778E-2</v>
      </c>
      <c r="C2491" s="5">
        <v>160</v>
      </c>
    </row>
    <row r="2492" spans="1:3">
      <c r="A2492" s="68">
        <v>37328.725694444445</v>
      </c>
      <c r="B2492" s="6">
        <v>1.59722222222222E-2</v>
      </c>
      <c r="C2492" s="5">
        <v>164</v>
      </c>
    </row>
    <row r="2493" spans="1:3">
      <c r="A2493" s="68">
        <v>37328.725694444445</v>
      </c>
      <c r="B2493" s="6">
        <v>1.6666666666666701E-2</v>
      </c>
      <c r="C2493" s="5">
        <v>161</v>
      </c>
    </row>
    <row r="2494" spans="1:3">
      <c r="A2494" s="68">
        <v>37328.725694444445</v>
      </c>
      <c r="B2494" s="6">
        <v>1.7361111111111101E-2</v>
      </c>
      <c r="C2494" s="5">
        <v>159</v>
      </c>
    </row>
    <row r="2495" spans="1:3">
      <c r="A2495" s="68">
        <v>37328.725694444445</v>
      </c>
      <c r="B2495" s="6">
        <v>1.8055555555555599E-2</v>
      </c>
      <c r="C2495" s="5">
        <v>162</v>
      </c>
    </row>
    <row r="2496" spans="1:3">
      <c r="A2496" s="68">
        <v>37328.725694444445</v>
      </c>
      <c r="B2496" s="6">
        <v>1.8749999999999999E-2</v>
      </c>
      <c r="C2496" s="5">
        <v>160</v>
      </c>
    </row>
    <row r="2497" spans="1:3">
      <c r="A2497" s="68">
        <v>37328.725694444445</v>
      </c>
      <c r="B2497" s="6">
        <v>1.94444444444444E-2</v>
      </c>
      <c r="C2497" s="5">
        <v>158</v>
      </c>
    </row>
    <row r="2498" spans="1:3">
      <c r="A2498" s="68">
        <v>37328.725694444445</v>
      </c>
      <c r="B2498" s="6">
        <v>2.0138888888888901E-2</v>
      </c>
      <c r="C2498" s="5">
        <v>158</v>
      </c>
    </row>
    <row r="2499" spans="1:3">
      <c r="A2499" s="68">
        <v>37328.725694444445</v>
      </c>
      <c r="B2499" s="6">
        <v>2.0833333333333301E-2</v>
      </c>
      <c r="C2499" s="5">
        <v>161</v>
      </c>
    </row>
    <row r="2500" spans="1:3">
      <c r="A2500" s="68">
        <v>37328.725694444445</v>
      </c>
      <c r="B2500" s="6">
        <v>2.1527777777777798E-2</v>
      </c>
      <c r="C2500" s="5">
        <v>156</v>
      </c>
    </row>
    <row r="2501" spans="1:3">
      <c r="A2501" s="68">
        <v>37328.725694444445</v>
      </c>
      <c r="B2501" s="6">
        <v>2.2222222222222199E-2</v>
      </c>
      <c r="C2501" s="5">
        <v>156</v>
      </c>
    </row>
    <row r="2502" spans="1:3">
      <c r="A2502" s="68">
        <v>37328.725694444445</v>
      </c>
      <c r="B2502" s="6">
        <v>2.29166666666667E-2</v>
      </c>
      <c r="C2502" s="5">
        <v>152</v>
      </c>
    </row>
    <row r="2503" spans="1:3">
      <c r="A2503" s="68">
        <v>37328.725694444445</v>
      </c>
      <c r="B2503" s="6">
        <v>2.36111111111111E-2</v>
      </c>
      <c r="C2503" s="5">
        <v>157</v>
      </c>
    </row>
    <row r="2504" spans="1:3">
      <c r="A2504" s="68">
        <v>37328.725694444445</v>
      </c>
      <c r="B2504" s="6">
        <v>2.4305555555555601E-2</v>
      </c>
      <c r="C2504" s="5">
        <v>153</v>
      </c>
    </row>
    <row r="2505" spans="1:3">
      <c r="A2505" s="68">
        <v>37328.725694444445</v>
      </c>
      <c r="B2505" s="6">
        <v>2.5000000000000001E-2</v>
      </c>
      <c r="C2505" s="5">
        <v>155</v>
      </c>
    </row>
    <row r="2506" spans="1:3">
      <c r="A2506" s="68">
        <v>37328.725694444445</v>
      </c>
      <c r="B2506" s="6">
        <v>2.5694444444444402E-2</v>
      </c>
      <c r="C2506" s="5">
        <v>151</v>
      </c>
    </row>
    <row r="2507" spans="1:3">
      <c r="A2507" s="68">
        <v>37328.725694444445</v>
      </c>
      <c r="B2507" s="6">
        <v>2.6388888888888899E-2</v>
      </c>
      <c r="C2507" s="5">
        <v>149</v>
      </c>
    </row>
    <row r="2508" spans="1:3">
      <c r="A2508" s="68">
        <v>37328.725694444445</v>
      </c>
      <c r="B2508" s="6">
        <v>2.70833333333333E-2</v>
      </c>
      <c r="C2508" s="5">
        <v>152</v>
      </c>
    </row>
    <row r="2509" spans="1:3">
      <c r="A2509" s="68">
        <v>37328.725694444445</v>
      </c>
      <c r="B2509" s="6">
        <v>2.7777777777777801E-2</v>
      </c>
      <c r="C2509" s="5">
        <v>150</v>
      </c>
    </row>
    <row r="2510" spans="1:3">
      <c r="A2510" s="68">
        <v>37328.725694444445</v>
      </c>
      <c r="B2510" s="6">
        <v>2.8472222222222201E-2</v>
      </c>
      <c r="C2510" s="5">
        <v>151</v>
      </c>
    </row>
    <row r="2511" spans="1:3">
      <c r="A2511" s="68">
        <v>37328.725694444445</v>
      </c>
      <c r="B2511" s="6">
        <v>2.9166666666666698E-2</v>
      </c>
      <c r="C2511" s="5">
        <v>150</v>
      </c>
    </row>
    <row r="2512" spans="1:3">
      <c r="A2512" s="68">
        <v>37328.725694444445</v>
      </c>
      <c r="B2512" s="6">
        <v>2.9861111111111099E-2</v>
      </c>
      <c r="C2512" s="5">
        <v>151</v>
      </c>
    </row>
    <row r="2513" spans="1:3">
      <c r="A2513" s="68">
        <v>37328.725694444445</v>
      </c>
      <c r="B2513" s="6">
        <v>3.05555555555556E-2</v>
      </c>
      <c r="C2513" s="5">
        <v>153</v>
      </c>
    </row>
    <row r="2514" spans="1:3">
      <c r="A2514" s="68">
        <v>37328.725694444445</v>
      </c>
      <c r="B2514" s="6">
        <v>3.125E-2</v>
      </c>
      <c r="C2514" s="5">
        <v>155</v>
      </c>
    </row>
    <row r="2515" spans="1:3">
      <c r="A2515" s="68">
        <v>37328.725694444445</v>
      </c>
      <c r="B2515" s="6">
        <v>3.19444444444444E-2</v>
      </c>
      <c r="C2515" s="5">
        <v>167</v>
      </c>
    </row>
    <row r="2516" spans="1:3">
      <c r="A2516" s="68">
        <v>37328.725694444445</v>
      </c>
      <c r="B2516" s="6">
        <v>3.2638888888888898E-2</v>
      </c>
      <c r="C2516" s="5">
        <v>176</v>
      </c>
    </row>
    <row r="2517" spans="1:3">
      <c r="A2517" s="68">
        <v>37328.725694444445</v>
      </c>
      <c r="B2517" s="6">
        <v>3.3333333333333298E-2</v>
      </c>
      <c r="C2517" s="5">
        <v>181</v>
      </c>
    </row>
    <row r="2518" spans="1:3">
      <c r="A2518" s="68">
        <v>37328.725694444445</v>
      </c>
      <c r="B2518" s="6">
        <v>3.4027777777777803E-2</v>
      </c>
      <c r="C2518" s="5">
        <v>183</v>
      </c>
    </row>
    <row r="2519" spans="1:3">
      <c r="A2519" s="68">
        <v>37328.725694444445</v>
      </c>
      <c r="B2519" s="6">
        <v>3.4722222222222203E-2</v>
      </c>
      <c r="C2519" s="5">
        <v>185</v>
      </c>
    </row>
    <row r="2520" spans="1:3">
      <c r="A2520" s="68">
        <v>37335.713888888888</v>
      </c>
      <c r="B2520" s="6">
        <v>0</v>
      </c>
      <c r="C2520" s="5">
        <v>136</v>
      </c>
    </row>
    <row r="2521" spans="1:3">
      <c r="A2521" s="68">
        <v>37335.713888888888</v>
      </c>
      <c r="B2521" s="6">
        <v>6.9444444444444447E-4</v>
      </c>
      <c r="C2521" s="5">
        <v>152</v>
      </c>
    </row>
    <row r="2522" spans="1:3">
      <c r="A2522" s="68">
        <v>37335.713888888888</v>
      </c>
      <c r="B2522" s="6">
        <v>1.38888888888889E-3</v>
      </c>
      <c r="C2522" s="5">
        <v>156</v>
      </c>
    </row>
    <row r="2523" spans="1:3">
      <c r="A2523" s="68">
        <v>37335.713888888888</v>
      </c>
      <c r="B2523" s="6">
        <v>2.0833333333333298E-3</v>
      </c>
      <c r="C2523" s="5">
        <v>161</v>
      </c>
    </row>
    <row r="2524" spans="1:3">
      <c r="A2524" s="68">
        <v>37335.713888888888</v>
      </c>
      <c r="B2524" s="6">
        <v>2.7777777777777801E-3</v>
      </c>
      <c r="C2524" s="5">
        <v>165</v>
      </c>
    </row>
    <row r="2525" spans="1:3">
      <c r="A2525" s="68">
        <v>37335.713888888888</v>
      </c>
      <c r="B2525" s="6">
        <v>3.4722222222222199E-3</v>
      </c>
      <c r="C2525" s="5">
        <v>168</v>
      </c>
    </row>
    <row r="2526" spans="1:3">
      <c r="A2526" s="68">
        <v>37335.713888888888</v>
      </c>
      <c r="B2526" s="6">
        <v>4.1666666666666701E-3</v>
      </c>
      <c r="C2526" s="5">
        <v>168</v>
      </c>
    </row>
    <row r="2527" spans="1:3">
      <c r="A2527" s="68">
        <v>37335.713888888888</v>
      </c>
      <c r="B2527" s="6">
        <v>4.8611111111111103E-3</v>
      </c>
      <c r="C2527" s="5">
        <v>168</v>
      </c>
    </row>
    <row r="2528" spans="1:3">
      <c r="A2528" s="68">
        <v>37335.713888888888</v>
      </c>
      <c r="B2528" s="6">
        <v>5.5555555555555601E-3</v>
      </c>
      <c r="C2528" s="5">
        <v>170</v>
      </c>
    </row>
    <row r="2529" spans="1:3">
      <c r="A2529" s="68">
        <v>37335.713888888888</v>
      </c>
      <c r="B2529" s="6">
        <v>6.2500000000000003E-3</v>
      </c>
      <c r="C2529" s="5">
        <v>171</v>
      </c>
    </row>
    <row r="2530" spans="1:3">
      <c r="A2530" s="68">
        <v>37335.713888888888</v>
      </c>
      <c r="B2530" s="6">
        <v>6.9444444444444397E-3</v>
      </c>
      <c r="C2530" s="5">
        <v>174</v>
      </c>
    </row>
    <row r="2531" spans="1:3">
      <c r="A2531" s="68">
        <v>37335.713888888888</v>
      </c>
      <c r="B2531" s="6">
        <v>7.6388888888888904E-3</v>
      </c>
      <c r="C2531" s="5">
        <v>171</v>
      </c>
    </row>
    <row r="2532" spans="1:3">
      <c r="A2532" s="68">
        <v>37335.713888888888</v>
      </c>
      <c r="B2532" s="6">
        <v>8.3333333333333297E-3</v>
      </c>
      <c r="C2532" s="5">
        <v>171</v>
      </c>
    </row>
    <row r="2533" spans="1:3">
      <c r="A2533" s="68">
        <v>37335.713888888888</v>
      </c>
      <c r="B2533" s="6">
        <v>9.0277777777777804E-3</v>
      </c>
      <c r="C2533" s="5">
        <v>171</v>
      </c>
    </row>
    <row r="2534" spans="1:3">
      <c r="A2534" s="68">
        <v>37335.713888888888</v>
      </c>
      <c r="B2534" s="6">
        <v>9.7222222222222206E-3</v>
      </c>
      <c r="C2534" s="5">
        <v>174</v>
      </c>
    </row>
    <row r="2535" spans="1:3">
      <c r="A2535" s="68">
        <v>37335.713888888888</v>
      </c>
      <c r="B2535" s="6">
        <v>1.0416666666666701E-2</v>
      </c>
      <c r="C2535" s="5">
        <v>171</v>
      </c>
    </row>
    <row r="2536" spans="1:3">
      <c r="A2536" s="68">
        <v>37335.713888888888</v>
      </c>
      <c r="B2536" s="6">
        <v>1.1111111111111099E-2</v>
      </c>
      <c r="C2536" s="5">
        <v>174</v>
      </c>
    </row>
    <row r="2537" spans="1:3">
      <c r="A2537" s="68">
        <v>37335.713888888888</v>
      </c>
      <c r="B2537" s="6">
        <v>1.18055555555556E-2</v>
      </c>
      <c r="C2537" s="5">
        <v>179</v>
      </c>
    </row>
    <row r="2538" spans="1:3">
      <c r="A2538" s="68">
        <v>37335.713888888888</v>
      </c>
      <c r="B2538" s="6">
        <v>1.2500000000000001E-2</v>
      </c>
      <c r="C2538" s="5">
        <v>176</v>
      </c>
    </row>
    <row r="2539" spans="1:3">
      <c r="A2539" s="68">
        <v>37335.713888888888</v>
      </c>
      <c r="B2539" s="6">
        <v>1.3194444444444399E-2</v>
      </c>
      <c r="C2539" s="5">
        <v>170</v>
      </c>
    </row>
    <row r="2540" spans="1:3">
      <c r="A2540" s="68">
        <v>37335.713888888888</v>
      </c>
      <c r="B2540" s="6">
        <v>1.38888888888889E-2</v>
      </c>
      <c r="C2540" s="5">
        <v>174</v>
      </c>
    </row>
    <row r="2541" spans="1:3">
      <c r="A2541" s="68">
        <v>37335.713888888888</v>
      </c>
      <c r="B2541" s="6">
        <v>1.4583333333333301E-2</v>
      </c>
      <c r="C2541" s="5">
        <v>177</v>
      </c>
    </row>
    <row r="2542" spans="1:3">
      <c r="A2542" s="68">
        <v>37335.713888888888</v>
      </c>
      <c r="B2542" s="6">
        <v>1.52777777777778E-2</v>
      </c>
      <c r="C2542" s="5">
        <v>179</v>
      </c>
    </row>
    <row r="2543" spans="1:3">
      <c r="A2543" s="68">
        <v>37335.713888888888</v>
      </c>
      <c r="B2543" s="6">
        <v>1.59722222222222E-2</v>
      </c>
      <c r="C2543" s="5">
        <v>179</v>
      </c>
    </row>
    <row r="2544" spans="1:3">
      <c r="A2544" s="68">
        <v>37335.713888888888</v>
      </c>
      <c r="B2544" s="6">
        <v>1.6666666666666701E-2</v>
      </c>
      <c r="C2544" s="5">
        <v>178</v>
      </c>
    </row>
    <row r="2545" spans="1:3">
      <c r="A2545" s="68">
        <v>37335.713888888888</v>
      </c>
      <c r="B2545" s="6">
        <v>1.7361111111111101E-2</v>
      </c>
      <c r="C2545" s="5">
        <v>172</v>
      </c>
    </row>
    <row r="2546" spans="1:3">
      <c r="A2546" s="68">
        <v>37335.713888888888</v>
      </c>
      <c r="B2546" s="6">
        <v>1.8055555555555599E-2</v>
      </c>
      <c r="C2546" s="5">
        <v>175</v>
      </c>
    </row>
    <row r="2547" spans="1:3">
      <c r="A2547" s="68">
        <v>37335.713888888888</v>
      </c>
      <c r="B2547" s="6">
        <v>1.8749999999999999E-2</v>
      </c>
      <c r="C2547" s="5">
        <v>177</v>
      </c>
    </row>
    <row r="2548" spans="1:3">
      <c r="A2548" s="68">
        <v>37335.713888888888</v>
      </c>
      <c r="B2548" s="6">
        <v>1.94444444444444E-2</v>
      </c>
      <c r="C2548" s="5">
        <v>179</v>
      </c>
    </row>
    <row r="2549" spans="1:3">
      <c r="A2549" s="68">
        <v>37335.713888888888</v>
      </c>
      <c r="B2549" s="6">
        <v>2.0138888888888901E-2</v>
      </c>
      <c r="C2549" s="5">
        <v>178</v>
      </c>
    </row>
    <row r="2550" spans="1:3">
      <c r="A2550" s="68">
        <v>37335.713888888888</v>
      </c>
      <c r="B2550" s="6">
        <v>2.0833333333333301E-2</v>
      </c>
      <c r="C2550" s="5">
        <v>175</v>
      </c>
    </row>
    <row r="2551" spans="1:3">
      <c r="A2551" s="68">
        <v>37335.713888888888</v>
      </c>
      <c r="B2551" s="6">
        <v>2.1527777777777798E-2</v>
      </c>
      <c r="C2551" s="5">
        <v>173</v>
      </c>
    </row>
    <row r="2552" spans="1:3">
      <c r="A2552" s="68">
        <v>37335.713888888888</v>
      </c>
      <c r="B2552" s="6">
        <v>2.2222222222222199E-2</v>
      </c>
      <c r="C2552" s="5">
        <v>164</v>
      </c>
    </row>
    <row r="2553" spans="1:3">
      <c r="A2553" s="68">
        <v>37335.713888888888</v>
      </c>
      <c r="B2553" s="6">
        <v>2.29166666666667E-2</v>
      </c>
      <c r="C2553" s="5">
        <v>165</v>
      </c>
    </row>
    <row r="2554" spans="1:3">
      <c r="A2554" s="68">
        <v>37337.709027777775</v>
      </c>
      <c r="B2554" s="6">
        <v>0</v>
      </c>
      <c r="C2554" s="5">
        <v>120</v>
      </c>
    </row>
    <row r="2555" spans="1:3">
      <c r="A2555" s="68">
        <v>37337.709027777775</v>
      </c>
      <c r="B2555" s="6">
        <v>6.9444444444444447E-4</v>
      </c>
      <c r="C2555" s="5">
        <v>153</v>
      </c>
    </row>
    <row r="2556" spans="1:3">
      <c r="A2556" s="68">
        <v>37337.709027777775</v>
      </c>
      <c r="B2556" s="6">
        <v>1.38888888888889E-3</v>
      </c>
      <c r="C2556" s="5">
        <v>160</v>
      </c>
    </row>
    <row r="2557" spans="1:3">
      <c r="A2557" s="68">
        <v>37337.709027777775</v>
      </c>
      <c r="B2557" s="6">
        <v>2.0833333333333298E-3</v>
      </c>
      <c r="C2557" s="5">
        <v>163</v>
      </c>
    </row>
    <row r="2558" spans="1:3">
      <c r="A2558" s="68">
        <v>37337.709027777775</v>
      </c>
      <c r="B2558" s="6">
        <v>2.7777777777777801E-3</v>
      </c>
      <c r="C2558" s="5">
        <v>167</v>
      </c>
    </row>
    <row r="2559" spans="1:3">
      <c r="A2559" s="68">
        <v>37337.709027777775</v>
      </c>
      <c r="B2559" s="6">
        <v>3.4722222222222199E-3</v>
      </c>
      <c r="C2559" s="5">
        <v>169</v>
      </c>
    </row>
    <row r="2560" spans="1:3">
      <c r="A2560" s="68">
        <v>37337.709027777775</v>
      </c>
      <c r="B2560" s="6">
        <v>4.1666666666666701E-3</v>
      </c>
      <c r="C2560" s="5">
        <v>170</v>
      </c>
    </row>
    <row r="2561" spans="1:3">
      <c r="A2561" s="68">
        <v>37337.709027777775</v>
      </c>
      <c r="B2561" s="6">
        <v>4.8611111111111103E-3</v>
      </c>
      <c r="C2561" s="5">
        <v>171</v>
      </c>
    </row>
    <row r="2562" spans="1:3">
      <c r="A2562" s="68">
        <v>37337.709027777775</v>
      </c>
      <c r="B2562" s="6">
        <v>5.5555555555555601E-3</v>
      </c>
      <c r="C2562" s="5">
        <v>169</v>
      </c>
    </row>
    <row r="2563" spans="1:3">
      <c r="A2563" s="68">
        <v>37337.709027777775</v>
      </c>
      <c r="B2563" s="6">
        <v>6.2500000000000003E-3</v>
      </c>
      <c r="C2563" s="5">
        <v>173</v>
      </c>
    </row>
    <row r="2564" spans="1:3">
      <c r="A2564" s="68">
        <v>37337.709027777775</v>
      </c>
      <c r="B2564" s="6">
        <v>6.9444444444444397E-3</v>
      </c>
      <c r="C2564" s="5">
        <v>171</v>
      </c>
    </row>
    <row r="2565" spans="1:3">
      <c r="A2565" s="68">
        <v>37337.709027777775</v>
      </c>
      <c r="B2565" s="6">
        <v>7.6388888888888904E-3</v>
      </c>
      <c r="C2565" s="5">
        <v>172</v>
      </c>
    </row>
    <row r="2566" spans="1:3">
      <c r="A2566" s="68">
        <v>37337.709027777775</v>
      </c>
      <c r="B2566" s="6">
        <v>8.3333333333333297E-3</v>
      </c>
      <c r="C2566" s="5">
        <v>173</v>
      </c>
    </row>
    <row r="2567" spans="1:3">
      <c r="A2567" s="68">
        <v>37337.709027777775</v>
      </c>
      <c r="B2567" s="6">
        <v>9.0277777777777804E-3</v>
      </c>
      <c r="C2567" s="5">
        <v>175</v>
      </c>
    </row>
    <row r="2568" spans="1:3">
      <c r="A2568" s="68">
        <v>37337.709027777775</v>
      </c>
      <c r="B2568" s="6">
        <v>9.7222222222222206E-3</v>
      </c>
      <c r="C2568" s="5">
        <v>177</v>
      </c>
    </row>
    <row r="2569" spans="1:3">
      <c r="A2569" s="68">
        <v>37337.709027777775</v>
      </c>
      <c r="B2569" s="6">
        <v>1.0416666666666701E-2</v>
      </c>
      <c r="C2569" s="5">
        <v>178</v>
      </c>
    </row>
    <row r="2570" spans="1:3">
      <c r="A2570" s="68">
        <v>37337.709027777775</v>
      </c>
      <c r="B2570" s="6">
        <v>1.1111111111111099E-2</v>
      </c>
      <c r="C2570" s="5">
        <v>175</v>
      </c>
    </row>
    <row r="2571" spans="1:3">
      <c r="A2571" s="68">
        <v>37337.709027777775</v>
      </c>
      <c r="B2571" s="6">
        <v>1.18055555555556E-2</v>
      </c>
      <c r="C2571" s="5">
        <v>176</v>
      </c>
    </row>
    <row r="2572" spans="1:3">
      <c r="A2572" s="68">
        <v>37337.709027777775</v>
      </c>
      <c r="B2572" s="6">
        <v>1.2500000000000001E-2</v>
      </c>
      <c r="C2572" s="5">
        <v>177</v>
      </c>
    </row>
    <row r="2573" spans="1:3">
      <c r="A2573" s="68">
        <v>37337.709027777775</v>
      </c>
      <c r="B2573" s="6">
        <v>1.3194444444444399E-2</v>
      </c>
      <c r="C2573" s="5">
        <v>179</v>
      </c>
    </row>
    <row r="2574" spans="1:3">
      <c r="A2574" s="68">
        <v>37337.709027777775</v>
      </c>
      <c r="B2574" s="6">
        <v>1.38888888888889E-2</v>
      </c>
      <c r="C2574" s="5">
        <v>177</v>
      </c>
    </row>
    <row r="2575" spans="1:3">
      <c r="A2575" s="68">
        <v>37337.709027777775</v>
      </c>
      <c r="B2575" s="6">
        <v>1.4583333333333301E-2</v>
      </c>
      <c r="C2575" s="5">
        <v>180</v>
      </c>
    </row>
    <row r="2576" spans="1:3">
      <c r="A2576" s="68">
        <v>37337.709027777775</v>
      </c>
      <c r="B2576" s="6">
        <v>1.52777777777778E-2</v>
      </c>
      <c r="C2576" s="5">
        <v>181</v>
      </c>
    </row>
    <row r="2577" spans="1:3">
      <c r="A2577" s="68">
        <v>37337.709027777775</v>
      </c>
      <c r="B2577" s="6">
        <v>1.59722222222222E-2</v>
      </c>
      <c r="C2577" s="5">
        <v>182</v>
      </c>
    </row>
    <row r="2578" spans="1:3">
      <c r="A2578" s="68">
        <v>37337.709027777775</v>
      </c>
      <c r="B2578" s="6">
        <v>1.6666666666666701E-2</v>
      </c>
      <c r="C2578" s="5">
        <v>183</v>
      </c>
    </row>
    <row r="2579" spans="1:3">
      <c r="A2579" s="68">
        <v>37347.625694444447</v>
      </c>
      <c r="B2579" s="6">
        <v>0</v>
      </c>
      <c r="C2579" s="5">
        <v>113</v>
      </c>
    </row>
    <row r="2580" spans="1:3">
      <c r="A2580" s="68">
        <v>37347.625694444447</v>
      </c>
      <c r="B2580" s="6">
        <v>1.7361111111111112E-4</v>
      </c>
      <c r="C2580" s="5">
        <v>135</v>
      </c>
    </row>
    <row r="2581" spans="1:3">
      <c r="A2581" s="68">
        <v>37347.625694444447</v>
      </c>
      <c r="B2581" s="6">
        <v>3.4722222222222202E-4</v>
      </c>
      <c r="C2581" s="5">
        <v>150</v>
      </c>
    </row>
    <row r="2582" spans="1:3">
      <c r="A2582" s="68">
        <v>37347.625694444447</v>
      </c>
      <c r="B2582" s="6">
        <v>5.20833333333333E-4</v>
      </c>
      <c r="C2582" s="5">
        <v>151</v>
      </c>
    </row>
    <row r="2583" spans="1:3">
      <c r="A2583" s="68">
        <v>37347.625694444447</v>
      </c>
      <c r="B2583" s="6">
        <v>6.9444444444444404E-4</v>
      </c>
      <c r="C2583" s="5">
        <v>151</v>
      </c>
    </row>
    <row r="2584" spans="1:3">
      <c r="A2584" s="68">
        <v>37347.625694444447</v>
      </c>
      <c r="B2584" s="6">
        <v>8.6805555555555605E-4</v>
      </c>
      <c r="C2584" s="5">
        <v>151</v>
      </c>
    </row>
    <row r="2585" spans="1:3">
      <c r="A2585" s="68">
        <v>37347.625694444447</v>
      </c>
      <c r="B2585" s="6">
        <v>1.0416666666666699E-3</v>
      </c>
      <c r="C2585" s="5">
        <v>159</v>
      </c>
    </row>
    <row r="2586" spans="1:3">
      <c r="A2586" s="68">
        <v>37347.625694444447</v>
      </c>
      <c r="B2586" s="6">
        <v>1.21527777777778E-3</v>
      </c>
      <c r="C2586" s="5">
        <v>160</v>
      </c>
    </row>
    <row r="2587" spans="1:3">
      <c r="A2587" s="68">
        <v>37347.625694444447</v>
      </c>
      <c r="B2587" s="6">
        <v>1.38888888888889E-3</v>
      </c>
      <c r="C2587" s="5">
        <v>162</v>
      </c>
    </row>
    <row r="2588" spans="1:3">
      <c r="A2588" s="68">
        <v>37347.625694444447</v>
      </c>
      <c r="B2588" s="6">
        <v>1.5625000000000001E-3</v>
      </c>
      <c r="C2588" s="5">
        <v>165</v>
      </c>
    </row>
    <row r="2589" spans="1:3">
      <c r="A2589" s="68">
        <v>37347.625694444447</v>
      </c>
      <c r="B2589" s="6">
        <v>1.7361111111111099E-3</v>
      </c>
      <c r="C2589" s="5">
        <v>165</v>
      </c>
    </row>
    <row r="2590" spans="1:3">
      <c r="A2590" s="68">
        <v>37347.625694444447</v>
      </c>
      <c r="B2590" s="6">
        <v>1.90972222222222E-3</v>
      </c>
      <c r="C2590" s="5">
        <v>163</v>
      </c>
    </row>
    <row r="2591" spans="1:3">
      <c r="A2591" s="68">
        <v>37347.625694444447</v>
      </c>
      <c r="B2591" s="6">
        <v>2.0833333333333298E-3</v>
      </c>
      <c r="C2591" s="5">
        <v>164</v>
      </c>
    </row>
    <row r="2592" spans="1:3">
      <c r="A2592" s="68">
        <v>37347.625694444447</v>
      </c>
      <c r="B2592" s="6">
        <v>2.2569444444444399E-3</v>
      </c>
      <c r="C2592" s="5">
        <v>167</v>
      </c>
    </row>
    <row r="2593" spans="1:3">
      <c r="A2593" s="68">
        <v>37347.625694444447</v>
      </c>
      <c r="B2593" s="6">
        <v>2.4305555555555599E-3</v>
      </c>
      <c r="C2593" s="5">
        <v>169</v>
      </c>
    </row>
    <row r="2594" spans="1:3">
      <c r="A2594" s="68">
        <v>37347.625694444447</v>
      </c>
      <c r="B2594" s="6">
        <v>2.60416666666667E-3</v>
      </c>
      <c r="C2594" s="5">
        <v>169</v>
      </c>
    </row>
    <row r="2595" spans="1:3">
      <c r="A2595" s="68">
        <v>37347.625694444447</v>
      </c>
      <c r="B2595" s="6">
        <v>2.7777777777777801E-3</v>
      </c>
      <c r="C2595" s="5">
        <v>169</v>
      </c>
    </row>
    <row r="2596" spans="1:3">
      <c r="A2596" s="68">
        <v>37347.625694444447</v>
      </c>
      <c r="B2596" s="6">
        <v>2.9513888888888901E-3</v>
      </c>
      <c r="C2596" s="5">
        <v>169</v>
      </c>
    </row>
    <row r="2597" spans="1:3">
      <c r="A2597" s="68">
        <v>37347.625694444447</v>
      </c>
      <c r="B2597" s="6">
        <v>3.1250000000000002E-3</v>
      </c>
      <c r="C2597" s="5">
        <v>172</v>
      </c>
    </row>
    <row r="2598" spans="1:3">
      <c r="A2598" s="68">
        <v>37347.625694444447</v>
      </c>
      <c r="B2598" s="6">
        <v>3.2986111111111098E-3</v>
      </c>
      <c r="C2598" s="5">
        <v>171</v>
      </c>
    </row>
    <row r="2599" spans="1:3">
      <c r="A2599" s="68">
        <v>37347.625694444447</v>
      </c>
      <c r="B2599" s="6">
        <v>3.4722222222222199E-3</v>
      </c>
      <c r="C2599" s="5">
        <v>172</v>
      </c>
    </row>
    <row r="2600" spans="1:3">
      <c r="A2600" s="68">
        <v>37347.625694444447</v>
      </c>
      <c r="B2600" s="6">
        <v>3.6458333333333299E-3</v>
      </c>
      <c r="C2600" s="5">
        <v>172</v>
      </c>
    </row>
    <row r="2601" spans="1:3">
      <c r="A2601" s="68">
        <v>37347.625694444447</v>
      </c>
      <c r="B2601" s="6">
        <v>3.81944444444444E-3</v>
      </c>
      <c r="C2601" s="5">
        <v>171</v>
      </c>
    </row>
    <row r="2602" spans="1:3">
      <c r="A2602" s="68">
        <v>37347.625694444447</v>
      </c>
      <c r="B2602" s="6">
        <v>3.9930555555555596E-3</v>
      </c>
      <c r="C2602" s="5">
        <v>173</v>
      </c>
    </row>
    <row r="2603" spans="1:3">
      <c r="A2603" s="68">
        <v>37347.625694444447</v>
      </c>
      <c r="B2603" s="6">
        <v>4.1666666666666701E-3</v>
      </c>
      <c r="C2603" s="5">
        <v>173</v>
      </c>
    </row>
    <row r="2604" spans="1:3">
      <c r="A2604" s="68">
        <v>37347.625694444447</v>
      </c>
      <c r="B2604" s="6">
        <v>4.3402777777777797E-3</v>
      </c>
      <c r="C2604" s="5">
        <v>175</v>
      </c>
    </row>
    <row r="2605" spans="1:3">
      <c r="A2605" s="68">
        <v>37347.625694444447</v>
      </c>
      <c r="B2605" s="6">
        <v>4.5138888888888902E-3</v>
      </c>
      <c r="C2605" s="5">
        <v>174</v>
      </c>
    </row>
    <row r="2606" spans="1:3">
      <c r="A2606" s="68">
        <v>37347.625694444447</v>
      </c>
      <c r="B2606" s="6">
        <v>4.6874999999999998E-3</v>
      </c>
      <c r="C2606" s="5">
        <v>174</v>
      </c>
    </row>
    <row r="2607" spans="1:3">
      <c r="A2607" s="68">
        <v>37347.625694444447</v>
      </c>
      <c r="B2607" s="6">
        <v>4.8611111111111103E-3</v>
      </c>
      <c r="C2607" s="5">
        <v>170</v>
      </c>
    </row>
    <row r="2608" spans="1:3">
      <c r="A2608" s="68">
        <v>37347.625694444447</v>
      </c>
      <c r="B2608" s="6">
        <v>5.0347222222222199E-3</v>
      </c>
      <c r="C2608" s="5">
        <v>172</v>
      </c>
    </row>
    <row r="2609" spans="1:3">
      <c r="A2609" s="68">
        <v>37347.625694444447</v>
      </c>
      <c r="B2609" s="6">
        <v>5.2083333333333296E-3</v>
      </c>
      <c r="C2609" s="5">
        <v>176</v>
      </c>
    </row>
    <row r="2610" spans="1:3">
      <c r="A2610" s="68">
        <v>37347.625694444447</v>
      </c>
      <c r="B2610" s="6">
        <v>5.3819444444444401E-3</v>
      </c>
      <c r="C2610" s="5">
        <v>175</v>
      </c>
    </row>
    <row r="2611" spans="1:3">
      <c r="A2611" s="68">
        <v>37347.625694444447</v>
      </c>
      <c r="B2611" s="6">
        <v>5.5555555555555601E-3</v>
      </c>
      <c r="C2611" s="5">
        <v>176</v>
      </c>
    </row>
    <row r="2612" spans="1:3">
      <c r="A2612" s="68">
        <v>37347.625694444447</v>
      </c>
      <c r="B2612" s="6">
        <v>5.7291666666666697E-3</v>
      </c>
      <c r="C2612" s="5">
        <v>176</v>
      </c>
    </row>
    <row r="2613" spans="1:3">
      <c r="A2613" s="68">
        <v>37347.625694444447</v>
      </c>
      <c r="B2613" s="6">
        <v>5.9027777777777802E-3</v>
      </c>
      <c r="C2613" s="5">
        <v>176</v>
      </c>
    </row>
    <row r="2614" spans="1:3">
      <c r="A2614" s="68">
        <v>37347.625694444447</v>
      </c>
      <c r="B2614" s="6">
        <v>6.0763888888888899E-3</v>
      </c>
      <c r="C2614" s="5">
        <v>176</v>
      </c>
    </row>
    <row r="2615" spans="1:3">
      <c r="A2615" s="68">
        <v>37347.625694444447</v>
      </c>
      <c r="B2615" s="6">
        <v>6.2500000000000003E-3</v>
      </c>
      <c r="C2615" s="5">
        <v>174</v>
      </c>
    </row>
    <row r="2616" spans="1:3">
      <c r="A2616" s="68">
        <v>37347.625694444447</v>
      </c>
      <c r="B2616" s="6">
        <v>6.42361111111111E-3</v>
      </c>
      <c r="C2616" s="5">
        <v>174</v>
      </c>
    </row>
    <row r="2617" spans="1:3">
      <c r="A2617" s="68">
        <v>37347.625694444447</v>
      </c>
      <c r="B2617" s="6">
        <v>6.5972222222222196E-3</v>
      </c>
      <c r="C2617" s="5">
        <v>176</v>
      </c>
    </row>
    <row r="2618" spans="1:3">
      <c r="A2618" s="68">
        <v>37347.625694444447</v>
      </c>
      <c r="B2618" s="6">
        <v>6.7708333333333301E-3</v>
      </c>
      <c r="C2618" s="5">
        <v>175</v>
      </c>
    </row>
    <row r="2619" spans="1:3">
      <c r="A2619" s="68">
        <v>37347.625694444447</v>
      </c>
      <c r="B2619" s="6">
        <v>6.9444444444444397E-3</v>
      </c>
      <c r="C2619" s="5">
        <v>176</v>
      </c>
    </row>
    <row r="2620" spans="1:3">
      <c r="A2620" s="68">
        <v>37347.625694444447</v>
      </c>
      <c r="B2620" s="6">
        <v>7.1180555555555598E-3</v>
      </c>
      <c r="C2620" s="5">
        <v>176</v>
      </c>
    </row>
    <row r="2621" spans="1:3">
      <c r="A2621" s="68">
        <v>37347.625694444447</v>
      </c>
      <c r="B2621" s="6">
        <v>7.2916666666666703E-3</v>
      </c>
      <c r="C2621" s="5">
        <v>174</v>
      </c>
    </row>
    <row r="2622" spans="1:3">
      <c r="A2622" s="68">
        <v>37347.625694444447</v>
      </c>
      <c r="B2622" s="6">
        <v>7.4652777777777799E-3</v>
      </c>
      <c r="C2622" s="5">
        <v>175</v>
      </c>
    </row>
    <row r="2623" spans="1:3">
      <c r="A2623" s="68">
        <v>37347.625694444447</v>
      </c>
      <c r="B2623" s="6">
        <v>7.6388888888888904E-3</v>
      </c>
      <c r="C2623" s="5">
        <v>175</v>
      </c>
    </row>
    <row r="2624" spans="1:3">
      <c r="A2624" s="68">
        <v>37347.625694444447</v>
      </c>
      <c r="B2624" s="6">
        <v>7.8125E-3</v>
      </c>
      <c r="C2624" s="5">
        <v>173</v>
      </c>
    </row>
    <row r="2625" spans="1:3">
      <c r="A2625" s="68">
        <v>37347.625694444447</v>
      </c>
      <c r="B2625" s="6">
        <v>7.9861111111111105E-3</v>
      </c>
      <c r="C2625" s="5">
        <v>173</v>
      </c>
    </row>
    <row r="2626" spans="1:3">
      <c r="A2626" s="68">
        <v>37347.625694444447</v>
      </c>
      <c r="B2626" s="6">
        <v>8.1597222222222193E-3</v>
      </c>
      <c r="C2626" s="5">
        <v>173</v>
      </c>
    </row>
    <row r="2627" spans="1:3">
      <c r="A2627" s="68">
        <v>37347.625694444447</v>
      </c>
      <c r="B2627" s="6">
        <v>8.3333333333333297E-3</v>
      </c>
      <c r="C2627" s="5">
        <v>174</v>
      </c>
    </row>
    <row r="2628" spans="1:3">
      <c r="A2628" s="68">
        <v>37347.625694444447</v>
      </c>
      <c r="B2628" s="6">
        <v>8.5069444444444507E-3</v>
      </c>
      <c r="C2628" s="5">
        <v>174</v>
      </c>
    </row>
    <row r="2629" spans="1:3">
      <c r="A2629" s="68">
        <v>37347.625694444447</v>
      </c>
      <c r="B2629" s="6">
        <v>8.6805555555555594E-3</v>
      </c>
      <c r="C2629" s="5">
        <v>174</v>
      </c>
    </row>
    <row r="2630" spans="1:3">
      <c r="A2630" s="68">
        <v>37347.625694444447</v>
      </c>
      <c r="B2630" s="6">
        <v>8.8541666666666699E-3</v>
      </c>
      <c r="C2630" s="5">
        <v>174</v>
      </c>
    </row>
    <row r="2631" spans="1:3">
      <c r="A2631" s="68">
        <v>37347.625694444447</v>
      </c>
      <c r="B2631" s="6">
        <v>9.0277777777777804E-3</v>
      </c>
      <c r="C2631" s="5">
        <v>173</v>
      </c>
    </row>
    <row r="2632" spans="1:3">
      <c r="A2632" s="68">
        <v>37347.625694444447</v>
      </c>
      <c r="B2632" s="6">
        <v>9.2013888888888892E-3</v>
      </c>
      <c r="C2632" s="5">
        <v>173</v>
      </c>
    </row>
    <row r="2633" spans="1:3">
      <c r="A2633" s="68">
        <v>37347.625694444447</v>
      </c>
      <c r="B2633" s="6">
        <v>9.3749999999999997E-3</v>
      </c>
      <c r="C2633" s="5">
        <v>175</v>
      </c>
    </row>
    <row r="2634" spans="1:3">
      <c r="A2634" s="68">
        <v>37347.625694444447</v>
      </c>
      <c r="B2634" s="6">
        <v>9.5486111111111101E-3</v>
      </c>
      <c r="C2634" s="5">
        <v>175</v>
      </c>
    </row>
    <row r="2635" spans="1:3">
      <c r="A2635" s="68">
        <v>37347.625694444447</v>
      </c>
      <c r="B2635" s="6">
        <v>9.7222222222222206E-3</v>
      </c>
      <c r="C2635" s="5">
        <v>173</v>
      </c>
    </row>
    <row r="2636" spans="1:3">
      <c r="A2636" s="68">
        <v>37347.625694444447</v>
      </c>
      <c r="B2636" s="6">
        <v>9.8958333333333294E-3</v>
      </c>
      <c r="C2636" s="5">
        <v>176</v>
      </c>
    </row>
    <row r="2637" spans="1:3">
      <c r="A2637" s="68">
        <v>37347.625694444447</v>
      </c>
      <c r="B2637" s="6">
        <v>1.00694444444444E-2</v>
      </c>
      <c r="C2637" s="5">
        <v>176</v>
      </c>
    </row>
    <row r="2638" spans="1:3">
      <c r="A2638" s="68">
        <v>37347.625694444447</v>
      </c>
      <c r="B2638" s="6">
        <v>1.0243055555555601E-2</v>
      </c>
      <c r="C2638" s="5">
        <v>178</v>
      </c>
    </row>
    <row r="2639" spans="1:3">
      <c r="A2639" s="68">
        <v>37347.625694444447</v>
      </c>
      <c r="B2639" s="6">
        <v>1.0416666666666701E-2</v>
      </c>
      <c r="C2639" s="5">
        <v>177</v>
      </c>
    </row>
    <row r="2640" spans="1:3">
      <c r="A2640" s="68">
        <v>37347.625694444447</v>
      </c>
      <c r="B2640" s="6">
        <v>1.0590277777777799E-2</v>
      </c>
      <c r="C2640" s="5">
        <v>178</v>
      </c>
    </row>
    <row r="2641" spans="1:3">
      <c r="A2641" s="68">
        <v>37347.625694444447</v>
      </c>
      <c r="B2641" s="6">
        <v>1.0763888888888899E-2</v>
      </c>
      <c r="C2641" s="5">
        <v>178</v>
      </c>
    </row>
    <row r="2642" spans="1:3">
      <c r="A2642" s="68">
        <v>37347.625694444447</v>
      </c>
      <c r="B2642" s="6">
        <v>1.0937499999999999E-2</v>
      </c>
      <c r="C2642" s="5">
        <v>177</v>
      </c>
    </row>
    <row r="2643" spans="1:3">
      <c r="A2643" s="68">
        <v>37347.625694444447</v>
      </c>
      <c r="B2643" s="6">
        <v>1.1111111111111099E-2</v>
      </c>
      <c r="C2643" s="5">
        <v>179</v>
      </c>
    </row>
    <row r="2644" spans="1:3">
      <c r="A2644" s="68">
        <v>37347.625694444447</v>
      </c>
      <c r="B2644" s="6">
        <v>1.1284722222222199E-2</v>
      </c>
      <c r="C2644" s="5">
        <v>181</v>
      </c>
    </row>
    <row r="2645" spans="1:3">
      <c r="A2645" s="68">
        <v>37347.625694444447</v>
      </c>
      <c r="B2645" s="6">
        <v>1.14583333333333E-2</v>
      </c>
      <c r="C2645" s="5">
        <v>181</v>
      </c>
    </row>
    <row r="2646" spans="1:3">
      <c r="A2646" s="68">
        <v>37347.625694444447</v>
      </c>
      <c r="B2646" s="6">
        <v>1.16319444444444E-2</v>
      </c>
      <c r="C2646" s="5">
        <v>178</v>
      </c>
    </row>
    <row r="2647" spans="1:3">
      <c r="A2647" s="68">
        <v>37347.625694444447</v>
      </c>
      <c r="B2647" s="6">
        <v>1.18055555555556E-2</v>
      </c>
      <c r="C2647" s="5">
        <v>177</v>
      </c>
    </row>
    <row r="2648" spans="1:3">
      <c r="A2648" s="68">
        <v>37347.625694444447</v>
      </c>
      <c r="B2648" s="6">
        <v>1.19791666666667E-2</v>
      </c>
      <c r="C2648" s="5">
        <v>178</v>
      </c>
    </row>
    <row r="2649" spans="1:3">
      <c r="A2649" s="68">
        <v>37347.625694444447</v>
      </c>
      <c r="B2649" s="6">
        <v>1.2152777777777801E-2</v>
      </c>
      <c r="C2649" s="5">
        <v>178</v>
      </c>
    </row>
    <row r="2650" spans="1:3">
      <c r="A2650" s="68">
        <v>37347.625694444447</v>
      </c>
      <c r="B2650" s="6">
        <v>1.2326388888888901E-2</v>
      </c>
      <c r="C2650" s="5">
        <v>178</v>
      </c>
    </row>
    <row r="2651" spans="1:3">
      <c r="A2651" s="68">
        <v>37347.625694444447</v>
      </c>
      <c r="B2651" s="6">
        <v>1.2500000000000001E-2</v>
      </c>
      <c r="C2651" s="5">
        <v>178</v>
      </c>
    </row>
    <row r="2652" spans="1:3">
      <c r="A2652" s="68">
        <v>37347.625694444447</v>
      </c>
      <c r="B2652" s="6">
        <v>1.2673611111111101E-2</v>
      </c>
      <c r="C2652" s="5">
        <v>178</v>
      </c>
    </row>
    <row r="2653" spans="1:3">
      <c r="A2653" s="68">
        <v>37347.625694444447</v>
      </c>
      <c r="B2653" s="6">
        <v>1.2847222222222201E-2</v>
      </c>
      <c r="C2653" s="5">
        <v>178</v>
      </c>
    </row>
    <row r="2654" spans="1:3">
      <c r="A2654" s="68">
        <v>37347.625694444447</v>
      </c>
      <c r="B2654" s="6">
        <v>1.3020833333333299E-2</v>
      </c>
      <c r="C2654" s="5">
        <v>178</v>
      </c>
    </row>
    <row r="2655" spans="1:3">
      <c r="A2655" s="68">
        <v>37347.625694444447</v>
      </c>
      <c r="B2655" s="6">
        <v>1.3194444444444399E-2</v>
      </c>
      <c r="C2655" s="5">
        <v>179</v>
      </c>
    </row>
    <row r="2656" spans="1:3">
      <c r="A2656" s="68">
        <v>37347.625694444447</v>
      </c>
      <c r="B2656" s="6">
        <v>1.33680555555556E-2</v>
      </c>
      <c r="C2656" s="5">
        <v>179</v>
      </c>
    </row>
    <row r="2657" spans="1:3">
      <c r="A2657" s="68">
        <v>37347.625694444447</v>
      </c>
      <c r="B2657" s="6">
        <v>1.35416666666667E-2</v>
      </c>
      <c r="C2657" s="5">
        <v>178</v>
      </c>
    </row>
    <row r="2658" spans="1:3">
      <c r="A2658" s="68">
        <v>37347.625694444447</v>
      </c>
      <c r="B2658" s="6">
        <v>1.37152777777778E-2</v>
      </c>
      <c r="C2658" s="5">
        <v>178</v>
      </c>
    </row>
    <row r="2659" spans="1:3">
      <c r="A2659" s="68">
        <v>37347.625694444447</v>
      </c>
      <c r="B2659" s="6">
        <v>1.38888888888889E-2</v>
      </c>
      <c r="C2659" s="5">
        <v>178</v>
      </c>
    </row>
    <row r="2660" spans="1:3">
      <c r="A2660" s="68">
        <v>37347.625694444447</v>
      </c>
      <c r="B2660" s="6">
        <v>1.40625E-2</v>
      </c>
      <c r="C2660" s="5">
        <v>177</v>
      </c>
    </row>
    <row r="2661" spans="1:3">
      <c r="A2661" s="68">
        <v>37347.625694444447</v>
      </c>
      <c r="B2661" s="6">
        <v>1.42361111111111E-2</v>
      </c>
      <c r="C2661" s="5">
        <v>176</v>
      </c>
    </row>
    <row r="2662" spans="1:3">
      <c r="A2662" s="68">
        <v>37347.625694444447</v>
      </c>
      <c r="B2662" s="6">
        <v>1.4409722222222201E-2</v>
      </c>
      <c r="C2662" s="5">
        <v>177</v>
      </c>
    </row>
    <row r="2663" spans="1:3">
      <c r="A2663" s="68">
        <v>37347.625694444447</v>
      </c>
      <c r="B2663" s="6">
        <v>1.4583333333333301E-2</v>
      </c>
      <c r="C2663" s="5">
        <v>177</v>
      </c>
    </row>
    <row r="2664" spans="1:3">
      <c r="A2664" s="68">
        <v>37347.625694444447</v>
      </c>
      <c r="B2664" s="6">
        <v>1.4756944444444401E-2</v>
      </c>
      <c r="C2664" s="5">
        <v>177</v>
      </c>
    </row>
    <row r="2665" spans="1:3">
      <c r="A2665" s="68">
        <v>37347.625694444447</v>
      </c>
      <c r="B2665" s="6">
        <v>1.49305555555556E-2</v>
      </c>
      <c r="C2665" s="5">
        <v>177</v>
      </c>
    </row>
    <row r="2666" spans="1:3">
      <c r="A2666" s="68">
        <v>37347.625694444447</v>
      </c>
      <c r="B2666" s="6">
        <v>1.51041666666667E-2</v>
      </c>
      <c r="C2666" s="5">
        <v>178</v>
      </c>
    </row>
    <row r="2667" spans="1:3">
      <c r="A2667" s="68">
        <v>37347.625694444447</v>
      </c>
      <c r="B2667" s="6">
        <v>1.52777777777778E-2</v>
      </c>
      <c r="C2667" s="5">
        <v>177</v>
      </c>
    </row>
    <row r="2668" spans="1:3">
      <c r="A2668" s="68">
        <v>37347.625694444447</v>
      </c>
      <c r="B2668" s="6">
        <v>1.54513888888889E-2</v>
      </c>
      <c r="C2668" s="5">
        <v>177</v>
      </c>
    </row>
    <row r="2669" spans="1:3">
      <c r="A2669" s="68">
        <v>37347.625694444447</v>
      </c>
      <c r="B2669" s="6">
        <v>1.5625E-2</v>
      </c>
      <c r="C2669" s="5">
        <v>179</v>
      </c>
    </row>
    <row r="2670" spans="1:3">
      <c r="A2670" s="68">
        <v>37347.625694444447</v>
      </c>
      <c r="B2670" s="6">
        <v>1.57986111111111E-2</v>
      </c>
      <c r="C2670" s="5">
        <v>178</v>
      </c>
    </row>
    <row r="2671" spans="1:3">
      <c r="A2671" s="68">
        <v>37347.625694444447</v>
      </c>
      <c r="B2671" s="6">
        <v>1.59722222222222E-2</v>
      </c>
      <c r="C2671" s="5">
        <v>179</v>
      </c>
    </row>
    <row r="2672" spans="1:3">
      <c r="A2672" s="68">
        <v>37347.625694444447</v>
      </c>
      <c r="B2672" s="6">
        <v>1.61458333333333E-2</v>
      </c>
      <c r="C2672" s="5">
        <v>179</v>
      </c>
    </row>
    <row r="2673" spans="1:3">
      <c r="A2673" s="68">
        <v>37347.625694444447</v>
      </c>
      <c r="B2673" s="6">
        <v>1.63194444444444E-2</v>
      </c>
      <c r="C2673" s="5">
        <v>177</v>
      </c>
    </row>
    <row r="2674" spans="1:3">
      <c r="A2674" s="68">
        <v>37347.625694444447</v>
      </c>
      <c r="B2674" s="6">
        <v>1.6493055555555601E-2</v>
      </c>
      <c r="C2674" s="5">
        <v>176</v>
      </c>
    </row>
    <row r="2675" spans="1:3">
      <c r="A2675" s="68">
        <v>37347.625694444447</v>
      </c>
      <c r="B2675" s="6">
        <v>1.6666666666666701E-2</v>
      </c>
      <c r="C2675" s="5">
        <v>176</v>
      </c>
    </row>
    <row r="2676" spans="1:3">
      <c r="A2676" s="68">
        <v>37347.625694444447</v>
      </c>
      <c r="B2676" s="6">
        <v>1.6840277777777801E-2</v>
      </c>
      <c r="C2676" s="5">
        <v>177</v>
      </c>
    </row>
    <row r="2677" spans="1:3">
      <c r="A2677" s="68">
        <v>37347.625694444447</v>
      </c>
      <c r="B2677" s="6">
        <v>1.7013888888888901E-2</v>
      </c>
      <c r="C2677" s="5">
        <v>178</v>
      </c>
    </row>
    <row r="2678" spans="1:3">
      <c r="A2678" s="68">
        <v>37347.625694444447</v>
      </c>
      <c r="B2678" s="6">
        <v>1.7187500000000001E-2</v>
      </c>
      <c r="C2678" s="5">
        <v>179</v>
      </c>
    </row>
    <row r="2679" spans="1:3">
      <c r="A2679" s="68">
        <v>37347.625694444447</v>
      </c>
      <c r="B2679" s="6">
        <v>1.7361111111111101E-2</v>
      </c>
      <c r="C2679" s="5">
        <v>180</v>
      </c>
    </row>
    <row r="2680" spans="1:3">
      <c r="A2680" s="68">
        <v>37347.625694444447</v>
      </c>
      <c r="B2680" s="6">
        <v>1.7534722222222202E-2</v>
      </c>
      <c r="C2680" s="5">
        <v>180</v>
      </c>
    </row>
    <row r="2681" spans="1:3">
      <c r="A2681" s="68">
        <v>37347.625694444447</v>
      </c>
      <c r="B2681" s="6">
        <v>1.7708333333333302E-2</v>
      </c>
      <c r="C2681" s="5">
        <v>179</v>
      </c>
    </row>
    <row r="2682" spans="1:3">
      <c r="A2682" s="68">
        <v>37347.625694444447</v>
      </c>
      <c r="B2682" s="6">
        <v>1.7881944444444402E-2</v>
      </c>
      <c r="C2682" s="5">
        <v>178</v>
      </c>
    </row>
    <row r="2683" spans="1:3">
      <c r="A2683" s="68">
        <v>37347.625694444447</v>
      </c>
      <c r="B2683" s="6">
        <v>1.8055555555555599E-2</v>
      </c>
      <c r="C2683" s="5">
        <v>179</v>
      </c>
    </row>
    <row r="2684" spans="1:3">
      <c r="A2684" s="68">
        <v>37347.625694444447</v>
      </c>
      <c r="B2684" s="6">
        <v>1.8229166666666699E-2</v>
      </c>
      <c r="C2684" s="5">
        <v>179</v>
      </c>
    </row>
    <row r="2685" spans="1:3">
      <c r="A2685" s="68">
        <v>37347.625694444447</v>
      </c>
      <c r="B2685" s="6">
        <v>1.8402777777777799E-2</v>
      </c>
      <c r="C2685" s="5">
        <v>179</v>
      </c>
    </row>
    <row r="2686" spans="1:3">
      <c r="A2686" s="68">
        <v>37347.625694444447</v>
      </c>
      <c r="B2686" s="6">
        <v>1.8576388888888899E-2</v>
      </c>
      <c r="C2686" s="5">
        <v>177</v>
      </c>
    </row>
    <row r="2687" spans="1:3">
      <c r="A2687" s="68">
        <v>37347.625694444447</v>
      </c>
      <c r="B2687" s="6">
        <v>1.8749999999999999E-2</v>
      </c>
      <c r="C2687" s="5">
        <v>178</v>
      </c>
    </row>
    <row r="2688" spans="1:3">
      <c r="A2688" s="68">
        <v>37347.625694444447</v>
      </c>
      <c r="B2688" s="6">
        <v>1.8923611111111099E-2</v>
      </c>
      <c r="C2688" s="5">
        <v>179</v>
      </c>
    </row>
    <row r="2689" spans="1:3">
      <c r="A2689" s="68">
        <v>37347.625694444447</v>
      </c>
      <c r="B2689" s="6">
        <v>1.9097222222222199E-2</v>
      </c>
      <c r="C2689" s="5">
        <v>178</v>
      </c>
    </row>
    <row r="2690" spans="1:3">
      <c r="A2690" s="68">
        <v>37347.625694444447</v>
      </c>
      <c r="B2690" s="6">
        <v>1.92708333333333E-2</v>
      </c>
      <c r="C2690" s="5">
        <v>179</v>
      </c>
    </row>
    <row r="2691" spans="1:3">
      <c r="A2691" s="68">
        <v>37347.625694444447</v>
      </c>
      <c r="B2691" s="6">
        <v>1.94444444444444E-2</v>
      </c>
      <c r="C2691" s="5">
        <v>178</v>
      </c>
    </row>
    <row r="2692" spans="1:3">
      <c r="A2692" s="68">
        <v>37347.625694444447</v>
      </c>
      <c r="B2692" s="6">
        <v>1.96180555555556E-2</v>
      </c>
      <c r="C2692" s="5">
        <v>179</v>
      </c>
    </row>
    <row r="2693" spans="1:3">
      <c r="A2693" s="68">
        <v>37347.625694444447</v>
      </c>
      <c r="B2693" s="6">
        <v>1.97916666666667E-2</v>
      </c>
      <c r="C2693" s="5">
        <v>180</v>
      </c>
    </row>
    <row r="2694" spans="1:3">
      <c r="A2694" s="68">
        <v>37347.625694444447</v>
      </c>
      <c r="B2694" s="6">
        <v>1.9965277777777801E-2</v>
      </c>
      <c r="C2694" s="5">
        <v>179</v>
      </c>
    </row>
    <row r="2695" spans="1:3">
      <c r="A2695" s="68">
        <v>37347.625694444447</v>
      </c>
      <c r="B2695" s="6">
        <v>2.0138888888888901E-2</v>
      </c>
      <c r="C2695" s="5">
        <v>179</v>
      </c>
    </row>
    <row r="2696" spans="1:3">
      <c r="A2696" s="68">
        <v>37347.625694444447</v>
      </c>
      <c r="B2696" s="6">
        <v>2.0312500000000001E-2</v>
      </c>
      <c r="C2696" s="5">
        <v>178</v>
      </c>
    </row>
    <row r="2697" spans="1:3">
      <c r="A2697" s="68">
        <v>37347.625694444447</v>
      </c>
      <c r="B2697" s="6">
        <v>2.0486111111111101E-2</v>
      </c>
      <c r="C2697" s="5">
        <v>178</v>
      </c>
    </row>
    <row r="2698" spans="1:3">
      <c r="A2698" s="68">
        <v>37347.625694444447</v>
      </c>
      <c r="B2698" s="6">
        <v>2.0659722222222201E-2</v>
      </c>
      <c r="C2698" s="5">
        <v>179</v>
      </c>
    </row>
    <row r="2699" spans="1:3">
      <c r="A2699" s="68">
        <v>37347.625694444447</v>
      </c>
      <c r="B2699" s="6">
        <v>2.0833333333333301E-2</v>
      </c>
      <c r="C2699" s="5">
        <v>179</v>
      </c>
    </row>
    <row r="2700" spans="1:3">
      <c r="A2700" s="68">
        <v>37347.625694444447</v>
      </c>
      <c r="B2700" s="6">
        <v>2.1006944444444401E-2</v>
      </c>
      <c r="C2700" s="5">
        <v>179</v>
      </c>
    </row>
    <row r="2701" spans="1:3">
      <c r="A2701" s="68">
        <v>37347.625694444447</v>
      </c>
      <c r="B2701" s="6">
        <v>2.1180555555555598E-2</v>
      </c>
      <c r="C2701" s="5">
        <v>181</v>
      </c>
    </row>
    <row r="2702" spans="1:3">
      <c r="A2702" s="68">
        <v>37347.625694444447</v>
      </c>
      <c r="B2702" s="6">
        <v>2.1354166666666698E-2</v>
      </c>
      <c r="C2702" s="5">
        <v>179</v>
      </c>
    </row>
    <row r="2703" spans="1:3">
      <c r="A2703" s="68">
        <v>37347.625694444447</v>
      </c>
      <c r="B2703" s="6">
        <v>2.1527777777777798E-2</v>
      </c>
      <c r="C2703" s="5">
        <v>180</v>
      </c>
    </row>
    <row r="2704" spans="1:3">
      <c r="A2704" s="68">
        <v>37347.625694444447</v>
      </c>
      <c r="B2704" s="6">
        <v>2.1701388888888899E-2</v>
      </c>
      <c r="C2704" s="5">
        <v>181</v>
      </c>
    </row>
    <row r="2705" spans="1:3">
      <c r="A2705" s="68">
        <v>37347.625694444447</v>
      </c>
      <c r="B2705" s="6">
        <v>2.1874999999999999E-2</v>
      </c>
      <c r="C2705" s="5">
        <v>182</v>
      </c>
    </row>
    <row r="2706" spans="1:3">
      <c r="A2706" s="68">
        <v>37347.625694444447</v>
      </c>
      <c r="B2706" s="6">
        <v>2.2048611111111099E-2</v>
      </c>
      <c r="C2706" s="5">
        <v>181</v>
      </c>
    </row>
    <row r="2707" spans="1:3">
      <c r="A2707" s="68">
        <v>37347.625694444447</v>
      </c>
      <c r="B2707" s="6">
        <v>2.2222222222222199E-2</v>
      </c>
      <c r="C2707" s="5">
        <v>180</v>
      </c>
    </row>
    <row r="2708" spans="1:3">
      <c r="A2708" s="68">
        <v>37347.625694444447</v>
      </c>
      <c r="B2708" s="6">
        <v>2.2395833333333299E-2</v>
      </c>
      <c r="C2708" s="5">
        <v>181</v>
      </c>
    </row>
    <row r="2709" spans="1:3">
      <c r="A2709" s="68">
        <v>37347.625694444447</v>
      </c>
      <c r="B2709" s="6">
        <v>2.2569444444444399E-2</v>
      </c>
      <c r="C2709" s="5">
        <v>180</v>
      </c>
    </row>
    <row r="2710" spans="1:3">
      <c r="A2710" s="68">
        <v>37347.625694444447</v>
      </c>
      <c r="B2710" s="6">
        <v>2.27430555555556E-2</v>
      </c>
      <c r="C2710" s="5">
        <v>180</v>
      </c>
    </row>
    <row r="2711" spans="1:3">
      <c r="A2711" s="68">
        <v>37347.625694444447</v>
      </c>
      <c r="B2711" s="6">
        <v>2.29166666666667E-2</v>
      </c>
      <c r="C2711" s="5">
        <v>181</v>
      </c>
    </row>
    <row r="2712" spans="1:3">
      <c r="A2712" s="68">
        <v>37347.625694444447</v>
      </c>
      <c r="B2712" s="6">
        <v>2.30902777777778E-2</v>
      </c>
      <c r="C2712" s="5">
        <v>181</v>
      </c>
    </row>
    <row r="2713" spans="1:3">
      <c r="A2713" s="68">
        <v>37347.625694444447</v>
      </c>
      <c r="B2713" s="6">
        <v>2.32638888888889E-2</v>
      </c>
      <c r="C2713" s="5">
        <v>180</v>
      </c>
    </row>
    <row r="2714" spans="1:3">
      <c r="A2714" s="68">
        <v>37347.625694444447</v>
      </c>
      <c r="B2714" s="6">
        <v>2.34375E-2</v>
      </c>
      <c r="C2714" s="5">
        <v>180</v>
      </c>
    </row>
    <row r="2715" spans="1:3">
      <c r="A2715" s="68">
        <v>37347.625694444447</v>
      </c>
      <c r="B2715" s="6">
        <v>2.36111111111111E-2</v>
      </c>
      <c r="C2715" s="5">
        <v>181</v>
      </c>
    </row>
    <row r="2716" spans="1:3">
      <c r="A2716" s="68">
        <v>37347.625694444447</v>
      </c>
      <c r="B2716" s="6">
        <v>2.37847222222222E-2</v>
      </c>
      <c r="C2716" s="5">
        <v>182</v>
      </c>
    </row>
    <row r="2717" spans="1:3">
      <c r="A2717" s="68">
        <v>37347.625694444447</v>
      </c>
      <c r="B2717" s="6">
        <v>2.39583333333333E-2</v>
      </c>
      <c r="C2717" s="5">
        <v>180</v>
      </c>
    </row>
    <row r="2718" spans="1:3">
      <c r="A2718" s="68">
        <v>37347.625694444447</v>
      </c>
      <c r="B2718" s="6">
        <v>2.41319444444444E-2</v>
      </c>
      <c r="C2718" s="5">
        <v>180</v>
      </c>
    </row>
    <row r="2719" spans="1:3">
      <c r="A2719" s="68">
        <v>37347.625694444447</v>
      </c>
      <c r="B2719" s="6">
        <v>2.4305555555555601E-2</v>
      </c>
      <c r="C2719" s="5">
        <v>182</v>
      </c>
    </row>
    <row r="2720" spans="1:3">
      <c r="A2720" s="68">
        <v>37347.625694444447</v>
      </c>
      <c r="B2720" s="6">
        <v>2.4479166666666701E-2</v>
      </c>
      <c r="C2720" s="5">
        <v>183</v>
      </c>
    </row>
    <row r="2721" spans="1:3">
      <c r="A2721" s="68">
        <v>37347.625694444447</v>
      </c>
      <c r="B2721" s="6">
        <v>2.4652777777777801E-2</v>
      </c>
      <c r="C2721" s="5">
        <v>182</v>
      </c>
    </row>
    <row r="2722" spans="1:3">
      <c r="A2722" s="68">
        <v>37347.625694444447</v>
      </c>
      <c r="B2722" s="6">
        <v>2.4826388888888901E-2</v>
      </c>
      <c r="C2722" s="5">
        <v>181</v>
      </c>
    </row>
    <row r="2723" spans="1:3">
      <c r="A2723" s="68">
        <v>37347.625694444447</v>
      </c>
      <c r="B2723" s="6">
        <v>2.5000000000000001E-2</v>
      </c>
      <c r="C2723" s="5">
        <v>180</v>
      </c>
    </row>
    <row r="2724" spans="1:3">
      <c r="A2724" s="68">
        <v>37347.625694444447</v>
      </c>
      <c r="B2724" s="6">
        <v>2.5173611111111101E-2</v>
      </c>
      <c r="C2724" s="5">
        <v>182</v>
      </c>
    </row>
    <row r="2725" spans="1:3">
      <c r="A2725" s="68">
        <v>37347.625694444447</v>
      </c>
      <c r="B2725" s="6">
        <v>2.5347222222222202E-2</v>
      </c>
      <c r="C2725" s="5">
        <v>184</v>
      </c>
    </row>
    <row r="2726" spans="1:3">
      <c r="A2726" s="68">
        <v>37347.625694444447</v>
      </c>
      <c r="B2726" s="6">
        <v>2.5520833333333302E-2</v>
      </c>
      <c r="C2726" s="5">
        <v>184</v>
      </c>
    </row>
    <row r="2727" spans="1:3">
      <c r="A2727" s="68">
        <v>37347.625694444447</v>
      </c>
      <c r="B2727" s="6">
        <v>2.5694444444444402E-2</v>
      </c>
      <c r="C2727" s="5">
        <v>184</v>
      </c>
    </row>
    <row r="2728" spans="1:3">
      <c r="A2728" s="68">
        <v>37347.625694444447</v>
      </c>
      <c r="B2728" s="6">
        <v>2.5868055555555599E-2</v>
      </c>
      <c r="C2728" s="5">
        <v>182</v>
      </c>
    </row>
    <row r="2729" spans="1:3">
      <c r="A2729" s="68">
        <v>37347.625694444447</v>
      </c>
      <c r="B2729" s="6">
        <v>2.6041666666666699E-2</v>
      </c>
      <c r="C2729" s="5">
        <v>183</v>
      </c>
    </row>
    <row r="2730" spans="1:3">
      <c r="A2730" s="68">
        <v>37347.625694444447</v>
      </c>
      <c r="B2730" s="6">
        <v>2.6215277777777799E-2</v>
      </c>
      <c r="C2730" s="5">
        <v>183</v>
      </c>
    </row>
    <row r="2731" spans="1:3">
      <c r="A2731" s="68">
        <v>37347.625694444447</v>
      </c>
      <c r="B2731" s="6">
        <v>2.6388888888888899E-2</v>
      </c>
      <c r="C2731" s="5">
        <v>184</v>
      </c>
    </row>
    <row r="2732" spans="1:3">
      <c r="A2732" s="68">
        <v>37347.625694444447</v>
      </c>
      <c r="B2732" s="6">
        <v>2.6562499999999999E-2</v>
      </c>
      <c r="C2732" s="5">
        <v>183</v>
      </c>
    </row>
    <row r="2733" spans="1:3">
      <c r="A2733" s="68">
        <v>37347.625694444447</v>
      </c>
      <c r="B2733" s="6">
        <v>2.6736111111111099E-2</v>
      </c>
      <c r="C2733" s="5">
        <v>183</v>
      </c>
    </row>
    <row r="2734" spans="1:3">
      <c r="A2734" s="68">
        <v>37347.625694444447</v>
      </c>
      <c r="B2734" s="6">
        <v>2.6909722222222199E-2</v>
      </c>
      <c r="C2734" s="5">
        <v>185</v>
      </c>
    </row>
    <row r="2735" spans="1:3">
      <c r="A2735" s="68">
        <v>37347.625694444447</v>
      </c>
      <c r="B2735" s="6">
        <v>2.70833333333333E-2</v>
      </c>
      <c r="C2735" s="5">
        <v>186</v>
      </c>
    </row>
    <row r="2736" spans="1:3">
      <c r="A2736" s="68">
        <v>37347.625694444447</v>
      </c>
      <c r="B2736" s="6">
        <v>2.72569444444444E-2</v>
      </c>
      <c r="C2736" s="5">
        <v>183</v>
      </c>
    </row>
    <row r="2737" spans="1:3">
      <c r="A2737" s="68">
        <v>37347.625694444447</v>
      </c>
      <c r="B2737" s="6">
        <v>2.74305555555556E-2</v>
      </c>
      <c r="C2737" s="5">
        <v>186</v>
      </c>
    </row>
    <row r="2738" spans="1:3">
      <c r="A2738" s="68">
        <v>37347.625694444447</v>
      </c>
      <c r="B2738" s="6">
        <v>2.76041666666667E-2</v>
      </c>
      <c r="C2738" s="5">
        <v>185</v>
      </c>
    </row>
    <row r="2739" spans="1:3">
      <c r="A2739" s="68">
        <v>37347.625694444447</v>
      </c>
      <c r="B2739" s="6">
        <v>2.7777777777777801E-2</v>
      </c>
      <c r="C2739" s="5">
        <v>186</v>
      </c>
    </row>
    <row r="2740" spans="1:3">
      <c r="A2740" s="68">
        <v>37347.625694444447</v>
      </c>
      <c r="B2740" s="6">
        <v>2.7951388888888901E-2</v>
      </c>
      <c r="C2740" s="5">
        <v>184</v>
      </c>
    </row>
    <row r="2741" spans="1:3">
      <c r="A2741" s="68">
        <v>37347.625694444447</v>
      </c>
      <c r="B2741" s="6">
        <v>2.8125000000000001E-2</v>
      </c>
      <c r="C2741" s="5">
        <v>185</v>
      </c>
    </row>
    <row r="2742" spans="1:3">
      <c r="A2742" s="68">
        <v>37347.625694444447</v>
      </c>
      <c r="B2742" s="6">
        <v>2.8298611111111101E-2</v>
      </c>
      <c r="C2742" s="5">
        <v>187</v>
      </c>
    </row>
    <row r="2743" spans="1:3">
      <c r="A2743" s="68">
        <v>37347.625694444447</v>
      </c>
      <c r="B2743" s="6">
        <v>2.8472222222222201E-2</v>
      </c>
      <c r="C2743" s="5">
        <v>187</v>
      </c>
    </row>
    <row r="2744" spans="1:3">
      <c r="A2744" s="68">
        <v>37347.625694444447</v>
      </c>
      <c r="B2744" s="6">
        <v>2.8645833333333301E-2</v>
      </c>
      <c r="C2744" s="5">
        <v>186</v>
      </c>
    </row>
    <row r="2745" spans="1:3">
      <c r="A2745" s="68">
        <v>37347.625694444447</v>
      </c>
      <c r="B2745" s="6">
        <v>2.8819444444444401E-2</v>
      </c>
      <c r="C2745" s="5">
        <v>186</v>
      </c>
    </row>
    <row r="2746" spans="1:3">
      <c r="A2746" s="68">
        <v>37347.625694444447</v>
      </c>
      <c r="B2746" s="6">
        <v>2.8993055555555598E-2</v>
      </c>
      <c r="C2746" s="5">
        <v>186</v>
      </c>
    </row>
    <row r="2747" spans="1:3">
      <c r="A2747" s="68">
        <v>37347.625694444447</v>
      </c>
      <c r="B2747" s="6">
        <v>2.9166666666666698E-2</v>
      </c>
      <c r="C2747" s="5">
        <v>188</v>
      </c>
    </row>
    <row r="2748" spans="1:3">
      <c r="A2748" s="68">
        <v>37347.625694444447</v>
      </c>
      <c r="B2748" s="6">
        <v>2.9340277777777798E-2</v>
      </c>
      <c r="C2748" s="5">
        <v>189</v>
      </c>
    </row>
    <row r="2749" spans="1:3">
      <c r="A2749" s="68">
        <v>37347.625694444447</v>
      </c>
      <c r="B2749" s="6">
        <v>2.9513888888888899E-2</v>
      </c>
      <c r="C2749" s="5">
        <v>186</v>
      </c>
    </row>
    <row r="2750" spans="1:3">
      <c r="A2750" s="68">
        <v>37347.625694444447</v>
      </c>
      <c r="B2750" s="6">
        <v>2.9687499999999999E-2</v>
      </c>
      <c r="C2750" s="5">
        <v>187</v>
      </c>
    </row>
    <row r="2751" spans="1:3">
      <c r="A2751" s="68">
        <v>37347.625694444447</v>
      </c>
      <c r="B2751" s="6">
        <v>2.9861111111111099E-2</v>
      </c>
      <c r="C2751" s="5">
        <v>187</v>
      </c>
    </row>
    <row r="2752" spans="1:3">
      <c r="A2752" s="68">
        <v>37347.625694444447</v>
      </c>
      <c r="B2752" s="6">
        <v>3.0034722222222199E-2</v>
      </c>
      <c r="C2752" s="5">
        <v>187</v>
      </c>
    </row>
    <row r="2753" spans="1:3">
      <c r="A2753" s="68">
        <v>37347.625694444447</v>
      </c>
      <c r="B2753" s="6">
        <v>3.0208333333333299E-2</v>
      </c>
      <c r="C2753" s="5">
        <v>188</v>
      </c>
    </row>
    <row r="2754" spans="1:3">
      <c r="A2754" s="68">
        <v>37347.625694444447</v>
      </c>
      <c r="B2754" s="6">
        <v>3.0381944444444399E-2</v>
      </c>
      <c r="C2754" s="5">
        <v>187</v>
      </c>
    </row>
    <row r="2755" spans="1:3">
      <c r="A2755" s="68">
        <v>37347.625694444447</v>
      </c>
      <c r="B2755" s="6">
        <v>3.05555555555556E-2</v>
      </c>
      <c r="C2755" s="5">
        <v>187</v>
      </c>
    </row>
    <row r="2756" spans="1:3">
      <c r="A2756" s="68">
        <v>37347.625694444447</v>
      </c>
      <c r="B2756" s="6">
        <v>3.07291666666667E-2</v>
      </c>
      <c r="C2756" s="5">
        <v>188</v>
      </c>
    </row>
    <row r="2757" spans="1:3">
      <c r="A2757" s="68">
        <v>37347.625694444447</v>
      </c>
      <c r="B2757" s="6">
        <v>3.09027777777778E-2</v>
      </c>
      <c r="C2757" s="5">
        <v>188</v>
      </c>
    </row>
    <row r="2758" spans="1:3">
      <c r="A2758" s="68">
        <v>37347.625694444447</v>
      </c>
      <c r="B2758" s="6">
        <v>3.10763888888889E-2</v>
      </c>
      <c r="C2758" s="5">
        <v>188</v>
      </c>
    </row>
    <row r="2759" spans="1:3">
      <c r="A2759" s="68">
        <v>37347.625694444447</v>
      </c>
      <c r="B2759" s="6">
        <v>3.125E-2</v>
      </c>
      <c r="C2759" s="5">
        <v>187</v>
      </c>
    </row>
    <row r="2760" spans="1:3">
      <c r="A2760" s="68">
        <v>37347.625694444447</v>
      </c>
      <c r="B2760" s="6">
        <v>3.1423611111111097E-2</v>
      </c>
      <c r="C2760" s="5">
        <v>187</v>
      </c>
    </row>
    <row r="2761" spans="1:3">
      <c r="A2761" s="68">
        <v>37347.625694444447</v>
      </c>
      <c r="B2761" s="6">
        <v>3.15972222222222E-2</v>
      </c>
      <c r="C2761" s="5">
        <v>188</v>
      </c>
    </row>
    <row r="2762" spans="1:3">
      <c r="A2762" s="68">
        <v>37347.625694444447</v>
      </c>
      <c r="B2762" s="6">
        <v>3.1770833333333297E-2</v>
      </c>
      <c r="C2762" s="5">
        <v>188</v>
      </c>
    </row>
    <row r="2763" spans="1:3">
      <c r="A2763" s="68">
        <v>37347.625694444447</v>
      </c>
      <c r="B2763" s="6">
        <v>3.19444444444444E-2</v>
      </c>
      <c r="C2763" s="5">
        <v>189</v>
      </c>
    </row>
    <row r="2764" spans="1:3">
      <c r="A2764" s="68">
        <v>37347.625694444447</v>
      </c>
      <c r="B2764" s="6">
        <v>3.2118055555555601E-2</v>
      </c>
      <c r="C2764" s="5">
        <v>188</v>
      </c>
    </row>
    <row r="2765" spans="1:3">
      <c r="A2765" s="68">
        <v>37347.625694444447</v>
      </c>
      <c r="B2765" s="6">
        <v>3.2291666666666698E-2</v>
      </c>
      <c r="C2765" s="5">
        <v>188</v>
      </c>
    </row>
    <row r="2766" spans="1:3">
      <c r="A2766" s="68">
        <v>37347.625694444447</v>
      </c>
      <c r="B2766" s="6">
        <v>3.2465277777777801E-2</v>
      </c>
      <c r="C2766" s="5">
        <v>189</v>
      </c>
    </row>
    <row r="2767" spans="1:3">
      <c r="A2767" s="68">
        <v>37347.625694444447</v>
      </c>
      <c r="B2767" s="6">
        <v>3.2638888888888898E-2</v>
      </c>
      <c r="C2767" s="5">
        <v>189</v>
      </c>
    </row>
    <row r="2768" spans="1:3">
      <c r="A2768" s="68">
        <v>37351.713888888888</v>
      </c>
      <c r="B2768" s="6">
        <v>0</v>
      </c>
      <c r="C2768" s="5">
        <v>123</v>
      </c>
    </row>
    <row r="2769" spans="1:3">
      <c r="A2769" s="68">
        <v>37351.713888888888</v>
      </c>
      <c r="B2769" s="6">
        <v>1.7361111111111112E-4</v>
      </c>
      <c r="C2769" s="5">
        <v>127</v>
      </c>
    </row>
    <row r="2770" spans="1:3">
      <c r="A2770" s="68">
        <v>37351.713888888888</v>
      </c>
      <c r="B2770" s="6">
        <v>3.4722222222222202E-4</v>
      </c>
      <c r="C2770" s="5">
        <v>124</v>
      </c>
    </row>
    <row r="2771" spans="1:3">
      <c r="A2771" s="68">
        <v>37351.713888888888</v>
      </c>
      <c r="B2771" s="6">
        <v>5.20833333333333E-4</v>
      </c>
      <c r="C2771" s="5">
        <v>126</v>
      </c>
    </row>
    <row r="2772" spans="1:3">
      <c r="A2772" s="68">
        <v>37351.713888888888</v>
      </c>
      <c r="B2772" s="6">
        <v>6.9444444444444404E-4</v>
      </c>
      <c r="C2772" s="5">
        <v>127</v>
      </c>
    </row>
    <row r="2773" spans="1:3">
      <c r="A2773" s="68">
        <v>37351.713888888888</v>
      </c>
      <c r="B2773" s="6">
        <v>8.6805555555555605E-4</v>
      </c>
      <c r="C2773" s="5">
        <v>121</v>
      </c>
    </row>
    <row r="2774" spans="1:3">
      <c r="A2774" s="68">
        <v>37351.713888888888</v>
      </c>
      <c r="B2774" s="6">
        <v>1.0416666666666699E-3</v>
      </c>
      <c r="C2774" s="5">
        <v>122</v>
      </c>
    </row>
    <row r="2775" spans="1:3">
      <c r="A2775" s="68">
        <v>37351.713888888888</v>
      </c>
      <c r="B2775" s="6">
        <v>1.21527777777778E-3</v>
      </c>
      <c r="C2775" s="5">
        <v>125</v>
      </c>
    </row>
    <row r="2776" spans="1:3">
      <c r="A2776" s="68">
        <v>37351.713888888888</v>
      </c>
      <c r="B2776" s="6">
        <v>1.38888888888889E-3</v>
      </c>
      <c r="C2776" s="5">
        <v>125</v>
      </c>
    </row>
    <row r="2777" spans="1:3">
      <c r="A2777" s="68">
        <v>37351.713888888888</v>
      </c>
      <c r="B2777" s="6">
        <v>1.5625000000000001E-3</v>
      </c>
      <c r="C2777" s="5">
        <v>125</v>
      </c>
    </row>
    <row r="2778" spans="1:3">
      <c r="A2778" s="68">
        <v>37351.713888888888</v>
      </c>
      <c r="B2778" s="6">
        <v>1.7361111111111099E-3</v>
      </c>
      <c r="C2778" s="5">
        <v>124</v>
      </c>
    </row>
    <row r="2779" spans="1:3">
      <c r="A2779" s="68">
        <v>37351.713888888888</v>
      </c>
      <c r="B2779" s="6">
        <v>1.90972222222222E-3</v>
      </c>
      <c r="C2779" s="5">
        <v>128</v>
      </c>
    </row>
    <row r="2780" spans="1:3">
      <c r="A2780" s="68">
        <v>37351.713888888888</v>
      </c>
      <c r="B2780" s="6">
        <v>2.0833333333333298E-3</v>
      </c>
      <c r="C2780" s="5">
        <v>128</v>
      </c>
    </row>
    <row r="2781" spans="1:3">
      <c r="A2781" s="68">
        <v>37351.713888888888</v>
      </c>
      <c r="B2781" s="6">
        <v>2.2569444444444399E-3</v>
      </c>
      <c r="C2781" s="5">
        <v>131</v>
      </c>
    </row>
    <row r="2782" spans="1:3">
      <c r="A2782" s="68">
        <v>37351.713888888888</v>
      </c>
      <c r="B2782" s="6">
        <v>2.4305555555555599E-3</v>
      </c>
      <c r="C2782" s="5">
        <v>132</v>
      </c>
    </row>
    <row r="2783" spans="1:3">
      <c r="A2783" s="68">
        <v>37351.713888888888</v>
      </c>
      <c r="B2783" s="6">
        <v>2.60416666666667E-3</v>
      </c>
      <c r="C2783" s="5">
        <v>131</v>
      </c>
    </row>
    <row r="2784" spans="1:3">
      <c r="A2784" s="68">
        <v>37351.713888888888</v>
      </c>
      <c r="B2784" s="6">
        <v>2.7777777777777801E-3</v>
      </c>
      <c r="C2784" s="5">
        <v>133</v>
      </c>
    </row>
    <row r="2785" spans="1:3">
      <c r="A2785" s="68">
        <v>37351.713888888888</v>
      </c>
      <c r="B2785" s="6">
        <v>2.9513888888888901E-3</v>
      </c>
      <c r="C2785" s="5">
        <v>129</v>
      </c>
    </row>
    <row r="2786" spans="1:3">
      <c r="A2786" s="68">
        <v>37351.713888888888</v>
      </c>
      <c r="B2786" s="6">
        <v>3.1250000000000002E-3</v>
      </c>
      <c r="C2786" s="5">
        <v>131</v>
      </c>
    </row>
    <row r="2787" spans="1:3">
      <c r="A2787" s="68">
        <v>37351.713888888888</v>
      </c>
      <c r="B2787" s="6">
        <v>3.2986111111111098E-3</v>
      </c>
      <c r="C2787" s="5">
        <v>130</v>
      </c>
    </row>
    <row r="2788" spans="1:3">
      <c r="A2788" s="68">
        <v>37351.713888888888</v>
      </c>
      <c r="B2788" s="6">
        <v>3.4722222222222199E-3</v>
      </c>
      <c r="C2788" s="5">
        <v>132</v>
      </c>
    </row>
    <row r="2789" spans="1:3">
      <c r="A2789" s="68">
        <v>37351.713888888888</v>
      </c>
      <c r="B2789" s="6">
        <v>3.6458333333333299E-3</v>
      </c>
      <c r="C2789" s="5">
        <v>132</v>
      </c>
    </row>
    <row r="2790" spans="1:3">
      <c r="A2790" s="68">
        <v>37351.713888888888</v>
      </c>
      <c r="B2790" s="6">
        <v>3.81944444444444E-3</v>
      </c>
      <c r="C2790" s="5">
        <v>129</v>
      </c>
    </row>
    <row r="2791" spans="1:3">
      <c r="A2791" s="68">
        <v>37351.713888888888</v>
      </c>
      <c r="B2791" s="6">
        <v>3.9930555555555596E-3</v>
      </c>
      <c r="C2791" s="5">
        <v>127</v>
      </c>
    </row>
    <row r="2792" spans="1:3">
      <c r="A2792" s="68">
        <v>37351.713888888888</v>
      </c>
      <c r="B2792" s="6">
        <v>4.1666666666666701E-3</v>
      </c>
      <c r="C2792" s="5">
        <v>133</v>
      </c>
    </row>
    <row r="2793" spans="1:3">
      <c r="A2793" s="68">
        <v>37351.713888888888</v>
      </c>
      <c r="B2793" s="6">
        <v>4.3402777777777797E-3</v>
      </c>
      <c r="C2793" s="5">
        <v>133</v>
      </c>
    </row>
    <row r="2794" spans="1:3">
      <c r="A2794" s="68">
        <v>37351.713888888888</v>
      </c>
      <c r="B2794" s="6">
        <v>4.5138888888888902E-3</v>
      </c>
      <c r="C2794" s="5">
        <v>131</v>
      </c>
    </row>
    <row r="2795" spans="1:3">
      <c r="A2795" s="68">
        <v>37351.713888888888</v>
      </c>
      <c r="B2795" s="6">
        <v>4.6874999999999998E-3</v>
      </c>
      <c r="C2795" s="5">
        <v>132</v>
      </c>
    </row>
    <row r="2796" spans="1:3">
      <c r="A2796" s="68">
        <v>37351.713888888888</v>
      </c>
      <c r="B2796" s="6">
        <v>4.8611111111111103E-3</v>
      </c>
      <c r="C2796" s="5">
        <v>134</v>
      </c>
    </row>
    <row r="2797" spans="1:3">
      <c r="A2797" s="68">
        <v>37351.713888888888</v>
      </c>
      <c r="B2797" s="6">
        <v>5.0347222222222199E-3</v>
      </c>
      <c r="C2797" s="5">
        <v>132</v>
      </c>
    </row>
    <row r="2798" spans="1:3">
      <c r="A2798" s="68">
        <v>37351.713888888888</v>
      </c>
      <c r="B2798" s="6">
        <v>5.2083333333333296E-3</v>
      </c>
      <c r="C2798" s="5">
        <v>130</v>
      </c>
    </row>
    <row r="2799" spans="1:3">
      <c r="A2799" s="68">
        <v>37351.713888888888</v>
      </c>
      <c r="B2799" s="6">
        <v>5.3819444444444401E-3</v>
      </c>
      <c r="C2799" s="5">
        <v>130</v>
      </c>
    </row>
    <row r="2800" spans="1:3">
      <c r="A2800" s="68">
        <v>37351.713888888888</v>
      </c>
      <c r="B2800" s="6">
        <v>5.5555555555555601E-3</v>
      </c>
      <c r="C2800" s="5">
        <v>134</v>
      </c>
    </row>
    <row r="2801" spans="1:3">
      <c r="A2801" s="68">
        <v>37351.713888888888</v>
      </c>
      <c r="B2801" s="6">
        <v>5.7291666666666697E-3</v>
      </c>
      <c r="C2801" s="5">
        <v>133</v>
      </c>
    </row>
    <row r="2802" spans="1:3">
      <c r="A2802" s="68">
        <v>37351.713888888888</v>
      </c>
      <c r="B2802" s="6">
        <v>5.9027777777777802E-3</v>
      </c>
      <c r="C2802" s="5">
        <v>138</v>
      </c>
    </row>
    <row r="2803" spans="1:3">
      <c r="A2803" s="68">
        <v>37351.713888888888</v>
      </c>
      <c r="B2803" s="6">
        <v>6.0763888888888899E-3</v>
      </c>
      <c r="C2803" s="5">
        <v>141</v>
      </c>
    </row>
    <row r="2804" spans="1:3">
      <c r="A2804" s="68">
        <v>37351.713888888888</v>
      </c>
      <c r="B2804" s="6">
        <v>6.2500000000000003E-3</v>
      </c>
      <c r="C2804" s="5">
        <v>142</v>
      </c>
    </row>
    <row r="2805" spans="1:3">
      <c r="A2805" s="68">
        <v>37351.713888888888</v>
      </c>
      <c r="B2805" s="6">
        <v>6.42361111111111E-3</v>
      </c>
      <c r="C2805" s="5">
        <v>144</v>
      </c>
    </row>
    <row r="2806" spans="1:3">
      <c r="A2806" s="68">
        <v>37351.713888888888</v>
      </c>
      <c r="B2806" s="6">
        <v>6.5972222222222196E-3</v>
      </c>
      <c r="C2806" s="5">
        <v>146</v>
      </c>
    </row>
    <row r="2807" spans="1:3">
      <c r="A2807" s="68">
        <v>37351.713888888888</v>
      </c>
      <c r="B2807" s="6">
        <v>6.7708333333333301E-3</v>
      </c>
      <c r="C2807" s="5">
        <v>147</v>
      </c>
    </row>
    <row r="2808" spans="1:3">
      <c r="A2808" s="68">
        <v>37351.713888888888</v>
      </c>
      <c r="B2808" s="6">
        <v>6.9444444444444397E-3</v>
      </c>
      <c r="C2808" s="5">
        <v>142</v>
      </c>
    </row>
    <row r="2809" spans="1:3">
      <c r="A2809" s="68">
        <v>37351.713888888888</v>
      </c>
      <c r="B2809" s="6">
        <v>7.1180555555555598E-3</v>
      </c>
      <c r="C2809" s="5">
        <v>143</v>
      </c>
    </row>
    <row r="2810" spans="1:3">
      <c r="A2810" s="68">
        <v>37351.713888888888</v>
      </c>
      <c r="B2810" s="6">
        <v>7.2916666666666703E-3</v>
      </c>
      <c r="C2810" s="5">
        <v>142</v>
      </c>
    </row>
    <row r="2811" spans="1:3">
      <c r="A2811" s="68">
        <v>37351.713888888888</v>
      </c>
      <c r="B2811" s="6">
        <v>7.4652777777777799E-3</v>
      </c>
      <c r="C2811" s="5">
        <v>144</v>
      </c>
    </row>
    <row r="2812" spans="1:3">
      <c r="A2812" s="68">
        <v>37351.713888888888</v>
      </c>
      <c r="B2812" s="6">
        <v>7.6388888888888904E-3</v>
      </c>
      <c r="C2812" s="5">
        <v>147</v>
      </c>
    </row>
    <row r="2813" spans="1:3">
      <c r="A2813" s="68">
        <v>37351.713888888888</v>
      </c>
      <c r="B2813" s="6">
        <v>7.8125E-3</v>
      </c>
      <c r="C2813" s="5">
        <v>147</v>
      </c>
    </row>
    <row r="2814" spans="1:3">
      <c r="A2814" s="68">
        <v>37351.713888888888</v>
      </c>
      <c r="B2814" s="6">
        <v>7.9861111111111105E-3</v>
      </c>
      <c r="C2814" s="5">
        <v>147</v>
      </c>
    </row>
    <row r="2815" spans="1:3">
      <c r="A2815" s="68">
        <v>37351.713888888888</v>
      </c>
      <c r="B2815" s="6">
        <v>8.1597222222222193E-3</v>
      </c>
      <c r="C2815" s="5">
        <v>145</v>
      </c>
    </row>
    <row r="2816" spans="1:3">
      <c r="A2816" s="68">
        <v>37351.713888888888</v>
      </c>
      <c r="B2816" s="6">
        <v>8.3333333333333297E-3</v>
      </c>
      <c r="C2816" s="5">
        <v>146</v>
      </c>
    </row>
    <row r="2817" spans="1:3">
      <c r="A2817" s="68">
        <v>37351.713888888888</v>
      </c>
      <c r="B2817" s="6">
        <v>8.5069444444444507E-3</v>
      </c>
      <c r="C2817" s="5">
        <v>144</v>
      </c>
    </row>
    <row r="2818" spans="1:3">
      <c r="A2818" s="68">
        <v>37351.713888888888</v>
      </c>
      <c r="B2818" s="6">
        <v>8.6805555555555594E-3</v>
      </c>
      <c r="C2818" s="5">
        <v>142</v>
      </c>
    </row>
    <row r="2819" spans="1:3">
      <c r="A2819" s="68">
        <v>37351.713888888888</v>
      </c>
      <c r="B2819" s="6">
        <v>8.8541666666666699E-3</v>
      </c>
      <c r="C2819" s="5">
        <v>144</v>
      </c>
    </row>
    <row r="2820" spans="1:3">
      <c r="A2820" s="68">
        <v>37351.713888888888</v>
      </c>
      <c r="B2820" s="6">
        <v>9.0277777777777804E-3</v>
      </c>
      <c r="C2820" s="5">
        <v>145</v>
      </c>
    </row>
    <row r="2821" spans="1:3">
      <c r="A2821" s="68">
        <v>37351.713888888888</v>
      </c>
      <c r="B2821" s="6">
        <v>9.2013888888888892E-3</v>
      </c>
      <c r="C2821" s="5">
        <v>149</v>
      </c>
    </row>
    <row r="2822" spans="1:3">
      <c r="A2822" s="68">
        <v>37351.713888888888</v>
      </c>
      <c r="B2822" s="6">
        <v>9.3749999999999997E-3</v>
      </c>
      <c r="C2822" s="5">
        <v>150</v>
      </c>
    </row>
    <row r="2823" spans="1:3">
      <c r="A2823" s="68">
        <v>37351.713888888888</v>
      </c>
      <c r="B2823" s="6">
        <v>9.5486111111111101E-3</v>
      </c>
      <c r="C2823" s="5">
        <v>149</v>
      </c>
    </row>
    <row r="2824" spans="1:3">
      <c r="A2824" s="68">
        <v>37351.713888888888</v>
      </c>
      <c r="B2824" s="6">
        <v>9.7222222222222206E-3</v>
      </c>
      <c r="C2824" s="5">
        <v>152</v>
      </c>
    </row>
    <row r="2825" spans="1:3">
      <c r="A2825" s="68">
        <v>37351.713888888888</v>
      </c>
      <c r="B2825" s="6">
        <v>9.8958333333333294E-3</v>
      </c>
      <c r="C2825" s="5">
        <v>151</v>
      </c>
    </row>
    <row r="2826" spans="1:3">
      <c r="A2826" s="68">
        <v>37351.713888888888</v>
      </c>
      <c r="B2826" s="6">
        <v>1.00694444444444E-2</v>
      </c>
      <c r="C2826" s="5">
        <v>149</v>
      </c>
    </row>
    <row r="2827" spans="1:3">
      <c r="A2827" s="68">
        <v>37351.713888888888</v>
      </c>
      <c r="B2827" s="6">
        <v>1.0243055555555601E-2</v>
      </c>
      <c r="C2827" s="5">
        <v>149</v>
      </c>
    </row>
    <row r="2828" spans="1:3">
      <c r="A2828" s="68">
        <v>37351.713888888888</v>
      </c>
      <c r="B2828" s="6">
        <v>1.0416666666666701E-2</v>
      </c>
      <c r="C2828" s="5">
        <v>150</v>
      </c>
    </row>
    <row r="2829" spans="1:3">
      <c r="A2829" s="68">
        <v>37351.713888888888</v>
      </c>
      <c r="B2829" s="6">
        <v>1.0590277777777799E-2</v>
      </c>
      <c r="C2829" s="5">
        <v>149</v>
      </c>
    </row>
    <row r="2830" spans="1:3">
      <c r="A2830" s="68">
        <v>37351.713888888888</v>
      </c>
      <c r="B2830" s="6">
        <v>1.0763888888888899E-2</v>
      </c>
      <c r="C2830" s="5">
        <v>156</v>
      </c>
    </row>
    <row r="2831" spans="1:3">
      <c r="A2831" s="68">
        <v>37351.713888888888</v>
      </c>
      <c r="B2831" s="6">
        <v>1.0937499999999999E-2</v>
      </c>
      <c r="C2831" s="5">
        <v>154</v>
      </c>
    </row>
    <row r="2832" spans="1:3">
      <c r="A2832" s="68">
        <v>37351.713888888888</v>
      </c>
      <c r="B2832" s="6">
        <v>1.1111111111111099E-2</v>
      </c>
      <c r="C2832" s="5">
        <v>150</v>
      </c>
    </row>
    <row r="2833" spans="1:3">
      <c r="A2833" s="68">
        <v>37351.713888888888</v>
      </c>
      <c r="B2833" s="6">
        <v>1.1284722222222199E-2</v>
      </c>
      <c r="C2833" s="5">
        <v>149</v>
      </c>
    </row>
    <row r="2834" spans="1:3">
      <c r="A2834" s="68">
        <v>37351.713888888888</v>
      </c>
      <c r="B2834" s="6">
        <v>1.14583333333333E-2</v>
      </c>
      <c r="C2834" s="5">
        <v>152</v>
      </c>
    </row>
    <row r="2835" spans="1:3">
      <c r="A2835" s="68">
        <v>37351.713888888888</v>
      </c>
      <c r="B2835" s="6">
        <v>1.16319444444444E-2</v>
      </c>
      <c r="C2835" s="5">
        <v>153</v>
      </c>
    </row>
    <row r="2836" spans="1:3">
      <c r="A2836" s="68">
        <v>37351.713888888888</v>
      </c>
      <c r="B2836" s="6">
        <v>1.18055555555556E-2</v>
      </c>
      <c r="C2836" s="5">
        <v>153</v>
      </c>
    </row>
    <row r="2837" spans="1:3">
      <c r="A2837" s="68">
        <v>37351.713888888888</v>
      </c>
      <c r="B2837" s="6">
        <v>1.19791666666667E-2</v>
      </c>
      <c r="C2837" s="5">
        <v>151</v>
      </c>
    </row>
    <row r="2838" spans="1:3">
      <c r="A2838" s="68">
        <v>37351.713888888888</v>
      </c>
      <c r="B2838" s="6">
        <v>1.2152777777777801E-2</v>
      </c>
      <c r="C2838" s="5">
        <v>152</v>
      </c>
    </row>
    <row r="2839" spans="1:3">
      <c r="A2839" s="68">
        <v>37351.713888888888</v>
      </c>
      <c r="B2839" s="6">
        <v>1.2326388888888901E-2</v>
      </c>
      <c r="C2839" s="5">
        <v>151</v>
      </c>
    </row>
    <row r="2840" spans="1:3">
      <c r="A2840" s="68">
        <v>37351.713888888888</v>
      </c>
      <c r="B2840" s="6">
        <v>1.2500000000000001E-2</v>
      </c>
      <c r="C2840" s="5">
        <v>151</v>
      </c>
    </row>
    <row r="2841" spans="1:3">
      <c r="A2841" s="68">
        <v>37351.713888888888</v>
      </c>
      <c r="B2841" s="6">
        <v>1.2673611111111101E-2</v>
      </c>
      <c r="C2841" s="5">
        <v>152</v>
      </c>
    </row>
    <row r="2842" spans="1:3">
      <c r="A2842" s="68">
        <v>37351.713888888888</v>
      </c>
      <c r="B2842" s="6">
        <v>1.2847222222222201E-2</v>
      </c>
      <c r="C2842" s="5">
        <v>153</v>
      </c>
    </row>
    <row r="2843" spans="1:3">
      <c r="A2843" s="68">
        <v>37351.713888888888</v>
      </c>
      <c r="B2843" s="6">
        <v>1.3020833333333299E-2</v>
      </c>
      <c r="C2843" s="5">
        <v>153</v>
      </c>
    </row>
    <row r="2844" spans="1:3">
      <c r="A2844" s="68">
        <v>37351.713888888888</v>
      </c>
      <c r="B2844" s="6">
        <v>1.3194444444444399E-2</v>
      </c>
      <c r="C2844" s="5">
        <v>154</v>
      </c>
    </row>
    <row r="2845" spans="1:3">
      <c r="A2845" s="68">
        <v>37351.713888888888</v>
      </c>
      <c r="B2845" s="6">
        <v>1.33680555555556E-2</v>
      </c>
      <c r="C2845" s="5">
        <v>154</v>
      </c>
    </row>
    <row r="2846" spans="1:3">
      <c r="A2846" s="68">
        <v>37351.713888888888</v>
      </c>
      <c r="B2846" s="6">
        <v>1.35416666666667E-2</v>
      </c>
      <c r="C2846" s="5">
        <v>152</v>
      </c>
    </row>
    <row r="2847" spans="1:3">
      <c r="A2847" s="68">
        <v>37351.713888888888</v>
      </c>
      <c r="B2847" s="6">
        <v>1.37152777777778E-2</v>
      </c>
      <c r="C2847" s="5">
        <v>152</v>
      </c>
    </row>
    <row r="2848" spans="1:3">
      <c r="A2848" s="68">
        <v>37351.713888888888</v>
      </c>
      <c r="B2848" s="6">
        <v>1.38888888888889E-2</v>
      </c>
      <c r="C2848" s="5">
        <v>151</v>
      </c>
    </row>
    <row r="2849" spans="1:3">
      <c r="A2849" s="68">
        <v>37351.713888888888</v>
      </c>
      <c r="B2849" s="6">
        <v>1.40625E-2</v>
      </c>
      <c r="C2849" s="5">
        <v>153</v>
      </c>
    </row>
    <row r="2850" spans="1:3">
      <c r="A2850" s="68">
        <v>37351.713888888888</v>
      </c>
      <c r="B2850" s="6">
        <v>1.42361111111111E-2</v>
      </c>
      <c r="C2850" s="5">
        <v>148</v>
      </c>
    </row>
    <row r="2851" spans="1:3">
      <c r="A2851" s="68">
        <v>37351.713888888888</v>
      </c>
      <c r="B2851" s="6">
        <v>1.4409722222222201E-2</v>
      </c>
      <c r="C2851" s="5">
        <v>152</v>
      </c>
    </row>
    <row r="2852" spans="1:3">
      <c r="A2852" s="68">
        <v>37351.713888888888</v>
      </c>
      <c r="B2852" s="6">
        <v>1.4583333333333301E-2</v>
      </c>
      <c r="C2852" s="5">
        <v>151</v>
      </c>
    </row>
    <row r="2853" spans="1:3">
      <c r="A2853" s="68">
        <v>37351.713888888888</v>
      </c>
      <c r="B2853" s="6">
        <v>1.4756944444444401E-2</v>
      </c>
      <c r="C2853" s="5">
        <v>154</v>
      </c>
    </row>
    <row r="2854" spans="1:3">
      <c r="A2854" s="68">
        <v>37351.713888888888</v>
      </c>
      <c r="B2854" s="6">
        <v>1.49305555555556E-2</v>
      </c>
      <c r="C2854" s="5">
        <v>151</v>
      </c>
    </row>
    <row r="2855" spans="1:3">
      <c r="A2855" s="68">
        <v>37351.713888888888</v>
      </c>
      <c r="B2855" s="6">
        <v>1.51041666666667E-2</v>
      </c>
      <c r="C2855" s="5">
        <v>149</v>
      </c>
    </row>
    <row r="2856" spans="1:3">
      <c r="A2856" s="68">
        <v>37351.713888888888</v>
      </c>
      <c r="B2856" s="6">
        <v>1.52777777777778E-2</v>
      </c>
      <c r="C2856" s="5">
        <v>152</v>
      </c>
    </row>
    <row r="2857" spans="1:3">
      <c r="A2857" s="68">
        <v>37351.713888888888</v>
      </c>
      <c r="B2857" s="6">
        <v>1.54513888888889E-2</v>
      </c>
      <c r="C2857" s="5">
        <v>150</v>
      </c>
    </row>
    <row r="2858" spans="1:3">
      <c r="A2858" s="68">
        <v>37351.713888888888</v>
      </c>
      <c r="B2858" s="6">
        <v>1.5625E-2</v>
      </c>
      <c r="C2858" s="5">
        <v>152</v>
      </c>
    </row>
    <row r="2859" spans="1:3">
      <c r="A2859" s="68">
        <v>37351.713888888888</v>
      </c>
      <c r="B2859" s="6">
        <v>1.57986111111111E-2</v>
      </c>
      <c r="C2859" s="5">
        <v>154</v>
      </c>
    </row>
    <row r="2860" spans="1:3">
      <c r="A2860" s="68">
        <v>37351.713888888888</v>
      </c>
      <c r="B2860" s="6">
        <v>1.59722222222222E-2</v>
      </c>
      <c r="C2860" s="5">
        <v>156</v>
      </c>
    </row>
    <row r="2861" spans="1:3">
      <c r="A2861" s="68">
        <v>37351.713888888888</v>
      </c>
      <c r="B2861" s="6">
        <v>1.61458333333333E-2</v>
      </c>
      <c r="C2861" s="5">
        <v>158</v>
      </c>
    </row>
    <row r="2862" spans="1:3">
      <c r="A2862" s="68">
        <v>37351.713888888888</v>
      </c>
      <c r="B2862" s="6">
        <v>1.63194444444444E-2</v>
      </c>
      <c r="C2862" s="5">
        <v>153</v>
      </c>
    </row>
    <row r="2863" spans="1:3">
      <c r="A2863" s="68">
        <v>37351.713888888888</v>
      </c>
      <c r="B2863" s="6">
        <v>1.6493055555555601E-2</v>
      </c>
      <c r="C2863" s="5">
        <v>155</v>
      </c>
    </row>
    <row r="2864" spans="1:3">
      <c r="A2864" s="68">
        <v>37351.713888888888</v>
      </c>
      <c r="B2864" s="6">
        <v>1.6666666666666701E-2</v>
      </c>
      <c r="C2864" s="5">
        <v>155</v>
      </c>
    </row>
    <row r="2865" spans="1:3">
      <c r="A2865" s="68">
        <v>37351.713888888888</v>
      </c>
      <c r="B2865" s="6">
        <v>1.6840277777777801E-2</v>
      </c>
      <c r="C2865" s="5">
        <v>156</v>
      </c>
    </row>
    <row r="2866" spans="1:3">
      <c r="A2866" s="68">
        <v>37351.713888888888</v>
      </c>
      <c r="B2866" s="6">
        <v>1.7013888888888901E-2</v>
      </c>
      <c r="C2866" s="5">
        <v>154</v>
      </c>
    </row>
    <row r="2867" spans="1:3">
      <c r="A2867" s="68">
        <v>37351.713888888888</v>
      </c>
      <c r="B2867" s="6">
        <v>1.7187500000000001E-2</v>
      </c>
      <c r="C2867" s="5">
        <v>157</v>
      </c>
    </row>
    <row r="2868" spans="1:3">
      <c r="A2868" s="68">
        <v>37351.713888888888</v>
      </c>
      <c r="B2868" s="6">
        <v>1.7361111111111101E-2</v>
      </c>
      <c r="C2868" s="5">
        <v>159</v>
      </c>
    </row>
    <row r="2869" spans="1:3">
      <c r="A2869" s="68">
        <v>37351.713888888888</v>
      </c>
      <c r="B2869" s="6">
        <v>1.7534722222222202E-2</v>
      </c>
      <c r="C2869" s="5">
        <v>159</v>
      </c>
    </row>
    <row r="2870" spans="1:3">
      <c r="A2870" s="68">
        <v>37351.713888888888</v>
      </c>
      <c r="B2870" s="6">
        <v>1.7708333333333302E-2</v>
      </c>
      <c r="C2870" s="5">
        <v>155</v>
      </c>
    </row>
    <row r="2871" spans="1:3">
      <c r="A2871" s="68">
        <v>37351.713888888888</v>
      </c>
      <c r="B2871" s="6">
        <v>1.7881944444444402E-2</v>
      </c>
      <c r="C2871" s="5">
        <v>154</v>
      </c>
    </row>
    <row r="2872" spans="1:3">
      <c r="A2872" s="68">
        <v>37351.713888888888</v>
      </c>
      <c r="B2872" s="6">
        <v>1.8055555555555599E-2</v>
      </c>
      <c r="C2872" s="5">
        <v>156</v>
      </c>
    </row>
    <row r="2873" spans="1:3">
      <c r="A2873" s="68">
        <v>37351.713888888888</v>
      </c>
      <c r="B2873" s="6">
        <v>1.8229166666666699E-2</v>
      </c>
      <c r="C2873" s="5">
        <v>156</v>
      </c>
    </row>
    <row r="2874" spans="1:3">
      <c r="A2874" s="68">
        <v>37351.713888888888</v>
      </c>
      <c r="B2874" s="6">
        <v>1.8402777777777799E-2</v>
      </c>
      <c r="C2874" s="5">
        <v>153</v>
      </c>
    </row>
    <row r="2875" spans="1:3">
      <c r="A2875" s="68">
        <v>37351.713888888888</v>
      </c>
      <c r="B2875" s="6">
        <v>1.8576388888888899E-2</v>
      </c>
      <c r="C2875" s="5">
        <v>155</v>
      </c>
    </row>
    <row r="2876" spans="1:3">
      <c r="A2876" s="68">
        <v>37351.713888888888</v>
      </c>
      <c r="B2876" s="6">
        <v>1.8749999999999999E-2</v>
      </c>
      <c r="C2876" s="5">
        <v>158</v>
      </c>
    </row>
    <row r="2877" spans="1:3">
      <c r="A2877" s="68">
        <v>37351.713888888888</v>
      </c>
      <c r="B2877" s="6">
        <v>1.8923611111111099E-2</v>
      </c>
      <c r="C2877" s="5">
        <v>159</v>
      </c>
    </row>
    <row r="2878" spans="1:3">
      <c r="A2878" s="68">
        <v>37351.713888888888</v>
      </c>
      <c r="B2878" s="6">
        <v>1.9097222222222199E-2</v>
      </c>
      <c r="C2878" s="5">
        <v>158</v>
      </c>
    </row>
    <row r="2879" spans="1:3">
      <c r="A2879" s="68">
        <v>37351.713888888888</v>
      </c>
      <c r="B2879" s="6">
        <v>1.92708333333333E-2</v>
      </c>
      <c r="C2879" s="5">
        <v>158</v>
      </c>
    </row>
    <row r="2880" spans="1:3">
      <c r="A2880" s="68">
        <v>37351.713888888888</v>
      </c>
      <c r="B2880" s="6">
        <v>1.94444444444444E-2</v>
      </c>
      <c r="C2880" s="5">
        <v>159</v>
      </c>
    </row>
    <row r="2881" spans="1:3">
      <c r="A2881" s="68">
        <v>37351.713888888888</v>
      </c>
      <c r="B2881" s="6">
        <v>1.96180555555556E-2</v>
      </c>
      <c r="C2881" s="5">
        <v>161</v>
      </c>
    </row>
    <row r="2882" spans="1:3">
      <c r="A2882" s="68">
        <v>37351.713888888888</v>
      </c>
      <c r="B2882" s="6">
        <v>1.97916666666667E-2</v>
      </c>
      <c r="C2882" s="5">
        <v>162</v>
      </c>
    </row>
    <row r="2883" spans="1:3">
      <c r="A2883" s="68">
        <v>37351.713888888888</v>
      </c>
      <c r="B2883" s="6">
        <v>1.9965277777777801E-2</v>
      </c>
      <c r="C2883" s="5">
        <v>160</v>
      </c>
    </row>
    <row r="2884" spans="1:3">
      <c r="A2884" s="68">
        <v>37351.713888888888</v>
      </c>
      <c r="B2884" s="6">
        <v>2.0138888888888901E-2</v>
      </c>
      <c r="C2884" s="5">
        <v>160</v>
      </c>
    </row>
    <row r="2885" spans="1:3">
      <c r="A2885" s="68">
        <v>37351.713888888888</v>
      </c>
      <c r="B2885" s="6">
        <v>2.0312500000000001E-2</v>
      </c>
      <c r="C2885" s="5">
        <v>163</v>
      </c>
    </row>
    <row r="2886" spans="1:3">
      <c r="A2886" s="68">
        <v>37351.713888888888</v>
      </c>
      <c r="B2886" s="6">
        <v>2.0486111111111101E-2</v>
      </c>
      <c r="C2886" s="5">
        <v>162</v>
      </c>
    </row>
    <row r="2887" spans="1:3">
      <c r="A2887" s="68">
        <v>37351.713888888888</v>
      </c>
      <c r="B2887" s="6">
        <v>2.0659722222222201E-2</v>
      </c>
      <c r="C2887" s="5">
        <v>162</v>
      </c>
    </row>
    <row r="2888" spans="1:3">
      <c r="A2888" s="68">
        <v>37351.713888888888</v>
      </c>
      <c r="B2888" s="6">
        <v>2.1006944444444401E-2</v>
      </c>
      <c r="C2888" s="5">
        <v>161</v>
      </c>
    </row>
    <row r="2889" spans="1:3">
      <c r="A2889" s="68">
        <v>37351.713888888888</v>
      </c>
      <c r="B2889" s="6">
        <v>2.1180555555555598E-2</v>
      </c>
      <c r="C2889" s="5">
        <v>161</v>
      </c>
    </row>
    <row r="2890" spans="1:3">
      <c r="A2890" s="68">
        <v>37351.713888888888</v>
      </c>
      <c r="B2890" s="6">
        <v>2.1354166666666698E-2</v>
      </c>
      <c r="C2890" s="5">
        <v>160</v>
      </c>
    </row>
    <row r="2891" spans="1:3">
      <c r="A2891" s="68">
        <v>37351.713888888888</v>
      </c>
      <c r="B2891" s="6">
        <v>2.1527777777777798E-2</v>
      </c>
      <c r="C2891" s="5">
        <v>161</v>
      </c>
    </row>
    <row r="2892" spans="1:3">
      <c r="A2892" s="68">
        <v>37351.713888888888</v>
      </c>
      <c r="B2892" s="6">
        <v>2.1701388888888899E-2</v>
      </c>
      <c r="C2892" s="5">
        <v>161</v>
      </c>
    </row>
    <row r="2893" spans="1:3">
      <c r="A2893" s="68">
        <v>37351.713888888888</v>
      </c>
      <c r="B2893" s="6">
        <v>2.1874999999999999E-2</v>
      </c>
      <c r="C2893" s="5">
        <v>160</v>
      </c>
    </row>
    <row r="2894" spans="1:3">
      <c r="A2894" s="68">
        <v>37351.713888888888</v>
      </c>
      <c r="B2894" s="6">
        <v>2.2048611111111099E-2</v>
      </c>
      <c r="C2894" s="5">
        <v>160</v>
      </c>
    </row>
    <row r="2895" spans="1:3">
      <c r="A2895" s="68">
        <v>37351.713888888888</v>
      </c>
      <c r="B2895" s="6">
        <v>2.2222222222222199E-2</v>
      </c>
      <c r="C2895" s="5">
        <v>161</v>
      </c>
    </row>
    <row r="2896" spans="1:3">
      <c r="A2896" s="68">
        <v>37351.713888888888</v>
      </c>
      <c r="B2896" s="6">
        <v>2.2395833333333299E-2</v>
      </c>
      <c r="C2896" s="5">
        <v>160</v>
      </c>
    </row>
    <row r="2897" spans="1:3">
      <c r="A2897" s="68">
        <v>37351.713888888888</v>
      </c>
      <c r="B2897" s="6">
        <v>2.2569444444444399E-2</v>
      </c>
      <c r="C2897" s="5">
        <v>160</v>
      </c>
    </row>
    <row r="2898" spans="1:3">
      <c r="A2898" s="68">
        <v>37351.713888888888</v>
      </c>
      <c r="B2898" s="6">
        <v>2.27430555555556E-2</v>
      </c>
      <c r="C2898" s="5">
        <v>163</v>
      </c>
    </row>
    <row r="2899" spans="1:3">
      <c r="A2899" s="68">
        <v>37351.713888888888</v>
      </c>
      <c r="B2899" s="6">
        <v>2.29166666666667E-2</v>
      </c>
      <c r="C2899" s="5">
        <v>162</v>
      </c>
    </row>
    <row r="2900" spans="1:3">
      <c r="A2900" s="68">
        <v>37351.713888888888</v>
      </c>
      <c r="B2900" s="6">
        <v>2.30902777777778E-2</v>
      </c>
      <c r="C2900" s="5">
        <v>161</v>
      </c>
    </row>
    <row r="2901" spans="1:3">
      <c r="A2901" s="68">
        <v>37351.713888888888</v>
      </c>
      <c r="B2901" s="6">
        <v>2.32638888888889E-2</v>
      </c>
      <c r="C2901" s="5">
        <v>161</v>
      </c>
    </row>
    <row r="2902" spans="1:3">
      <c r="A2902" s="68">
        <v>37351.713888888888</v>
      </c>
      <c r="B2902" s="6">
        <v>2.34375E-2</v>
      </c>
      <c r="C2902" s="5">
        <v>161</v>
      </c>
    </row>
    <row r="2903" spans="1:3">
      <c r="A2903" s="68">
        <v>37351.713888888888</v>
      </c>
      <c r="B2903" s="6">
        <v>2.36111111111111E-2</v>
      </c>
      <c r="C2903" s="5">
        <v>161</v>
      </c>
    </row>
    <row r="2904" spans="1:3">
      <c r="A2904" s="68">
        <v>37351.713888888888</v>
      </c>
      <c r="B2904" s="6">
        <v>2.37847222222222E-2</v>
      </c>
      <c r="C2904" s="5">
        <v>162</v>
      </c>
    </row>
    <row r="2905" spans="1:3">
      <c r="A2905" s="68">
        <v>37351.713888888888</v>
      </c>
      <c r="B2905" s="6">
        <v>2.39583333333333E-2</v>
      </c>
      <c r="C2905" s="5">
        <v>163</v>
      </c>
    </row>
    <row r="2906" spans="1:3">
      <c r="A2906" s="68">
        <v>37351.713888888888</v>
      </c>
      <c r="B2906" s="6">
        <v>2.41319444444444E-2</v>
      </c>
      <c r="C2906" s="5">
        <v>163</v>
      </c>
    </row>
    <row r="2907" spans="1:3">
      <c r="A2907" s="68">
        <v>37351.713888888888</v>
      </c>
      <c r="B2907" s="6">
        <v>2.4305555555555601E-2</v>
      </c>
      <c r="C2907" s="5">
        <v>163</v>
      </c>
    </row>
    <row r="2908" spans="1:3">
      <c r="A2908" s="68">
        <v>37351.713888888888</v>
      </c>
      <c r="B2908" s="6">
        <v>2.4479166666666701E-2</v>
      </c>
      <c r="C2908" s="5">
        <v>164</v>
      </c>
    </row>
    <row r="2909" spans="1:3">
      <c r="A2909" s="68">
        <v>37351.713888888888</v>
      </c>
      <c r="B2909" s="6">
        <v>2.4652777777777801E-2</v>
      </c>
      <c r="C2909" s="5">
        <v>163</v>
      </c>
    </row>
    <row r="2910" spans="1:3">
      <c r="A2910" s="68">
        <v>37351.713888888888</v>
      </c>
      <c r="B2910" s="6">
        <v>2.4826388888888901E-2</v>
      </c>
      <c r="C2910" s="5">
        <v>166</v>
      </c>
    </row>
    <row r="2911" spans="1:3">
      <c r="A2911" s="68">
        <v>37351.713888888888</v>
      </c>
      <c r="B2911" s="6">
        <v>2.5000000000000001E-2</v>
      </c>
      <c r="C2911" s="5">
        <v>167</v>
      </c>
    </row>
    <row r="2912" spans="1:3">
      <c r="A2912" s="68">
        <v>37351.713888888888</v>
      </c>
      <c r="B2912" s="6">
        <v>2.5173611111111101E-2</v>
      </c>
      <c r="C2912" s="5">
        <v>166</v>
      </c>
    </row>
    <row r="2913" spans="1:3">
      <c r="A2913" s="68">
        <v>37351.713888888888</v>
      </c>
      <c r="B2913" s="6">
        <v>2.5347222222222202E-2</v>
      </c>
      <c r="C2913" s="5">
        <v>167</v>
      </c>
    </row>
    <row r="2914" spans="1:3">
      <c r="A2914" s="68">
        <v>37351.713888888888</v>
      </c>
      <c r="B2914" s="6">
        <v>2.5520833333333302E-2</v>
      </c>
      <c r="C2914" s="5">
        <v>167</v>
      </c>
    </row>
    <row r="2915" spans="1:3">
      <c r="A2915" s="68">
        <v>37351.713888888888</v>
      </c>
      <c r="B2915" s="6">
        <v>2.5694444444444402E-2</v>
      </c>
      <c r="C2915" s="5">
        <v>168</v>
      </c>
    </row>
    <row r="2916" spans="1:3">
      <c r="A2916" s="68">
        <v>37351.713888888888</v>
      </c>
      <c r="B2916" s="6">
        <v>2.5868055555555599E-2</v>
      </c>
      <c r="C2916" s="5">
        <v>168</v>
      </c>
    </row>
    <row r="2917" spans="1:3">
      <c r="A2917" s="68">
        <v>37351.713888888888</v>
      </c>
      <c r="B2917" s="6">
        <v>2.6041666666666699E-2</v>
      </c>
      <c r="C2917" s="5">
        <v>169</v>
      </c>
    </row>
    <row r="2918" spans="1:3">
      <c r="A2918" s="68">
        <v>37351.713888888888</v>
      </c>
      <c r="B2918" s="6">
        <v>2.6215277777777799E-2</v>
      </c>
      <c r="C2918" s="5">
        <v>170</v>
      </c>
    </row>
    <row r="2919" spans="1:3">
      <c r="A2919" s="68">
        <v>37351.713888888888</v>
      </c>
      <c r="B2919" s="6">
        <v>2.6388888888888899E-2</v>
      </c>
      <c r="C2919" s="5">
        <v>170</v>
      </c>
    </row>
    <row r="2920" spans="1:3">
      <c r="A2920" s="68">
        <v>37351.713888888888</v>
      </c>
      <c r="B2920" s="6">
        <v>2.6562499999999999E-2</v>
      </c>
      <c r="C2920" s="5">
        <v>171</v>
      </c>
    </row>
    <row r="2921" spans="1:3">
      <c r="A2921" s="68">
        <v>37351.713888888888</v>
      </c>
      <c r="B2921" s="6">
        <v>2.6736111111111099E-2</v>
      </c>
      <c r="C2921" s="5">
        <v>170</v>
      </c>
    </row>
    <row r="2922" spans="1:3">
      <c r="A2922" s="68">
        <v>37351.713888888888</v>
      </c>
      <c r="B2922" s="6">
        <v>2.6909722222222199E-2</v>
      </c>
      <c r="C2922" s="5">
        <v>170</v>
      </c>
    </row>
    <row r="2923" spans="1:3">
      <c r="A2923" s="68">
        <v>37351.713888888888</v>
      </c>
      <c r="B2923" s="6">
        <v>2.70833333333333E-2</v>
      </c>
      <c r="C2923" s="5">
        <v>171</v>
      </c>
    </row>
    <row r="2924" spans="1:3">
      <c r="A2924" s="68">
        <v>37351.713888888888</v>
      </c>
      <c r="B2924" s="6">
        <v>2.72569444444444E-2</v>
      </c>
      <c r="C2924" s="5">
        <v>171</v>
      </c>
    </row>
    <row r="2925" spans="1:3">
      <c r="A2925" s="68">
        <v>37351.713888888888</v>
      </c>
      <c r="B2925" s="6">
        <v>2.74305555555556E-2</v>
      </c>
      <c r="C2925" s="5">
        <v>170</v>
      </c>
    </row>
    <row r="2926" spans="1:3">
      <c r="A2926" s="68">
        <v>37351.713888888888</v>
      </c>
      <c r="B2926" s="6">
        <v>2.76041666666667E-2</v>
      </c>
      <c r="C2926" s="5">
        <v>171</v>
      </c>
    </row>
    <row r="2927" spans="1:3">
      <c r="A2927" s="68">
        <v>37351.713888888888</v>
      </c>
      <c r="B2927" s="6">
        <v>2.7777777777777801E-2</v>
      </c>
      <c r="C2927" s="5">
        <v>170</v>
      </c>
    </row>
    <row r="2928" spans="1:3">
      <c r="A2928" s="68">
        <v>37351.713888888888</v>
      </c>
      <c r="B2928" s="6">
        <v>2.7951388888888901E-2</v>
      </c>
      <c r="C2928" s="5">
        <v>170</v>
      </c>
    </row>
    <row r="2929" spans="1:3">
      <c r="A2929" s="68">
        <v>37351.713888888888</v>
      </c>
      <c r="B2929" s="6">
        <v>2.8125000000000001E-2</v>
      </c>
      <c r="C2929" s="5">
        <v>170</v>
      </c>
    </row>
    <row r="2930" spans="1:3">
      <c r="A2930" s="68">
        <v>37351.713888888888</v>
      </c>
      <c r="B2930" s="6">
        <v>2.8298611111111101E-2</v>
      </c>
      <c r="C2930" s="5">
        <v>169</v>
      </c>
    </row>
    <row r="2931" spans="1:3">
      <c r="A2931" s="68">
        <v>37351.713888888888</v>
      </c>
      <c r="B2931" s="6">
        <v>2.8472222222222201E-2</v>
      </c>
      <c r="C2931" s="5">
        <v>170</v>
      </c>
    </row>
    <row r="2932" spans="1:3">
      <c r="A2932" s="68">
        <v>37351.713888888888</v>
      </c>
      <c r="B2932" s="6">
        <v>2.8645833333333301E-2</v>
      </c>
      <c r="C2932" s="5">
        <v>172</v>
      </c>
    </row>
    <row r="2933" spans="1:3">
      <c r="A2933" s="68">
        <v>37351.713888888888</v>
      </c>
      <c r="B2933" s="6">
        <v>2.8819444444444401E-2</v>
      </c>
      <c r="C2933" s="5">
        <v>174</v>
      </c>
    </row>
    <row r="2934" spans="1:3">
      <c r="A2934" s="68">
        <v>37351.713888888888</v>
      </c>
      <c r="B2934" s="6">
        <v>2.8993055555555598E-2</v>
      </c>
      <c r="C2934" s="5">
        <v>175</v>
      </c>
    </row>
    <row r="2935" spans="1:3">
      <c r="A2935" s="68">
        <v>37351.713888888888</v>
      </c>
      <c r="B2935" s="6">
        <v>2.9166666666666698E-2</v>
      </c>
      <c r="C2935" s="5">
        <v>175</v>
      </c>
    </row>
    <row r="2936" spans="1:3">
      <c r="A2936" s="68">
        <v>37351.713888888888</v>
      </c>
      <c r="B2936" s="6">
        <v>2.9340277777777798E-2</v>
      </c>
      <c r="C2936" s="5">
        <v>175</v>
      </c>
    </row>
    <row r="2937" spans="1:3">
      <c r="A2937" s="68">
        <v>37351.713888888888</v>
      </c>
      <c r="B2937" s="6">
        <v>2.9513888888888899E-2</v>
      </c>
      <c r="C2937" s="5">
        <v>174</v>
      </c>
    </row>
    <row r="2938" spans="1:3">
      <c r="A2938" s="68">
        <v>37351.713888888888</v>
      </c>
      <c r="B2938" s="6">
        <v>2.9687499999999999E-2</v>
      </c>
      <c r="C2938" s="5">
        <v>172</v>
      </c>
    </row>
    <row r="2939" spans="1:3">
      <c r="A2939" s="68">
        <v>37351.713888888888</v>
      </c>
      <c r="B2939" s="6">
        <v>2.9861111111111099E-2</v>
      </c>
      <c r="C2939" s="5">
        <v>175</v>
      </c>
    </row>
    <row r="2940" spans="1:3">
      <c r="A2940" s="68">
        <v>37351.713888888888</v>
      </c>
      <c r="B2940" s="6">
        <v>3.0034722222222199E-2</v>
      </c>
      <c r="C2940" s="5">
        <v>174</v>
      </c>
    </row>
    <row r="2941" spans="1:3">
      <c r="A2941" s="68">
        <v>37351.713888888888</v>
      </c>
      <c r="B2941" s="6">
        <v>3.0208333333333299E-2</v>
      </c>
      <c r="C2941" s="5">
        <v>172</v>
      </c>
    </row>
    <row r="2942" spans="1:3">
      <c r="A2942" s="68">
        <v>37351.713888888888</v>
      </c>
      <c r="B2942" s="6">
        <v>3.0381944444444399E-2</v>
      </c>
      <c r="C2942" s="5">
        <v>172</v>
      </c>
    </row>
    <row r="2943" spans="1:3">
      <c r="A2943" s="68">
        <v>37351.713888888888</v>
      </c>
      <c r="B2943" s="6">
        <v>3.05555555555556E-2</v>
      </c>
      <c r="C2943" s="5">
        <v>171</v>
      </c>
    </row>
    <row r="2944" spans="1:3">
      <c r="A2944" s="68">
        <v>37351.713888888888</v>
      </c>
      <c r="B2944" s="6">
        <v>3.07291666666667E-2</v>
      </c>
      <c r="C2944" s="5">
        <v>171</v>
      </c>
    </row>
    <row r="2945" spans="1:3">
      <c r="A2945" s="68">
        <v>37351.713888888888</v>
      </c>
      <c r="B2945" s="6">
        <v>3.09027777777778E-2</v>
      </c>
      <c r="C2945" s="5">
        <v>171</v>
      </c>
    </row>
    <row r="2946" spans="1:3">
      <c r="A2946" s="68">
        <v>37351.713888888888</v>
      </c>
      <c r="B2946" s="6">
        <v>3.10763888888889E-2</v>
      </c>
      <c r="C2946" s="5">
        <v>172</v>
      </c>
    </row>
    <row r="2947" spans="1:3">
      <c r="A2947" s="68">
        <v>37351.713888888888</v>
      </c>
      <c r="B2947" s="6">
        <v>3.125E-2</v>
      </c>
      <c r="C2947" s="5">
        <v>172</v>
      </c>
    </row>
    <row r="2948" spans="1:3">
      <c r="A2948" s="68">
        <v>37351.713888888888</v>
      </c>
      <c r="B2948" s="6">
        <v>3.1423611111111097E-2</v>
      </c>
      <c r="C2948" s="5">
        <v>174</v>
      </c>
    </row>
    <row r="2949" spans="1:3">
      <c r="A2949" s="68">
        <v>37351.713888888888</v>
      </c>
      <c r="B2949" s="6">
        <v>3.15972222222222E-2</v>
      </c>
      <c r="C2949" s="5">
        <v>173</v>
      </c>
    </row>
    <row r="2950" spans="1:3">
      <c r="A2950" s="68">
        <v>37351.713888888888</v>
      </c>
      <c r="B2950" s="6">
        <v>3.1770833333333297E-2</v>
      </c>
      <c r="C2950" s="5">
        <v>171</v>
      </c>
    </row>
    <row r="2951" spans="1:3">
      <c r="A2951" s="68">
        <v>37351.713888888888</v>
      </c>
      <c r="B2951" s="6">
        <v>3.19444444444444E-2</v>
      </c>
      <c r="C2951" s="5">
        <v>171</v>
      </c>
    </row>
    <row r="2952" spans="1:3">
      <c r="A2952" s="68">
        <v>37351.713888888888</v>
      </c>
      <c r="B2952" s="6">
        <v>3.2118055555555601E-2</v>
      </c>
      <c r="C2952" s="5">
        <v>172</v>
      </c>
    </row>
    <row r="2953" spans="1:3">
      <c r="A2953" s="68">
        <v>37351.713888888888</v>
      </c>
      <c r="B2953" s="6">
        <v>3.2291666666666698E-2</v>
      </c>
      <c r="C2953" s="5">
        <v>172</v>
      </c>
    </row>
    <row r="2954" spans="1:3">
      <c r="A2954" s="68">
        <v>37351.713888888888</v>
      </c>
      <c r="B2954" s="6">
        <v>3.2465277777777801E-2</v>
      </c>
      <c r="C2954" s="5">
        <v>173</v>
      </c>
    </row>
    <row r="2955" spans="1:3">
      <c r="A2955" s="68">
        <v>37351.713888888888</v>
      </c>
      <c r="B2955" s="6">
        <v>3.2638888888888898E-2</v>
      </c>
      <c r="C2955" s="5">
        <v>174</v>
      </c>
    </row>
    <row r="2956" spans="1:3">
      <c r="A2956" s="68">
        <v>37351.713888888888</v>
      </c>
      <c r="B2956" s="6">
        <v>3.2812500000000001E-2</v>
      </c>
      <c r="C2956" s="5">
        <v>174</v>
      </c>
    </row>
    <row r="2957" spans="1:3">
      <c r="A2957" s="68">
        <v>37351.713888888888</v>
      </c>
      <c r="B2957" s="6">
        <v>3.2986111111111098E-2</v>
      </c>
      <c r="C2957" s="5">
        <v>175</v>
      </c>
    </row>
    <row r="2958" spans="1:3">
      <c r="A2958" s="68">
        <v>37351.713888888888</v>
      </c>
      <c r="B2958" s="6">
        <v>3.3159722222222202E-2</v>
      </c>
      <c r="C2958" s="5">
        <v>175</v>
      </c>
    </row>
    <row r="2959" spans="1:3">
      <c r="A2959" s="68">
        <v>37351.713888888888</v>
      </c>
      <c r="B2959" s="6">
        <v>3.3333333333333298E-2</v>
      </c>
      <c r="C2959" s="5">
        <v>173</v>
      </c>
    </row>
    <row r="2960" spans="1:3">
      <c r="A2960" s="68">
        <v>37351.713888888888</v>
      </c>
      <c r="B2960" s="6">
        <v>3.3506944444444402E-2</v>
      </c>
      <c r="C2960" s="5">
        <v>173</v>
      </c>
    </row>
    <row r="2961" spans="1:3">
      <c r="A2961" s="68">
        <v>37351.713888888888</v>
      </c>
      <c r="B2961" s="6">
        <v>3.3680555555555498E-2</v>
      </c>
      <c r="C2961" s="5">
        <v>173</v>
      </c>
    </row>
    <row r="2962" spans="1:3">
      <c r="A2962" s="68">
        <v>37351.713888888888</v>
      </c>
      <c r="B2962" s="6">
        <v>3.3854166666666602E-2</v>
      </c>
      <c r="C2962" s="5">
        <v>172</v>
      </c>
    </row>
    <row r="2963" spans="1:3">
      <c r="A2963" s="68">
        <v>37351.713888888888</v>
      </c>
      <c r="B2963" s="6">
        <v>3.4027777777777699E-2</v>
      </c>
      <c r="C2963" s="5">
        <v>172</v>
      </c>
    </row>
    <row r="2964" spans="1:3">
      <c r="A2964" s="68">
        <v>37351.713888888888</v>
      </c>
      <c r="B2964" s="6">
        <v>3.4201388888888802E-2</v>
      </c>
      <c r="C2964" s="5">
        <v>174</v>
      </c>
    </row>
    <row r="2965" spans="1:3">
      <c r="A2965" s="68">
        <v>37351.713888888888</v>
      </c>
      <c r="B2965" s="6">
        <v>3.4374999999999899E-2</v>
      </c>
      <c r="C2965" s="5">
        <v>175</v>
      </c>
    </row>
    <row r="2966" spans="1:3">
      <c r="A2966" s="68">
        <v>37351.713888888888</v>
      </c>
      <c r="B2966" s="6">
        <v>3.4548611111111002E-2</v>
      </c>
      <c r="C2966" s="5">
        <v>175</v>
      </c>
    </row>
    <row r="2967" spans="1:3">
      <c r="A2967" s="68">
        <v>37351.713888888888</v>
      </c>
      <c r="B2967" s="6">
        <v>3.4722222222222099E-2</v>
      </c>
      <c r="C2967" s="5">
        <v>175</v>
      </c>
    </row>
    <row r="2968" spans="1:3">
      <c r="A2968" s="68">
        <v>37351.713888888888</v>
      </c>
      <c r="B2968" s="6">
        <v>3.4895833333333202E-2</v>
      </c>
      <c r="C2968" s="5">
        <v>177</v>
      </c>
    </row>
    <row r="2969" spans="1:3">
      <c r="A2969" s="68">
        <v>37351.713888888888</v>
      </c>
      <c r="B2969" s="6">
        <v>3.5069444444444299E-2</v>
      </c>
      <c r="C2969" s="5">
        <v>176</v>
      </c>
    </row>
    <row r="2970" spans="1:3">
      <c r="A2970" s="68">
        <v>37408</v>
      </c>
      <c r="B2970" s="6">
        <v>0</v>
      </c>
      <c r="C2970" s="5">
        <v>88</v>
      </c>
    </row>
    <row r="2971" spans="1:3">
      <c r="A2971" s="68">
        <v>37408</v>
      </c>
      <c r="B2971" s="6">
        <v>6.9444444444444447E-4</v>
      </c>
      <c r="C2971" s="5">
        <v>152</v>
      </c>
    </row>
    <row r="2972" spans="1:3">
      <c r="A2972" s="68">
        <v>37408</v>
      </c>
      <c r="B2972" s="6">
        <v>1.38888888888889E-3</v>
      </c>
      <c r="C2972" s="5">
        <v>160</v>
      </c>
    </row>
    <row r="2973" spans="1:3">
      <c r="A2973" s="68">
        <v>37408</v>
      </c>
      <c r="B2973" s="6">
        <v>2.0833333333333298E-3</v>
      </c>
      <c r="C2973" s="5">
        <v>156</v>
      </c>
    </row>
    <row r="2974" spans="1:3">
      <c r="A2974" s="68">
        <v>37408</v>
      </c>
      <c r="B2974" s="6">
        <v>2.7777777777777801E-3</v>
      </c>
      <c r="C2974" s="5">
        <v>164</v>
      </c>
    </row>
    <row r="2975" spans="1:3">
      <c r="A2975" s="68">
        <v>37408</v>
      </c>
      <c r="B2975" s="6">
        <v>3.4722222222222199E-3</v>
      </c>
      <c r="C2975" s="5">
        <v>164</v>
      </c>
    </row>
    <row r="2976" spans="1:3">
      <c r="A2976" s="68">
        <v>37408</v>
      </c>
      <c r="B2976" s="6">
        <v>4.1666666666666701E-3</v>
      </c>
      <c r="C2976" s="5">
        <v>170</v>
      </c>
    </row>
    <row r="2977" spans="1:3">
      <c r="A2977" s="68">
        <v>37408</v>
      </c>
      <c r="B2977" s="6">
        <v>4.8611111111111103E-3</v>
      </c>
      <c r="C2977" s="5">
        <v>172</v>
      </c>
    </row>
    <row r="2978" spans="1:3">
      <c r="A2978" s="68">
        <v>37408</v>
      </c>
      <c r="B2978" s="6">
        <v>5.5555555555555601E-3</v>
      </c>
      <c r="C2978" s="5">
        <v>172</v>
      </c>
    </row>
    <row r="2979" spans="1:3">
      <c r="A2979" s="68">
        <v>37408</v>
      </c>
      <c r="B2979" s="6">
        <v>6.2500000000000003E-3</v>
      </c>
      <c r="C2979" s="5">
        <v>170</v>
      </c>
    </row>
    <row r="2980" spans="1:3">
      <c r="A2980" s="68">
        <v>37408</v>
      </c>
      <c r="B2980" s="6">
        <v>6.9444444444444397E-3</v>
      </c>
      <c r="C2980" s="5">
        <v>171</v>
      </c>
    </row>
    <row r="2981" spans="1:3">
      <c r="A2981" s="68">
        <v>37408</v>
      </c>
      <c r="B2981" s="6">
        <v>7.6388888888888904E-3</v>
      </c>
      <c r="C2981" s="5">
        <v>172</v>
      </c>
    </row>
    <row r="2982" spans="1:3">
      <c r="A2982" s="68">
        <v>37408</v>
      </c>
      <c r="B2982" s="6">
        <v>8.3333333333333297E-3</v>
      </c>
      <c r="C2982" s="5">
        <v>173</v>
      </c>
    </row>
    <row r="2983" spans="1:3">
      <c r="A2983" s="68">
        <v>37408</v>
      </c>
      <c r="B2983" s="6">
        <v>9.0277777777777804E-3</v>
      </c>
      <c r="C2983" s="5">
        <v>173</v>
      </c>
    </row>
    <row r="2984" spans="1:3">
      <c r="A2984" s="68">
        <v>37408</v>
      </c>
      <c r="B2984" s="6">
        <v>9.7222222222222206E-3</v>
      </c>
      <c r="C2984" s="5">
        <v>179</v>
      </c>
    </row>
    <row r="2985" spans="1:3">
      <c r="A2985" s="68">
        <v>37408</v>
      </c>
      <c r="B2985" s="6">
        <v>1.0416666666666701E-2</v>
      </c>
      <c r="C2985" s="5">
        <v>175</v>
      </c>
    </row>
    <row r="2986" spans="1:3">
      <c r="A2986" s="68">
        <v>37408</v>
      </c>
      <c r="B2986" s="6">
        <v>1.1111111111111099E-2</v>
      </c>
      <c r="C2986" s="5">
        <v>176</v>
      </c>
    </row>
    <row r="2987" spans="1:3">
      <c r="A2987" s="68">
        <v>37408</v>
      </c>
      <c r="B2987" s="6">
        <v>1.18055555555556E-2</v>
      </c>
      <c r="C2987" s="5">
        <v>176</v>
      </c>
    </row>
    <row r="2988" spans="1:3">
      <c r="A2988" s="68">
        <v>37408</v>
      </c>
      <c r="B2988" s="6">
        <v>1.2500000000000001E-2</v>
      </c>
      <c r="C2988" s="5">
        <v>175</v>
      </c>
    </row>
    <row r="2989" spans="1:3">
      <c r="A2989" s="68">
        <v>37408</v>
      </c>
      <c r="B2989" s="6">
        <v>1.3194444444444399E-2</v>
      </c>
      <c r="C2989" s="5">
        <v>176</v>
      </c>
    </row>
    <row r="2990" spans="1:3">
      <c r="A2990" s="68">
        <v>37408</v>
      </c>
      <c r="B2990" s="6">
        <v>1.38888888888889E-2</v>
      </c>
      <c r="C2990" s="5">
        <v>179</v>
      </c>
    </row>
    <row r="2991" spans="1:3">
      <c r="A2991" s="68">
        <v>37408</v>
      </c>
      <c r="B2991" s="6">
        <v>1.4583333333333301E-2</v>
      </c>
      <c r="C2991" s="5">
        <v>180</v>
      </c>
    </row>
    <row r="2992" spans="1:3">
      <c r="A2992" s="68">
        <v>37408</v>
      </c>
      <c r="B2992" s="6">
        <v>1.52777777777778E-2</v>
      </c>
      <c r="C2992" s="5">
        <v>182</v>
      </c>
    </row>
    <row r="2993" spans="1:3">
      <c r="A2993" s="68">
        <v>37408</v>
      </c>
      <c r="B2993" s="6">
        <v>1.59722222222222E-2</v>
      </c>
      <c r="C2993" s="5">
        <v>178</v>
      </c>
    </row>
    <row r="2994" spans="1:3">
      <c r="A2994" s="68">
        <v>37408</v>
      </c>
      <c r="B2994" s="6">
        <v>1.6666666666666701E-2</v>
      </c>
      <c r="C2994" s="5">
        <v>178</v>
      </c>
    </row>
    <row r="2995" spans="1:3">
      <c r="A2995" s="68">
        <v>37408</v>
      </c>
      <c r="B2995" s="6">
        <v>1.7361111111111101E-2</v>
      </c>
      <c r="C2995" s="5">
        <v>181</v>
      </c>
    </row>
    <row r="2996" spans="1:3">
      <c r="A2996" s="68">
        <v>37408</v>
      </c>
      <c r="B2996" s="6">
        <v>1.8055555555555599E-2</v>
      </c>
      <c r="C2996" s="5">
        <v>181</v>
      </c>
    </row>
    <row r="2997" spans="1:3">
      <c r="A2997" s="68">
        <v>37408</v>
      </c>
      <c r="B2997" s="6">
        <v>1.8749999999999999E-2</v>
      </c>
      <c r="C2997" s="5">
        <v>180</v>
      </c>
    </row>
    <row r="2998" spans="1:3">
      <c r="A2998" s="68">
        <v>37408</v>
      </c>
      <c r="B2998" s="6">
        <v>1.94444444444444E-2</v>
      </c>
      <c r="C2998" s="5">
        <v>182</v>
      </c>
    </row>
    <row r="2999" spans="1:3">
      <c r="A2999" s="68">
        <v>37408</v>
      </c>
      <c r="B2999" s="6">
        <v>2.0138888888888901E-2</v>
      </c>
      <c r="C2999" s="5">
        <v>182</v>
      </c>
    </row>
    <row r="3000" spans="1:3">
      <c r="A3000" s="68">
        <v>37408</v>
      </c>
      <c r="B3000" s="6">
        <v>2.0833333333333301E-2</v>
      </c>
      <c r="C3000" s="5">
        <v>182</v>
      </c>
    </row>
    <row r="3001" spans="1:3">
      <c r="A3001" s="68">
        <v>37408</v>
      </c>
      <c r="B3001" s="6">
        <v>2.1527777777777798E-2</v>
      </c>
      <c r="C3001" s="5">
        <v>181</v>
      </c>
    </row>
    <row r="3002" spans="1:3">
      <c r="A3002" s="68">
        <v>37408</v>
      </c>
      <c r="B3002" s="6">
        <v>2.2222222222222199E-2</v>
      </c>
      <c r="C3002" s="5">
        <v>182</v>
      </c>
    </row>
    <row r="3003" spans="1:3">
      <c r="A3003" s="68">
        <v>37408</v>
      </c>
      <c r="B3003" s="6">
        <v>2.29166666666667E-2</v>
      </c>
      <c r="C3003" s="5">
        <v>183</v>
      </c>
    </row>
    <row r="3004" spans="1:3">
      <c r="A3004" s="68">
        <v>37408</v>
      </c>
      <c r="B3004" s="6">
        <v>2.36111111111111E-2</v>
      </c>
      <c r="C3004" s="5">
        <v>183</v>
      </c>
    </row>
    <row r="3005" spans="1:3">
      <c r="A3005" s="68">
        <v>37408</v>
      </c>
      <c r="B3005" s="6">
        <v>2.4305555555555601E-2</v>
      </c>
      <c r="C3005" s="5">
        <v>183</v>
      </c>
    </row>
    <row r="3006" spans="1:3">
      <c r="A3006" s="68">
        <v>37408</v>
      </c>
      <c r="B3006" s="6">
        <v>2.5000000000000001E-2</v>
      </c>
      <c r="C3006" s="5">
        <v>183</v>
      </c>
    </row>
    <row r="3007" spans="1:3">
      <c r="A3007" s="68">
        <v>37408</v>
      </c>
      <c r="B3007" s="6">
        <v>2.5694444444444402E-2</v>
      </c>
      <c r="C3007" s="5">
        <v>185</v>
      </c>
    </row>
    <row r="3008" spans="1:3">
      <c r="A3008" s="68">
        <v>37408</v>
      </c>
      <c r="B3008" s="6">
        <v>2.6388888888888899E-2</v>
      </c>
      <c r="C3008" s="5">
        <v>182</v>
      </c>
    </row>
    <row r="3009" spans="1:3">
      <c r="A3009" s="68">
        <v>37408</v>
      </c>
      <c r="B3009" s="6">
        <v>2.70833333333333E-2</v>
      </c>
      <c r="C3009" s="5">
        <v>182</v>
      </c>
    </row>
    <row r="3010" spans="1:3">
      <c r="A3010" s="68">
        <v>37408</v>
      </c>
      <c r="B3010" s="6">
        <v>2.7777777777777801E-2</v>
      </c>
      <c r="C3010" s="5">
        <v>178</v>
      </c>
    </row>
    <row r="3011" spans="1:3">
      <c r="A3011" s="68">
        <v>37408</v>
      </c>
      <c r="B3011" s="6">
        <v>2.8472222222222201E-2</v>
      </c>
      <c r="C3011" s="5">
        <v>180</v>
      </c>
    </row>
    <row r="3012" spans="1:3">
      <c r="A3012" s="68">
        <v>37408</v>
      </c>
      <c r="B3012" s="6">
        <v>2.9166666666666698E-2</v>
      </c>
      <c r="C3012" s="5">
        <v>179</v>
      </c>
    </row>
    <row r="3013" spans="1:3">
      <c r="A3013" s="68">
        <v>37408</v>
      </c>
      <c r="B3013" s="6">
        <v>2.9861111111111099E-2</v>
      </c>
      <c r="C3013" s="5">
        <v>182</v>
      </c>
    </row>
    <row r="3014" spans="1:3">
      <c r="A3014" s="68">
        <v>37408</v>
      </c>
      <c r="B3014" s="6">
        <v>3.05555555555556E-2</v>
      </c>
      <c r="C3014" s="5">
        <v>180</v>
      </c>
    </row>
    <row r="3015" spans="1:3">
      <c r="A3015" s="68">
        <v>37408</v>
      </c>
      <c r="B3015" s="6">
        <v>3.125E-2</v>
      </c>
      <c r="C3015" s="5">
        <v>180</v>
      </c>
    </row>
    <row r="3016" spans="1:3">
      <c r="A3016" s="68">
        <v>37408</v>
      </c>
      <c r="B3016" s="6">
        <v>3.19444444444444E-2</v>
      </c>
      <c r="C3016" s="5">
        <v>181</v>
      </c>
    </row>
    <row r="3017" spans="1:3">
      <c r="A3017" s="68">
        <v>37408</v>
      </c>
      <c r="B3017" s="6">
        <v>3.2638888888888898E-2</v>
      </c>
      <c r="C3017" s="5">
        <v>183</v>
      </c>
    </row>
    <row r="3018" spans="1:3">
      <c r="A3018" s="68">
        <v>37408</v>
      </c>
      <c r="B3018" s="6">
        <v>3.3333333333333298E-2</v>
      </c>
      <c r="C3018" s="5">
        <v>183</v>
      </c>
    </row>
    <row r="3019" spans="1:3">
      <c r="A3019" s="68">
        <v>37408</v>
      </c>
      <c r="B3019" s="6">
        <v>3.4027777777777803E-2</v>
      </c>
    </row>
    <row r="3020" spans="1:3">
      <c r="A3020" s="68">
        <v>37414.726388888892</v>
      </c>
      <c r="B3020" s="6">
        <v>0</v>
      </c>
      <c r="C3020" s="5">
        <v>97</v>
      </c>
    </row>
    <row r="3021" spans="1:3">
      <c r="A3021" s="68">
        <v>37414.726388888892</v>
      </c>
      <c r="B3021" s="6">
        <v>1.7361111111111112E-4</v>
      </c>
      <c r="C3021" s="5">
        <v>135</v>
      </c>
    </row>
    <row r="3022" spans="1:3">
      <c r="A3022" s="68">
        <v>37414.726388888892</v>
      </c>
      <c r="B3022" s="6">
        <v>3.4722222222222202E-4</v>
      </c>
      <c r="C3022" s="5">
        <v>145</v>
      </c>
    </row>
    <row r="3023" spans="1:3">
      <c r="A3023" s="68">
        <v>37414.726388888892</v>
      </c>
      <c r="B3023" s="6">
        <v>5.20833333333333E-4</v>
      </c>
      <c r="C3023" s="5">
        <v>149</v>
      </c>
    </row>
    <row r="3024" spans="1:3">
      <c r="A3024" s="68">
        <v>37414.726388888892</v>
      </c>
      <c r="B3024" s="6">
        <v>6.9444444444444404E-4</v>
      </c>
      <c r="C3024" s="5">
        <v>151</v>
      </c>
    </row>
    <row r="3025" spans="1:3">
      <c r="A3025" s="68">
        <v>37414.726388888892</v>
      </c>
      <c r="B3025" s="6">
        <v>8.6805555555555605E-4</v>
      </c>
      <c r="C3025" s="5">
        <v>157</v>
      </c>
    </row>
    <row r="3026" spans="1:3">
      <c r="A3026" s="68">
        <v>37414.726388888892</v>
      </c>
      <c r="B3026" s="6">
        <v>1.0416666666666699E-3</v>
      </c>
      <c r="C3026" s="5">
        <v>158</v>
      </c>
    </row>
    <row r="3027" spans="1:3">
      <c r="A3027" s="68">
        <v>37414.726388888892</v>
      </c>
      <c r="B3027" s="6">
        <v>1.21527777777778E-3</v>
      </c>
      <c r="C3027" s="5">
        <v>160</v>
      </c>
    </row>
    <row r="3028" spans="1:3">
      <c r="A3028" s="68">
        <v>37414.726388888892</v>
      </c>
      <c r="B3028" s="6">
        <v>1.38888888888889E-3</v>
      </c>
      <c r="C3028" s="5">
        <v>158</v>
      </c>
    </row>
    <row r="3029" spans="1:3">
      <c r="A3029" s="68">
        <v>37414.726388888892</v>
      </c>
      <c r="B3029" s="6">
        <v>1.5625000000000001E-3</v>
      </c>
      <c r="C3029" s="5">
        <v>161</v>
      </c>
    </row>
    <row r="3030" spans="1:3">
      <c r="A3030" s="68">
        <v>37414.726388888892</v>
      </c>
      <c r="B3030" s="6">
        <v>1.7361111111111099E-3</v>
      </c>
      <c r="C3030" s="5">
        <v>161</v>
      </c>
    </row>
    <row r="3031" spans="1:3">
      <c r="A3031" s="68">
        <v>37414.726388888892</v>
      </c>
      <c r="B3031" s="6">
        <v>1.90972222222222E-3</v>
      </c>
      <c r="C3031" s="5">
        <v>163</v>
      </c>
    </row>
    <row r="3032" spans="1:3">
      <c r="A3032" s="68">
        <v>37414.726388888892</v>
      </c>
      <c r="B3032" s="6">
        <v>2.0833333333333298E-3</v>
      </c>
      <c r="C3032" s="5">
        <v>162</v>
      </c>
    </row>
    <row r="3033" spans="1:3">
      <c r="A3033" s="68">
        <v>37414.726388888892</v>
      </c>
      <c r="B3033" s="6">
        <v>2.2569444444444399E-3</v>
      </c>
      <c r="C3033" s="5">
        <v>160</v>
      </c>
    </row>
    <row r="3034" spans="1:3">
      <c r="A3034" s="68">
        <v>37414.726388888892</v>
      </c>
      <c r="B3034" s="6">
        <v>2.4305555555555599E-3</v>
      </c>
      <c r="C3034" s="5">
        <v>163</v>
      </c>
    </row>
    <row r="3035" spans="1:3">
      <c r="A3035" s="68">
        <v>37414.726388888892</v>
      </c>
      <c r="B3035" s="6">
        <v>2.60416666666667E-3</v>
      </c>
      <c r="C3035" s="5">
        <v>168</v>
      </c>
    </row>
    <row r="3036" spans="1:3">
      <c r="A3036" s="68">
        <v>37414.726388888892</v>
      </c>
      <c r="B3036" s="6">
        <v>2.7777777777777801E-3</v>
      </c>
      <c r="C3036" s="5">
        <v>169</v>
      </c>
    </row>
    <row r="3037" spans="1:3">
      <c r="A3037" s="68">
        <v>37414.726388888892</v>
      </c>
      <c r="B3037" s="6">
        <v>2.9513888888888901E-3</v>
      </c>
      <c r="C3037" s="5">
        <v>166</v>
      </c>
    </row>
    <row r="3038" spans="1:3">
      <c r="A3038" s="68">
        <v>37414.726388888892</v>
      </c>
      <c r="B3038" s="6">
        <v>3.1250000000000002E-3</v>
      </c>
      <c r="C3038" s="5">
        <v>165</v>
      </c>
    </row>
    <row r="3039" spans="1:3">
      <c r="A3039" s="68">
        <v>37414.726388888892</v>
      </c>
      <c r="B3039" s="6">
        <v>3.2986111111111098E-3</v>
      </c>
      <c r="C3039" s="5">
        <v>167</v>
      </c>
    </row>
    <row r="3040" spans="1:3">
      <c r="A3040" s="68">
        <v>37414.726388888892</v>
      </c>
      <c r="B3040" s="6">
        <v>3.4722222222222199E-3</v>
      </c>
      <c r="C3040" s="5">
        <v>170</v>
      </c>
    </row>
    <row r="3041" spans="1:3">
      <c r="A3041" s="68">
        <v>37414.726388888892</v>
      </c>
      <c r="B3041" s="6">
        <v>3.6458333333333299E-3</v>
      </c>
      <c r="C3041" s="5">
        <v>170</v>
      </c>
    </row>
    <row r="3042" spans="1:3">
      <c r="A3042" s="68">
        <v>37414.726388888892</v>
      </c>
      <c r="B3042" s="6">
        <v>3.81944444444444E-3</v>
      </c>
      <c r="C3042" s="5">
        <v>167</v>
      </c>
    </row>
    <row r="3043" spans="1:3">
      <c r="A3043" s="68">
        <v>37414.726388888892</v>
      </c>
      <c r="B3043" s="6">
        <v>3.9930555555555596E-3</v>
      </c>
      <c r="C3043" s="5">
        <v>166</v>
      </c>
    </row>
    <row r="3044" spans="1:3">
      <c r="A3044" s="68">
        <v>37414.726388888892</v>
      </c>
      <c r="B3044" s="6">
        <v>4.1666666666666701E-3</v>
      </c>
      <c r="C3044" s="5">
        <v>168</v>
      </c>
    </row>
    <row r="3045" spans="1:3">
      <c r="A3045" s="68">
        <v>37414.726388888892</v>
      </c>
      <c r="B3045" s="6">
        <v>4.3402777777777797E-3</v>
      </c>
      <c r="C3045" s="5">
        <v>168</v>
      </c>
    </row>
    <row r="3046" spans="1:3">
      <c r="A3046" s="68">
        <v>37414.726388888892</v>
      </c>
      <c r="B3046" s="6">
        <v>4.5138888888888902E-3</v>
      </c>
      <c r="C3046" s="5">
        <v>170</v>
      </c>
    </row>
    <row r="3047" spans="1:3">
      <c r="A3047" s="68">
        <v>37414.726388888892</v>
      </c>
      <c r="B3047" s="6">
        <v>4.6874999999999998E-3</v>
      </c>
      <c r="C3047" s="5">
        <v>169</v>
      </c>
    </row>
    <row r="3048" spans="1:3">
      <c r="A3048" s="68">
        <v>37414.726388888892</v>
      </c>
      <c r="B3048" s="6">
        <v>4.8611111111111103E-3</v>
      </c>
      <c r="C3048" s="5">
        <v>168</v>
      </c>
    </row>
    <row r="3049" spans="1:3">
      <c r="A3049" s="68">
        <v>37414.726388888892</v>
      </c>
      <c r="B3049" s="6">
        <v>5.0347222222222199E-3</v>
      </c>
      <c r="C3049" s="5">
        <v>169</v>
      </c>
    </row>
    <row r="3050" spans="1:3">
      <c r="A3050" s="68">
        <v>37414.726388888892</v>
      </c>
      <c r="B3050" s="6">
        <v>5.2083333333333296E-3</v>
      </c>
      <c r="C3050" s="5">
        <v>172</v>
      </c>
    </row>
    <row r="3051" spans="1:3">
      <c r="A3051" s="68">
        <v>37414.726388888892</v>
      </c>
      <c r="B3051" s="6">
        <v>5.3819444444444401E-3</v>
      </c>
      <c r="C3051" s="5">
        <v>171</v>
      </c>
    </row>
    <row r="3052" spans="1:3">
      <c r="A3052" s="68">
        <v>37414.726388888892</v>
      </c>
      <c r="B3052" s="6">
        <v>5.5555555555555601E-3</v>
      </c>
      <c r="C3052" s="5">
        <v>171</v>
      </c>
    </row>
    <row r="3053" spans="1:3">
      <c r="A3053" s="68">
        <v>37414.726388888892</v>
      </c>
      <c r="B3053" s="6">
        <v>5.7291666666666697E-3</v>
      </c>
      <c r="C3053" s="5">
        <v>172</v>
      </c>
    </row>
    <row r="3054" spans="1:3">
      <c r="A3054" s="68">
        <v>37414.726388888892</v>
      </c>
      <c r="B3054" s="6">
        <v>5.9027777777777802E-3</v>
      </c>
      <c r="C3054" s="5">
        <v>172</v>
      </c>
    </row>
    <row r="3055" spans="1:3">
      <c r="A3055" s="68">
        <v>37414.726388888892</v>
      </c>
      <c r="B3055" s="6">
        <v>6.0763888888888899E-3</v>
      </c>
      <c r="C3055" s="5">
        <v>173</v>
      </c>
    </row>
    <row r="3056" spans="1:3">
      <c r="A3056" s="68">
        <v>37414.726388888892</v>
      </c>
      <c r="B3056" s="6">
        <v>6.2500000000000003E-3</v>
      </c>
      <c r="C3056" s="5">
        <v>173</v>
      </c>
    </row>
    <row r="3057" spans="1:3">
      <c r="A3057" s="68">
        <v>37414.726388888892</v>
      </c>
      <c r="B3057" s="6">
        <v>6.42361111111111E-3</v>
      </c>
      <c r="C3057" s="5">
        <v>172</v>
      </c>
    </row>
    <row r="3058" spans="1:3">
      <c r="A3058" s="68">
        <v>37414.726388888892</v>
      </c>
      <c r="B3058" s="6">
        <v>6.5972222222222196E-3</v>
      </c>
      <c r="C3058" s="5">
        <v>173</v>
      </c>
    </row>
    <row r="3059" spans="1:3">
      <c r="A3059" s="68">
        <v>37414.726388888892</v>
      </c>
      <c r="B3059" s="6">
        <v>6.7708333333333301E-3</v>
      </c>
      <c r="C3059" s="5">
        <v>173</v>
      </c>
    </row>
    <row r="3060" spans="1:3">
      <c r="A3060" s="68">
        <v>37414.726388888892</v>
      </c>
      <c r="B3060" s="6">
        <v>6.9444444444444397E-3</v>
      </c>
      <c r="C3060" s="5">
        <v>172</v>
      </c>
    </row>
    <row r="3061" spans="1:3">
      <c r="A3061" s="68">
        <v>37414.726388888892</v>
      </c>
      <c r="B3061" s="6">
        <v>7.1180555555555598E-3</v>
      </c>
      <c r="C3061" s="5">
        <v>171</v>
      </c>
    </row>
    <row r="3062" spans="1:3">
      <c r="A3062" s="68">
        <v>37414.726388888892</v>
      </c>
      <c r="B3062" s="6">
        <v>7.2916666666666703E-3</v>
      </c>
      <c r="C3062" s="5">
        <v>172</v>
      </c>
    </row>
    <row r="3063" spans="1:3">
      <c r="A3063" s="68">
        <v>37414.726388888892</v>
      </c>
      <c r="B3063" s="6">
        <v>7.4652777777777799E-3</v>
      </c>
      <c r="C3063" s="5">
        <v>169</v>
      </c>
    </row>
    <row r="3064" spans="1:3">
      <c r="A3064" s="68">
        <v>37414.726388888892</v>
      </c>
      <c r="B3064" s="6">
        <v>7.6388888888888904E-3</v>
      </c>
      <c r="C3064" s="5">
        <v>170</v>
      </c>
    </row>
    <row r="3065" spans="1:3">
      <c r="A3065" s="68">
        <v>37414.726388888892</v>
      </c>
      <c r="B3065" s="6">
        <v>7.8125E-3</v>
      </c>
      <c r="C3065" s="5">
        <v>172</v>
      </c>
    </row>
    <row r="3066" spans="1:3">
      <c r="A3066" s="68">
        <v>37414.726388888892</v>
      </c>
      <c r="B3066" s="6">
        <v>7.9861111111111105E-3</v>
      </c>
      <c r="C3066" s="5">
        <v>174</v>
      </c>
    </row>
    <row r="3067" spans="1:3">
      <c r="A3067" s="68">
        <v>37414.726388888892</v>
      </c>
      <c r="B3067" s="6">
        <v>8.1597222222222193E-3</v>
      </c>
      <c r="C3067" s="5">
        <v>173</v>
      </c>
    </row>
    <row r="3068" spans="1:3">
      <c r="A3068" s="68">
        <v>37414.726388888892</v>
      </c>
      <c r="B3068" s="6">
        <v>8.3333333333333297E-3</v>
      </c>
      <c r="C3068" s="5">
        <v>174</v>
      </c>
    </row>
    <row r="3069" spans="1:3">
      <c r="A3069" s="68">
        <v>37414.726388888892</v>
      </c>
      <c r="B3069" s="6">
        <v>8.5069444444444507E-3</v>
      </c>
      <c r="C3069" s="5">
        <v>176</v>
      </c>
    </row>
    <row r="3070" spans="1:3">
      <c r="A3070" s="68">
        <v>37414.726388888892</v>
      </c>
      <c r="B3070" s="6">
        <v>8.6805555555555594E-3</v>
      </c>
      <c r="C3070" s="5">
        <v>175</v>
      </c>
    </row>
    <row r="3071" spans="1:3">
      <c r="A3071" s="68">
        <v>37414.726388888892</v>
      </c>
      <c r="B3071" s="6">
        <v>8.8541666666666699E-3</v>
      </c>
      <c r="C3071" s="5">
        <v>173</v>
      </c>
    </row>
    <row r="3072" spans="1:3">
      <c r="A3072" s="68">
        <v>37414.726388888892</v>
      </c>
      <c r="B3072" s="6">
        <v>9.0277777777777804E-3</v>
      </c>
      <c r="C3072" s="5">
        <v>173</v>
      </c>
    </row>
    <row r="3073" spans="1:3">
      <c r="A3073" s="68">
        <v>37414.726388888892</v>
      </c>
      <c r="B3073" s="6">
        <v>9.2013888888888892E-3</v>
      </c>
      <c r="C3073" s="5">
        <v>174</v>
      </c>
    </row>
    <row r="3074" spans="1:3">
      <c r="A3074" s="68">
        <v>37414.726388888892</v>
      </c>
      <c r="B3074" s="6">
        <v>9.3749999999999997E-3</v>
      </c>
      <c r="C3074" s="5">
        <v>173</v>
      </c>
    </row>
    <row r="3075" spans="1:3">
      <c r="A3075" s="68">
        <v>37414.726388888892</v>
      </c>
      <c r="B3075" s="6">
        <v>9.5486111111111101E-3</v>
      </c>
      <c r="C3075" s="5">
        <v>174</v>
      </c>
    </row>
    <row r="3076" spans="1:3">
      <c r="A3076" s="68">
        <v>37414.726388888892</v>
      </c>
      <c r="B3076" s="6">
        <v>9.7222222222222206E-3</v>
      </c>
      <c r="C3076" s="5">
        <v>173</v>
      </c>
    </row>
    <row r="3077" spans="1:3">
      <c r="A3077" s="68">
        <v>37414.726388888892</v>
      </c>
      <c r="B3077" s="6">
        <v>9.8958333333333294E-3</v>
      </c>
      <c r="C3077" s="5">
        <v>170</v>
      </c>
    </row>
    <row r="3078" spans="1:3">
      <c r="A3078" s="68">
        <v>37414.726388888892</v>
      </c>
      <c r="B3078" s="6">
        <v>1.00694444444444E-2</v>
      </c>
      <c r="C3078" s="5">
        <v>170</v>
      </c>
    </row>
    <row r="3079" spans="1:3">
      <c r="A3079" s="68">
        <v>37414.726388888892</v>
      </c>
      <c r="B3079" s="6">
        <v>1.02430555555555E-2</v>
      </c>
      <c r="C3079" s="5">
        <v>174</v>
      </c>
    </row>
    <row r="3080" spans="1:3">
      <c r="A3080" s="68">
        <v>37414.726388888892</v>
      </c>
      <c r="B3080" s="6">
        <v>1.0416666666666701E-2</v>
      </c>
      <c r="C3080" s="5">
        <v>176</v>
      </c>
    </row>
    <row r="3081" spans="1:3">
      <c r="A3081" s="68">
        <v>37414.726388888892</v>
      </c>
      <c r="B3081" s="6">
        <v>1.0590277777777799E-2</v>
      </c>
      <c r="C3081" s="5">
        <v>176</v>
      </c>
    </row>
    <row r="3082" spans="1:3">
      <c r="A3082" s="68">
        <v>37414.726388888892</v>
      </c>
      <c r="B3082" s="6">
        <v>1.0763888888888899E-2</v>
      </c>
      <c r="C3082" s="5">
        <v>177</v>
      </c>
    </row>
    <row r="3083" spans="1:3">
      <c r="A3083" s="68">
        <v>37414.726388888892</v>
      </c>
      <c r="B3083" s="6">
        <v>1.0937499999999999E-2</v>
      </c>
      <c r="C3083" s="5">
        <v>176</v>
      </c>
    </row>
    <row r="3084" spans="1:3">
      <c r="A3084" s="68">
        <v>37414.726388888892</v>
      </c>
      <c r="B3084" s="6">
        <v>1.1111111111111099E-2</v>
      </c>
      <c r="C3084" s="5">
        <v>177</v>
      </c>
    </row>
    <row r="3085" spans="1:3">
      <c r="A3085" s="68">
        <v>37414.726388888892</v>
      </c>
      <c r="B3085" s="6">
        <v>1.1284722222222199E-2</v>
      </c>
      <c r="C3085" s="5">
        <v>174</v>
      </c>
    </row>
    <row r="3086" spans="1:3">
      <c r="A3086" s="68">
        <v>37414.726388888892</v>
      </c>
      <c r="B3086" s="6">
        <v>1.14583333333333E-2</v>
      </c>
      <c r="C3086" s="5">
        <v>176</v>
      </c>
    </row>
    <row r="3087" spans="1:3">
      <c r="A3087" s="68">
        <v>37414.726388888892</v>
      </c>
      <c r="B3087" s="6">
        <v>1.16319444444444E-2</v>
      </c>
      <c r="C3087" s="5">
        <v>174</v>
      </c>
    </row>
    <row r="3088" spans="1:3">
      <c r="A3088" s="68">
        <v>37414.726388888892</v>
      </c>
      <c r="B3088" s="6">
        <v>1.18055555555556E-2</v>
      </c>
      <c r="C3088" s="5">
        <v>178</v>
      </c>
    </row>
    <row r="3089" spans="1:3">
      <c r="A3089" s="68">
        <v>37414.726388888892</v>
      </c>
      <c r="B3089" s="6">
        <v>1.19791666666667E-2</v>
      </c>
      <c r="C3089" s="5">
        <v>178</v>
      </c>
    </row>
    <row r="3090" spans="1:3">
      <c r="A3090" s="68">
        <v>37414.726388888892</v>
      </c>
      <c r="B3090" s="6">
        <v>1.2152777777777801E-2</v>
      </c>
      <c r="C3090" s="5">
        <v>180</v>
      </c>
    </row>
    <row r="3091" spans="1:3">
      <c r="A3091" s="68">
        <v>37414.726388888892</v>
      </c>
      <c r="B3091" s="6">
        <v>1.2326388888888901E-2</v>
      </c>
      <c r="C3091" s="5">
        <v>179</v>
      </c>
    </row>
    <row r="3092" spans="1:3">
      <c r="A3092" s="68">
        <v>37414.726388888892</v>
      </c>
      <c r="B3092" s="6">
        <v>1.2500000000000001E-2</v>
      </c>
      <c r="C3092" s="5">
        <v>178</v>
      </c>
    </row>
    <row r="3093" spans="1:3">
      <c r="A3093" s="68">
        <v>37414.726388888892</v>
      </c>
      <c r="B3093" s="6">
        <v>1.2673611111111101E-2</v>
      </c>
      <c r="C3093" s="5">
        <v>178</v>
      </c>
    </row>
    <row r="3094" spans="1:3">
      <c r="A3094" s="68">
        <v>37414.726388888892</v>
      </c>
      <c r="B3094" s="6">
        <v>1.2847222222222201E-2</v>
      </c>
      <c r="C3094" s="5">
        <v>182</v>
      </c>
    </row>
    <row r="3095" spans="1:3">
      <c r="A3095" s="68">
        <v>37414.726388888892</v>
      </c>
      <c r="B3095" s="6">
        <v>1.3020833333333299E-2</v>
      </c>
      <c r="C3095" s="5">
        <v>182</v>
      </c>
    </row>
    <row r="3096" spans="1:3">
      <c r="A3096" s="68">
        <v>37414.726388888892</v>
      </c>
      <c r="B3096" s="6">
        <v>1.3194444444444399E-2</v>
      </c>
      <c r="C3096" s="5">
        <v>182</v>
      </c>
    </row>
    <row r="3097" spans="1:3">
      <c r="A3097" s="68">
        <v>37414.726388888892</v>
      </c>
      <c r="B3097" s="6">
        <v>1.3368055555555499E-2</v>
      </c>
      <c r="C3097" s="5">
        <v>183</v>
      </c>
    </row>
    <row r="3098" spans="1:3">
      <c r="A3098" s="68">
        <v>37414.726388888892</v>
      </c>
      <c r="B3098" s="6">
        <v>1.3541666666666599E-2</v>
      </c>
      <c r="C3098" s="5">
        <v>183</v>
      </c>
    </row>
    <row r="3099" spans="1:3">
      <c r="A3099" s="68">
        <v>37414.726388888892</v>
      </c>
      <c r="B3099" s="6">
        <v>1.37152777777778E-2</v>
      </c>
      <c r="C3099" s="5">
        <v>182</v>
      </c>
    </row>
    <row r="3100" spans="1:3">
      <c r="A3100" s="68">
        <v>37414.726388888892</v>
      </c>
      <c r="B3100" s="6">
        <v>1.38888888888889E-2</v>
      </c>
      <c r="C3100" s="5">
        <v>183</v>
      </c>
    </row>
    <row r="3101" spans="1:3">
      <c r="A3101" s="68">
        <v>37414.726388888892</v>
      </c>
      <c r="B3101" s="6">
        <v>1.40625E-2</v>
      </c>
      <c r="C3101" s="5">
        <v>183</v>
      </c>
    </row>
    <row r="3102" spans="1:3">
      <c r="A3102" s="68">
        <v>37414.726388888892</v>
      </c>
      <c r="B3102" s="6">
        <v>1.42361111111111E-2</v>
      </c>
      <c r="C3102" s="5">
        <v>184</v>
      </c>
    </row>
    <row r="3103" spans="1:3">
      <c r="A3103" s="68">
        <v>37414.726388888892</v>
      </c>
      <c r="B3103" s="6">
        <v>1.4409722222222201E-2</v>
      </c>
      <c r="C3103" s="5">
        <v>185</v>
      </c>
    </row>
    <row r="3104" spans="1:3">
      <c r="A3104" s="68">
        <v>37414.726388888892</v>
      </c>
      <c r="B3104" s="6">
        <v>1.4583333333333301E-2</v>
      </c>
      <c r="C3104" s="5">
        <v>189</v>
      </c>
    </row>
    <row r="3105" spans="1:3">
      <c r="A3105" s="68">
        <v>37414.726388888892</v>
      </c>
      <c r="B3105" s="6">
        <v>1.4756944444444401E-2</v>
      </c>
      <c r="C3105" s="5">
        <v>185</v>
      </c>
    </row>
    <row r="3106" spans="1:3">
      <c r="A3106" s="68">
        <v>37414.726388888892</v>
      </c>
      <c r="B3106" s="6">
        <v>1.4930555555555501E-2</v>
      </c>
      <c r="C3106" s="5">
        <v>185</v>
      </c>
    </row>
    <row r="3107" spans="1:3">
      <c r="A3107" s="68">
        <v>37414.726388888892</v>
      </c>
      <c r="B3107" s="6">
        <v>1.5104166666666601E-2</v>
      </c>
      <c r="C3107" s="5">
        <v>186</v>
      </c>
    </row>
    <row r="3108" spans="1:3">
      <c r="A3108" s="68">
        <v>37414.726388888892</v>
      </c>
      <c r="B3108" s="6">
        <v>1.5277777777777699E-2</v>
      </c>
      <c r="C3108" s="5">
        <v>189</v>
      </c>
    </row>
    <row r="3109" spans="1:3">
      <c r="A3109" s="68">
        <v>37414.726388888892</v>
      </c>
      <c r="B3109" s="6">
        <v>1.5451388888888799E-2</v>
      </c>
      <c r="C3109" s="5">
        <v>189</v>
      </c>
    </row>
    <row r="3110" spans="1:3">
      <c r="A3110" s="68">
        <v>37414.726388888892</v>
      </c>
      <c r="B3110" s="6">
        <v>1.5624999999999899E-2</v>
      </c>
      <c r="C3110" s="5">
        <v>188</v>
      </c>
    </row>
    <row r="3111" spans="1:3">
      <c r="A3111" s="68">
        <v>37422.770138888889</v>
      </c>
      <c r="B3111" s="6">
        <v>0</v>
      </c>
      <c r="C3111" s="5">
        <v>74</v>
      </c>
    </row>
    <row r="3112" spans="1:3">
      <c r="A3112" s="68">
        <v>37422.770138888889</v>
      </c>
      <c r="B3112" s="6">
        <v>6.9444444444444447E-4</v>
      </c>
      <c r="C3112" s="5">
        <v>161</v>
      </c>
    </row>
    <row r="3113" spans="1:3">
      <c r="A3113" s="68">
        <v>37422.770138888889</v>
      </c>
      <c r="B3113" s="6">
        <v>1.38888888888889E-3</v>
      </c>
      <c r="C3113" s="5">
        <v>167</v>
      </c>
    </row>
    <row r="3114" spans="1:3">
      <c r="A3114" s="68">
        <v>37422.770138888889</v>
      </c>
      <c r="B3114" s="6">
        <v>2.0833333333333298E-3</v>
      </c>
      <c r="C3114" s="5">
        <v>171</v>
      </c>
    </row>
    <row r="3115" spans="1:3">
      <c r="A3115" s="68">
        <v>37422.770138888889</v>
      </c>
      <c r="B3115" s="6">
        <v>2.7777777777777801E-3</v>
      </c>
      <c r="C3115" s="5">
        <v>173</v>
      </c>
    </row>
    <row r="3116" spans="1:3">
      <c r="A3116" s="68">
        <v>37422.770138888889</v>
      </c>
      <c r="B3116" s="6">
        <v>3.4722222222222199E-3</v>
      </c>
      <c r="C3116" s="5">
        <v>174</v>
      </c>
    </row>
    <row r="3117" spans="1:3">
      <c r="A3117" s="68">
        <v>37422.770138888889</v>
      </c>
      <c r="B3117" s="6">
        <v>4.1666666666666701E-3</v>
      </c>
      <c r="C3117" s="5">
        <v>172</v>
      </c>
    </row>
    <row r="3118" spans="1:3">
      <c r="A3118" s="68">
        <v>37422.770138888889</v>
      </c>
      <c r="B3118" s="6">
        <v>4.8611111111111103E-3</v>
      </c>
      <c r="C3118" s="5">
        <v>173</v>
      </c>
    </row>
    <row r="3119" spans="1:3">
      <c r="A3119" s="68">
        <v>37422.770138888889</v>
      </c>
      <c r="B3119" s="6">
        <v>5.5555555555555601E-3</v>
      </c>
      <c r="C3119" s="5">
        <v>175</v>
      </c>
    </row>
    <row r="3120" spans="1:3">
      <c r="A3120" s="68">
        <v>37422.770138888889</v>
      </c>
      <c r="B3120" s="6">
        <v>6.2500000000000003E-3</v>
      </c>
      <c r="C3120" s="5">
        <v>173</v>
      </c>
    </row>
    <row r="3121" spans="1:3">
      <c r="A3121" s="68">
        <v>37422.770138888889</v>
      </c>
      <c r="B3121" s="6">
        <v>6.9444444444444397E-3</v>
      </c>
      <c r="C3121" s="5">
        <v>174</v>
      </c>
    </row>
    <row r="3122" spans="1:3">
      <c r="A3122" s="68">
        <v>37422.770138888889</v>
      </c>
      <c r="B3122" s="6">
        <v>7.6388888888888904E-3</v>
      </c>
      <c r="C3122" s="5">
        <v>174</v>
      </c>
    </row>
    <row r="3123" spans="1:3">
      <c r="A3123" s="68">
        <v>37422.770138888889</v>
      </c>
      <c r="B3123" s="6">
        <v>8.3333333333333297E-3</v>
      </c>
      <c r="C3123" s="5">
        <v>176</v>
      </c>
    </row>
    <row r="3124" spans="1:3">
      <c r="A3124" s="68">
        <v>37422.770138888889</v>
      </c>
      <c r="B3124" s="6">
        <v>9.0277777777777804E-3</v>
      </c>
      <c r="C3124" s="5">
        <v>177</v>
      </c>
    </row>
    <row r="3125" spans="1:3">
      <c r="A3125" s="68">
        <v>37422.770138888889</v>
      </c>
      <c r="B3125" s="6">
        <v>9.7222222222222206E-3</v>
      </c>
      <c r="C3125" s="5">
        <v>179</v>
      </c>
    </row>
    <row r="3126" spans="1:3">
      <c r="A3126" s="68">
        <v>37422.770138888889</v>
      </c>
      <c r="B3126" s="6">
        <v>1.0416666666666701E-2</v>
      </c>
      <c r="C3126" s="5">
        <v>174</v>
      </c>
    </row>
    <row r="3127" spans="1:3">
      <c r="A3127" s="68">
        <v>37422.770138888889</v>
      </c>
      <c r="B3127" s="6">
        <v>1.1111111111111099E-2</v>
      </c>
      <c r="C3127" s="5">
        <v>177</v>
      </c>
    </row>
    <row r="3128" spans="1:3">
      <c r="A3128" s="68">
        <v>37422.770138888889</v>
      </c>
      <c r="B3128" s="6">
        <v>1.18055555555556E-2</v>
      </c>
      <c r="C3128" s="5">
        <v>181</v>
      </c>
    </row>
    <row r="3129" spans="1:3">
      <c r="A3129" s="68">
        <v>37422.770138888889</v>
      </c>
      <c r="B3129" s="6">
        <v>1.2500000000000001E-2</v>
      </c>
      <c r="C3129" s="5">
        <v>180</v>
      </c>
    </row>
    <row r="3130" spans="1:3">
      <c r="A3130" s="68">
        <v>37422.770138888889</v>
      </c>
      <c r="B3130" s="6">
        <v>1.3194444444444399E-2</v>
      </c>
      <c r="C3130" s="5">
        <v>181</v>
      </c>
    </row>
    <row r="3131" spans="1:3">
      <c r="A3131" s="68">
        <v>37422.770138888889</v>
      </c>
      <c r="B3131" s="6">
        <v>1.38888888888889E-2</v>
      </c>
      <c r="C3131" s="5">
        <v>177</v>
      </c>
    </row>
    <row r="3132" spans="1:3">
      <c r="A3132" s="68">
        <v>37422.770138888889</v>
      </c>
      <c r="B3132" s="6">
        <v>1.4583333333333301E-2</v>
      </c>
      <c r="C3132" s="5">
        <v>179</v>
      </c>
    </row>
    <row r="3133" spans="1:3">
      <c r="A3133" s="68">
        <v>37422.770138888889</v>
      </c>
      <c r="B3133" s="6">
        <v>1.52777777777778E-2</v>
      </c>
      <c r="C3133" s="5">
        <v>180</v>
      </c>
    </row>
    <row r="3134" spans="1:3">
      <c r="A3134" s="68">
        <v>37422.770138888889</v>
      </c>
      <c r="B3134" s="6">
        <v>1.59722222222222E-2</v>
      </c>
      <c r="C3134" s="5">
        <v>180</v>
      </c>
    </row>
    <row r="3135" spans="1:3">
      <c r="A3135" s="68">
        <v>37422.770138888889</v>
      </c>
      <c r="B3135" s="6">
        <v>1.6666666666666701E-2</v>
      </c>
      <c r="C3135" s="5">
        <v>179</v>
      </c>
    </row>
    <row r="3136" spans="1:3">
      <c r="A3136" s="68">
        <v>37422.770138888889</v>
      </c>
      <c r="B3136" s="6">
        <v>1.7361111111111101E-2</v>
      </c>
      <c r="C3136" s="5">
        <v>180</v>
      </c>
    </row>
    <row r="3137" spans="1:3">
      <c r="A3137" s="68">
        <v>37422.770138888889</v>
      </c>
      <c r="B3137" s="6">
        <v>1.8055555555555599E-2</v>
      </c>
      <c r="C3137" s="5">
        <v>180</v>
      </c>
    </row>
    <row r="3138" spans="1:3">
      <c r="A3138" s="68">
        <v>37422.770138888889</v>
      </c>
      <c r="B3138" s="6">
        <v>1.8749999999999999E-2</v>
      </c>
      <c r="C3138" s="5">
        <v>179</v>
      </c>
    </row>
    <row r="3139" spans="1:3">
      <c r="A3139" s="68">
        <v>37422.770138888889</v>
      </c>
      <c r="B3139" s="6">
        <v>1.94444444444444E-2</v>
      </c>
      <c r="C3139" s="5">
        <v>181</v>
      </c>
    </row>
    <row r="3140" spans="1:3">
      <c r="A3140" s="68">
        <v>37422.770138888889</v>
      </c>
      <c r="B3140" s="6">
        <v>2.0138888888888901E-2</v>
      </c>
      <c r="C3140" s="5">
        <v>182</v>
      </c>
    </row>
    <row r="3141" spans="1:3">
      <c r="A3141" s="68">
        <v>37422.770138888889</v>
      </c>
      <c r="B3141" s="6">
        <v>2.0833333333333301E-2</v>
      </c>
      <c r="C3141" s="5">
        <v>182</v>
      </c>
    </row>
    <row r="3142" spans="1:3">
      <c r="A3142" s="68">
        <v>37422.770138888889</v>
      </c>
      <c r="B3142" s="6">
        <v>2.1527777777777798E-2</v>
      </c>
      <c r="C3142" s="5">
        <v>180</v>
      </c>
    </row>
    <row r="3143" spans="1:3">
      <c r="A3143" s="68">
        <v>37422.770138888889</v>
      </c>
      <c r="B3143" s="6">
        <v>2.2222222222222199E-2</v>
      </c>
      <c r="C3143" s="5">
        <v>182</v>
      </c>
    </row>
    <row r="3144" spans="1:3">
      <c r="A3144" s="68">
        <v>37422.770138888889</v>
      </c>
      <c r="B3144" s="6">
        <v>2.29166666666667E-2</v>
      </c>
      <c r="C3144" s="5">
        <v>184</v>
      </c>
    </row>
    <row r="3145" spans="1:3">
      <c r="A3145" s="68">
        <v>37422.770138888889</v>
      </c>
      <c r="B3145" s="6">
        <v>2.36111111111111E-2</v>
      </c>
      <c r="C3145" s="5">
        <v>183</v>
      </c>
    </row>
    <row r="3146" spans="1:3">
      <c r="A3146" s="68">
        <v>37422.770138888889</v>
      </c>
      <c r="B3146" s="6">
        <v>2.4305555555555601E-2</v>
      </c>
      <c r="C3146" s="5">
        <v>181</v>
      </c>
    </row>
    <row r="3147" spans="1:3">
      <c r="A3147" s="68">
        <v>37422.770138888889</v>
      </c>
      <c r="B3147" s="6">
        <v>2.5000000000000001E-2</v>
      </c>
      <c r="C3147" s="5">
        <v>182</v>
      </c>
    </row>
    <row r="3148" spans="1:3">
      <c r="A3148" s="68">
        <v>37422.770138888889</v>
      </c>
      <c r="B3148" s="6">
        <v>2.5694444444444402E-2</v>
      </c>
      <c r="C3148" s="5">
        <v>183</v>
      </c>
    </row>
    <row r="3149" spans="1:3">
      <c r="A3149" s="68">
        <v>37422.770138888889</v>
      </c>
      <c r="B3149" s="6">
        <v>2.6388888888888899E-2</v>
      </c>
      <c r="C3149" s="5">
        <v>184</v>
      </c>
    </row>
    <row r="3150" spans="1:3">
      <c r="A3150" s="68">
        <v>37422.770138888889</v>
      </c>
      <c r="B3150" s="6">
        <v>2.70833333333333E-2</v>
      </c>
      <c r="C3150" s="5">
        <v>184</v>
      </c>
    </row>
    <row r="3151" spans="1:3">
      <c r="A3151" s="68">
        <v>37422.770138888889</v>
      </c>
      <c r="B3151" s="6">
        <v>2.7777777777777801E-2</v>
      </c>
      <c r="C3151" s="5">
        <v>183</v>
      </c>
    </row>
    <row r="3152" spans="1:3">
      <c r="A3152" s="68">
        <v>37422.770138888889</v>
      </c>
      <c r="B3152" s="6">
        <v>2.8472222222222201E-2</v>
      </c>
      <c r="C3152" s="5">
        <v>185</v>
      </c>
    </row>
    <row r="3153" spans="1:3">
      <c r="A3153" s="68">
        <v>37422.770138888889</v>
      </c>
      <c r="B3153" s="6">
        <v>2.9166666666666698E-2</v>
      </c>
      <c r="C3153" s="5">
        <v>185</v>
      </c>
    </row>
    <row r="3154" spans="1:3">
      <c r="A3154" s="68">
        <v>37422.770138888889</v>
      </c>
      <c r="B3154" s="6">
        <v>2.9861111111111099E-2</v>
      </c>
      <c r="C3154" s="5">
        <v>186</v>
      </c>
    </row>
    <row r="3155" spans="1:3">
      <c r="A3155" s="68">
        <v>37422.770138888889</v>
      </c>
      <c r="B3155" s="6">
        <v>3.05555555555556E-2</v>
      </c>
      <c r="C3155" s="5">
        <v>189</v>
      </c>
    </row>
    <row r="3156" spans="1:3">
      <c r="A3156" s="68">
        <v>37428</v>
      </c>
      <c r="B3156" s="6">
        <v>0</v>
      </c>
      <c r="C3156" s="5">
        <v>77</v>
      </c>
    </row>
    <row r="3157" spans="1:3">
      <c r="A3157" s="68">
        <v>37428</v>
      </c>
      <c r="B3157" s="6">
        <v>6.9444444444444447E-4</v>
      </c>
      <c r="C3157" s="5">
        <v>162</v>
      </c>
    </row>
    <row r="3158" spans="1:3">
      <c r="A3158" s="68">
        <v>37428</v>
      </c>
      <c r="B3158" s="6">
        <v>1.38888888888889E-3</v>
      </c>
      <c r="C3158" s="5">
        <v>168</v>
      </c>
    </row>
    <row r="3159" spans="1:3">
      <c r="A3159" s="68">
        <v>37428</v>
      </c>
      <c r="B3159" s="6">
        <v>2.0833333333333298E-3</v>
      </c>
      <c r="C3159" s="5">
        <v>169</v>
      </c>
    </row>
    <row r="3160" spans="1:3">
      <c r="A3160" s="68">
        <v>37428</v>
      </c>
      <c r="B3160" s="6">
        <v>2.7777777777777801E-3</v>
      </c>
      <c r="C3160" s="5">
        <v>171</v>
      </c>
    </row>
    <row r="3161" spans="1:3">
      <c r="A3161" s="68">
        <v>37428</v>
      </c>
      <c r="B3161" s="6">
        <v>3.4722222222222199E-3</v>
      </c>
      <c r="C3161" s="5">
        <v>170</v>
      </c>
    </row>
    <row r="3162" spans="1:3">
      <c r="A3162" s="68">
        <v>37428</v>
      </c>
      <c r="B3162" s="6">
        <v>4.1666666666666701E-3</v>
      </c>
      <c r="C3162" s="5">
        <v>174</v>
      </c>
    </row>
    <row r="3163" spans="1:3">
      <c r="A3163" s="68">
        <v>37428</v>
      </c>
      <c r="B3163" s="6">
        <v>4.8611111111111103E-3</v>
      </c>
      <c r="C3163" s="5">
        <v>174</v>
      </c>
    </row>
    <row r="3164" spans="1:3">
      <c r="A3164" s="68">
        <v>37428</v>
      </c>
      <c r="B3164" s="6">
        <v>5.5555555555555601E-3</v>
      </c>
      <c r="C3164" s="5">
        <v>171</v>
      </c>
    </row>
    <row r="3165" spans="1:3">
      <c r="A3165" s="68">
        <v>37428</v>
      </c>
      <c r="B3165" s="6">
        <v>6.2500000000000003E-3</v>
      </c>
      <c r="C3165" s="5">
        <v>172</v>
      </c>
    </row>
    <row r="3166" spans="1:3">
      <c r="A3166" s="68">
        <v>37428</v>
      </c>
      <c r="B3166" s="6">
        <v>6.9444444444444397E-3</v>
      </c>
      <c r="C3166" s="5">
        <v>171</v>
      </c>
    </row>
    <row r="3167" spans="1:3">
      <c r="A3167" s="68">
        <v>37428</v>
      </c>
      <c r="B3167" s="6">
        <v>7.6388888888888904E-3</v>
      </c>
      <c r="C3167" s="5">
        <v>170</v>
      </c>
    </row>
    <row r="3168" spans="1:3">
      <c r="A3168" s="68">
        <v>37428</v>
      </c>
      <c r="B3168" s="6">
        <v>8.3333333333333297E-3</v>
      </c>
      <c r="C3168" s="5">
        <v>174</v>
      </c>
    </row>
    <row r="3169" spans="1:3">
      <c r="A3169" s="68">
        <v>37428</v>
      </c>
      <c r="B3169" s="6">
        <v>9.0277777777777804E-3</v>
      </c>
      <c r="C3169" s="5">
        <v>173</v>
      </c>
    </row>
    <row r="3170" spans="1:3">
      <c r="A3170" s="68">
        <v>37428</v>
      </c>
      <c r="B3170" s="6">
        <v>9.7222222222222206E-3</v>
      </c>
      <c r="C3170" s="5">
        <v>173</v>
      </c>
    </row>
    <row r="3171" spans="1:3">
      <c r="A3171" s="68">
        <v>37428</v>
      </c>
      <c r="B3171" s="6">
        <v>1.0416666666666701E-2</v>
      </c>
      <c r="C3171" s="5">
        <v>176</v>
      </c>
    </row>
    <row r="3172" spans="1:3">
      <c r="A3172" s="68">
        <v>37428</v>
      </c>
      <c r="B3172" s="6">
        <v>1.1111111111111099E-2</v>
      </c>
      <c r="C3172" s="5">
        <v>175</v>
      </c>
    </row>
    <row r="3173" spans="1:3">
      <c r="A3173" s="68">
        <v>37428</v>
      </c>
      <c r="B3173" s="6">
        <v>1.18055555555556E-2</v>
      </c>
      <c r="C3173" s="5">
        <v>173</v>
      </c>
    </row>
    <row r="3174" spans="1:3">
      <c r="A3174" s="68">
        <v>37428</v>
      </c>
      <c r="B3174" s="6">
        <v>1.2500000000000001E-2</v>
      </c>
      <c r="C3174" s="5">
        <v>174</v>
      </c>
    </row>
    <row r="3175" spans="1:3">
      <c r="A3175" s="68">
        <v>37428</v>
      </c>
      <c r="B3175" s="6">
        <v>1.3194444444444399E-2</v>
      </c>
      <c r="C3175" s="5">
        <v>174</v>
      </c>
    </row>
    <row r="3176" spans="1:3">
      <c r="A3176" s="68">
        <v>37428</v>
      </c>
      <c r="B3176" s="6">
        <v>1.38888888888889E-2</v>
      </c>
      <c r="C3176" s="5">
        <v>176</v>
      </c>
    </row>
    <row r="3177" spans="1:3">
      <c r="A3177" s="68">
        <v>37428</v>
      </c>
      <c r="B3177" s="6">
        <v>1.4583333333333301E-2</v>
      </c>
      <c r="C3177" s="5">
        <v>176</v>
      </c>
    </row>
    <row r="3178" spans="1:3">
      <c r="A3178" s="68">
        <v>37428</v>
      </c>
      <c r="B3178" s="6">
        <v>1.52777777777778E-2</v>
      </c>
      <c r="C3178" s="5">
        <v>176</v>
      </c>
    </row>
    <row r="3179" spans="1:3">
      <c r="A3179" s="68">
        <v>37428</v>
      </c>
      <c r="B3179" s="6">
        <v>1.59722222222222E-2</v>
      </c>
      <c r="C3179" s="5">
        <v>176</v>
      </c>
    </row>
    <row r="3180" spans="1:3">
      <c r="A3180" s="68">
        <v>37428</v>
      </c>
      <c r="B3180" s="6">
        <v>1.6666666666666701E-2</v>
      </c>
      <c r="C3180" s="5">
        <v>177</v>
      </c>
    </row>
    <row r="3181" spans="1:3">
      <c r="A3181" s="68">
        <v>37428</v>
      </c>
      <c r="B3181" s="6">
        <v>1.7361111111111101E-2</v>
      </c>
      <c r="C3181" s="5">
        <v>177</v>
      </c>
    </row>
    <row r="3182" spans="1:3">
      <c r="A3182" s="68">
        <v>37428</v>
      </c>
      <c r="B3182" s="6">
        <v>1.8055555555555599E-2</v>
      </c>
      <c r="C3182" s="5">
        <v>176</v>
      </c>
    </row>
    <row r="3183" spans="1:3">
      <c r="A3183" s="68">
        <v>37428</v>
      </c>
      <c r="B3183" s="6">
        <v>1.8749999999999999E-2</v>
      </c>
      <c r="C3183" s="5">
        <v>179</v>
      </c>
    </row>
    <row r="3184" spans="1:3">
      <c r="A3184" s="68">
        <v>37428</v>
      </c>
      <c r="B3184" s="6">
        <v>1.94444444444444E-2</v>
      </c>
      <c r="C3184" s="5">
        <v>178</v>
      </c>
    </row>
    <row r="3185" spans="1:3">
      <c r="A3185" s="68">
        <v>37428</v>
      </c>
      <c r="B3185" s="6">
        <v>2.0138888888888901E-2</v>
      </c>
      <c r="C3185" s="5">
        <v>179</v>
      </c>
    </row>
    <row r="3186" spans="1:3">
      <c r="A3186" s="68">
        <v>37428</v>
      </c>
      <c r="B3186" s="6">
        <v>2.0833333333333301E-2</v>
      </c>
      <c r="C3186" s="5">
        <v>177</v>
      </c>
    </row>
    <row r="3187" spans="1:3">
      <c r="A3187" s="68">
        <v>37428</v>
      </c>
      <c r="B3187" s="6">
        <v>2.1527777777777798E-2</v>
      </c>
      <c r="C3187" s="5">
        <v>176</v>
      </c>
    </row>
    <row r="3188" spans="1:3">
      <c r="A3188" s="68">
        <v>37428</v>
      </c>
      <c r="B3188" s="6">
        <v>2.2222222222222199E-2</v>
      </c>
      <c r="C3188" s="5">
        <v>176</v>
      </c>
    </row>
    <row r="3189" spans="1:3">
      <c r="A3189" s="68">
        <v>37428</v>
      </c>
      <c r="B3189" s="6">
        <v>2.29166666666667E-2</v>
      </c>
      <c r="C3189" s="5">
        <v>177</v>
      </c>
    </row>
    <row r="3190" spans="1:3">
      <c r="A3190" s="68">
        <v>37428</v>
      </c>
      <c r="B3190" s="6">
        <v>2.36111111111111E-2</v>
      </c>
      <c r="C3190" s="5">
        <v>177</v>
      </c>
    </row>
    <row r="3191" spans="1:3">
      <c r="A3191" s="68">
        <v>37428</v>
      </c>
      <c r="B3191" s="6">
        <v>2.4305555555555601E-2</v>
      </c>
      <c r="C3191" s="5">
        <v>178</v>
      </c>
    </row>
    <row r="3192" spans="1:3">
      <c r="A3192" s="68">
        <v>37428</v>
      </c>
      <c r="B3192" s="6">
        <v>2.5000000000000001E-2</v>
      </c>
      <c r="C3192" s="5">
        <v>178</v>
      </c>
    </row>
    <row r="3193" spans="1:3">
      <c r="A3193" s="68">
        <v>37428</v>
      </c>
      <c r="B3193" s="6">
        <v>2.5694444444444402E-2</v>
      </c>
      <c r="C3193" s="5">
        <v>179</v>
      </c>
    </row>
    <row r="3194" spans="1:3">
      <c r="A3194" s="68">
        <v>37428</v>
      </c>
      <c r="B3194" s="6">
        <v>2.6388888888888899E-2</v>
      </c>
      <c r="C3194" s="5">
        <v>178</v>
      </c>
    </row>
    <row r="3195" spans="1:3">
      <c r="A3195" s="68">
        <v>37436</v>
      </c>
      <c r="B3195" s="6">
        <v>0</v>
      </c>
      <c r="C3195" s="5">
        <v>90</v>
      </c>
    </row>
    <row r="3196" spans="1:3">
      <c r="A3196" s="68">
        <v>37436</v>
      </c>
      <c r="B3196" s="6">
        <v>6.9444444444444447E-4</v>
      </c>
      <c r="C3196" s="5">
        <v>163</v>
      </c>
    </row>
    <row r="3197" spans="1:3">
      <c r="A3197" s="68">
        <v>37436</v>
      </c>
      <c r="B3197" s="6">
        <v>1.38888888888889E-3</v>
      </c>
      <c r="C3197" s="5">
        <v>172</v>
      </c>
    </row>
    <row r="3198" spans="1:3">
      <c r="A3198" s="68">
        <v>37436</v>
      </c>
      <c r="B3198" s="6">
        <v>2.0833333333333298E-3</v>
      </c>
      <c r="C3198" s="5">
        <v>170</v>
      </c>
    </row>
    <row r="3199" spans="1:3">
      <c r="A3199" s="68">
        <v>37436</v>
      </c>
      <c r="B3199" s="6">
        <v>2.7777777777777801E-3</v>
      </c>
      <c r="C3199" s="5">
        <v>171</v>
      </c>
    </row>
    <row r="3200" spans="1:3">
      <c r="A3200" s="68">
        <v>37436</v>
      </c>
      <c r="B3200" s="6">
        <v>3.4722222222222199E-3</v>
      </c>
      <c r="C3200" s="5">
        <v>171</v>
      </c>
    </row>
    <row r="3201" spans="1:3">
      <c r="A3201" s="68">
        <v>37436</v>
      </c>
      <c r="B3201" s="6">
        <v>4.1666666666666701E-3</v>
      </c>
      <c r="C3201" s="5">
        <v>172</v>
      </c>
    </row>
    <row r="3202" spans="1:3">
      <c r="A3202" s="68">
        <v>37436</v>
      </c>
      <c r="B3202" s="6">
        <v>4.8611111111111103E-3</v>
      </c>
      <c r="C3202" s="5">
        <v>171</v>
      </c>
    </row>
    <row r="3203" spans="1:3">
      <c r="A3203" s="68">
        <v>37436</v>
      </c>
      <c r="B3203" s="6">
        <v>5.5555555555555601E-3</v>
      </c>
      <c r="C3203" s="5">
        <v>172</v>
      </c>
    </row>
    <row r="3204" spans="1:3">
      <c r="A3204" s="68">
        <v>37436</v>
      </c>
      <c r="B3204" s="6">
        <v>6.2500000000000003E-3</v>
      </c>
      <c r="C3204" s="5">
        <v>174</v>
      </c>
    </row>
    <row r="3205" spans="1:3">
      <c r="A3205" s="68">
        <v>37436</v>
      </c>
      <c r="B3205" s="6">
        <v>6.9444444444444397E-3</v>
      </c>
      <c r="C3205" s="5">
        <v>174</v>
      </c>
    </row>
    <row r="3206" spans="1:3">
      <c r="A3206" s="68">
        <v>37436</v>
      </c>
      <c r="B3206" s="6">
        <v>7.6388888888888904E-3</v>
      </c>
      <c r="C3206" s="5">
        <v>174</v>
      </c>
    </row>
    <row r="3207" spans="1:3">
      <c r="A3207" s="68">
        <v>37436</v>
      </c>
      <c r="B3207" s="6">
        <v>8.3333333333333297E-3</v>
      </c>
      <c r="C3207" s="5">
        <v>177</v>
      </c>
    </row>
    <row r="3208" spans="1:3">
      <c r="A3208" s="68">
        <v>37436</v>
      </c>
      <c r="B3208" s="6">
        <v>9.0277777777777804E-3</v>
      </c>
      <c r="C3208" s="5">
        <v>174</v>
      </c>
    </row>
    <row r="3209" spans="1:3">
      <c r="A3209" s="68">
        <v>37436</v>
      </c>
      <c r="B3209" s="6">
        <v>9.7222222222222206E-3</v>
      </c>
      <c r="C3209" s="5">
        <v>178</v>
      </c>
    </row>
    <row r="3210" spans="1:3">
      <c r="A3210" s="68">
        <v>37436</v>
      </c>
      <c r="B3210" s="6">
        <v>1.0416666666666701E-2</v>
      </c>
      <c r="C3210" s="5">
        <v>176</v>
      </c>
    </row>
    <row r="3211" spans="1:3">
      <c r="A3211" s="68">
        <v>37436</v>
      </c>
      <c r="B3211" s="6">
        <v>1.1111111111111099E-2</v>
      </c>
      <c r="C3211" s="5">
        <v>179</v>
      </c>
    </row>
    <row r="3212" spans="1:3">
      <c r="A3212" s="68">
        <v>37436</v>
      </c>
      <c r="B3212" s="6">
        <v>1.18055555555556E-2</v>
      </c>
      <c r="C3212" s="5">
        <v>179</v>
      </c>
    </row>
    <row r="3213" spans="1:3">
      <c r="A3213" s="68">
        <v>37436</v>
      </c>
      <c r="B3213" s="6">
        <v>1.2500000000000001E-2</v>
      </c>
      <c r="C3213" s="5">
        <v>179</v>
      </c>
    </row>
    <row r="3214" spans="1:3">
      <c r="A3214" s="68">
        <v>37436</v>
      </c>
      <c r="B3214" s="6">
        <v>1.3194444444444399E-2</v>
      </c>
      <c r="C3214" s="5">
        <v>179</v>
      </c>
    </row>
    <row r="3215" spans="1:3">
      <c r="A3215" s="68">
        <v>37436</v>
      </c>
      <c r="B3215" s="6">
        <v>1.38888888888889E-2</v>
      </c>
      <c r="C3215" s="5">
        <v>179</v>
      </c>
    </row>
    <row r="3216" spans="1:3">
      <c r="A3216" s="68">
        <v>37436</v>
      </c>
      <c r="B3216" s="6">
        <v>1.4583333333333301E-2</v>
      </c>
      <c r="C3216" s="5">
        <v>181</v>
      </c>
    </row>
    <row r="3217" spans="1:3">
      <c r="A3217" s="68">
        <v>37436</v>
      </c>
      <c r="B3217" s="6">
        <v>1.52777777777778E-2</v>
      </c>
      <c r="C3217" s="5">
        <v>181</v>
      </c>
    </row>
    <row r="3218" spans="1:3">
      <c r="A3218" s="68">
        <v>37436</v>
      </c>
      <c r="B3218" s="6">
        <v>1.59722222222222E-2</v>
      </c>
      <c r="C3218" s="5">
        <v>181</v>
      </c>
    </row>
    <row r="3219" spans="1:3">
      <c r="A3219" s="68">
        <v>37436</v>
      </c>
      <c r="B3219" s="6">
        <v>1.6666666666666701E-2</v>
      </c>
      <c r="C3219" s="5">
        <v>181</v>
      </c>
    </row>
    <row r="3220" spans="1:3">
      <c r="A3220" s="68">
        <v>37436</v>
      </c>
      <c r="B3220" s="6">
        <v>1.7361111111111101E-2</v>
      </c>
      <c r="C3220" s="5">
        <v>181</v>
      </c>
    </row>
    <row r="3221" spans="1:3">
      <c r="A3221" s="68">
        <v>37436</v>
      </c>
      <c r="B3221" s="6">
        <v>1.8055555555555599E-2</v>
      </c>
      <c r="C3221" s="5">
        <v>181</v>
      </c>
    </row>
    <row r="3222" spans="1:3">
      <c r="A3222" s="68">
        <v>37436</v>
      </c>
      <c r="B3222" s="6">
        <v>1.8749999999999999E-2</v>
      </c>
      <c r="C3222" s="5">
        <v>182</v>
      </c>
    </row>
    <row r="3223" spans="1:3">
      <c r="A3223" s="68">
        <v>37436</v>
      </c>
      <c r="B3223" s="6">
        <v>1.94444444444444E-2</v>
      </c>
      <c r="C3223" s="5">
        <v>183</v>
      </c>
    </row>
    <row r="3224" spans="1:3">
      <c r="A3224" s="68">
        <v>37436</v>
      </c>
      <c r="B3224" s="6">
        <v>2.0138888888888901E-2</v>
      </c>
      <c r="C3224" s="5">
        <v>181</v>
      </c>
    </row>
    <row r="3225" spans="1:3">
      <c r="A3225" s="68">
        <v>37436</v>
      </c>
      <c r="B3225" s="6">
        <v>2.0833333333333301E-2</v>
      </c>
      <c r="C3225" s="5">
        <v>184</v>
      </c>
    </row>
    <row r="3226" spans="1:3">
      <c r="A3226" s="68">
        <v>37436</v>
      </c>
      <c r="B3226" s="6">
        <v>2.1527777777777798E-2</v>
      </c>
      <c r="C3226" s="5">
        <v>182</v>
      </c>
    </row>
    <row r="3227" spans="1:3">
      <c r="A3227" s="68">
        <v>37436</v>
      </c>
      <c r="B3227" s="6">
        <v>2.2222222222222199E-2</v>
      </c>
      <c r="C3227" s="5">
        <v>178</v>
      </c>
    </row>
    <row r="3228" spans="1:3">
      <c r="A3228" s="68">
        <v>37436</v>
      </c>
      <c r="B3228" s="6">
        <v>2.29166666666667E-2</v>
      </c>
      <c r="C3228" s="5">
        <v>184</v>
      </c>
    </row>
    <row r="3229" spans="1:3">
      <c r="A3229" s="68">
        <v>37436</v>
      </c>
      <c r="B3229" s="6">
        <v>2.36111111111111E-2</v>
      </c>
      <c r="C3229" s="5">
        <v>183</v>
      </c>
    </row>
    <row r="3230" spans="1:3">
      <c r="A3230" s="68">
        <v>37436</v>
      </c>
      <c r="B3230" s="6">
        <v>2.4305555555555601E-2</v>
      </c>
      <c r="C3230" s="5">
        <v>184</v>
      </c>
    </row>
    <row r="3231" spans="1:3">
      <c r="A3231" s="68">
        <v>37436</v>
      </c>
      <c r="B3231" s="6">
        <v>2.5000000000000001E-2</v>
      </c>
      <c r="C3231" s="5">
        <v>184</v>
      </c>
    </row>
    <row r="3232" spans="1:3">
      <c r="A3232" s="68">
        <v>37436</v>
      </c>
      <c r="B3232" s="6">
        <v>2.5694444444444402E-2</v>
      </c>
      <c r="C3232" s="5">
        <v>185</v>
      </c>
    </row>
    <row r="3233" spans="1:3">
      <c r="A3233" s="68">
        <v>37436</v>
      </c>
      <c r="B3233" s="6">
        <v>2.6388888888888899E-2</v>
      </c>
      <c r="C3233" s="5">
        <v>188</v>
      </c>
    </row>
    <row r="3234" spans="1:3">
      <c r="A3234" s="68">
        <v>37436</v>
      </c>
      <c r="B3234" s="6">
        <v>2.70833333333334E-2</v>
      </c>
      <c r="C3234" s="5">
        <v>188</v>
      </c>
    </row>
    <row r="3235" spans="1:3">
      <c r="A3235" s="68">
        <v>37436</v>
      </c>
      <c r="B3235" s="6">
        <v>2.7777777777777901E-2</v>
      </c>
      <c r="C3235" s="5">
        <v>187</v>
      </c>
    </row>
    <row r="3236" spans="1:3">
      <c r="A3236" s="68">
        <v>37443</v>
      </c>
      <c r="B3236" s="6">
        <v>0</v>
      </c>
      <c r="C3236" s="5">
        <v>89</v>
      </c>
    </row>
    <row r="3237" spans="1:3">
      <c r="A3237" s="68">
        <v>37443</v>
      </c>
      <c r="B3237" s="6">
        <v>6.9444444444444447E-4</v>
      </c>
      <c r="C3237" s="5">
        <v>160</v>
      </c>
    </row>
    <row r="3238" spans="1:3">
      <c r="A3238" s="68">
        <v>37443</v>
      </c>
      <c r="B3238" s="6">
        <v>1.38888888888889E-3</v>
      </c>
      <c r="C3238" s="5">
        <v>166</v>
      </c>
    </row>
    <row r="3239" spans="1:3">
      <c r="A3239" s="68">
        <v>37443</v>
      </c>
      <c r="B3239" s="6">
        <v>2.0833333333333298E-3</v>
      </c>
      <c r="C3239" s="5">
        <v>169</v>
      </c>
    </row>
    <row r="3240" spans="1:3">
      <c r="A3240" s="68">
        <v>37443</v>
      </c>
      <c r="B3240" s="6">
        <v>2.7777777777777801E-3</v>
      </c>
      <c r="C3240" s="5">
        <v>172</v>
      </c>
    </row>
    <row r="3241" spans="1:3">
      <c r="A3241" s="68">
        <v>37443</v>
      </c>
      <c r="B3241" s="6">
        <v>3.4722222222222199E-3</v>
      </c>
      <c r="C3241" s="5">
        <v>176</v>
      </c>
    </row>
    <row r="3242" spans="1:3">
      <c r="A3242" s="68">
        <v>37443</v>
      </c>
      <c r="B3242" s="6">
        <v>4.1666666666666701E-3</v>
      </c>
      <c r="C3242" s="5">
        <v>175</v>
      </c>
    </row>
    <row r="3243" spans="1:3">
      <c r="A3243" s="68">
        <v>37443</v>
      </c>
      <c r="B3243" s="6">
        <v>4.8611111111111103E-3</v>
      </c>
      <c r="C3243" s="5">
        <v>174</v>
      </c>
    </row>
    <row r="3244" spans="1:3">
      <c r="A3244" s="68">
        <v>37443</v>
      </c>
      <c r="B3244" s="6">
        <v>5.5555555555555601E-3</v>
      </c>
      <c r="C3244" s="5">
        <v>178</v>
      </c>
    </row>
    <row r="3245" spans="1:3">
      <c r="A3245" s="68">
        <v>37443</v>
      </c>
      <c r="B3245" s="6">
        <v>6.2500000000000003E-3</v>
      </c>
      <c r="C3245" s="5">
        <v>179</v>
      </c>
    </row>
    <row r="3246" spans="1:3">
      <c r="A3246" s="68">
        <v>37443</v>
      </c>
      <c r="B3246" s="6">
        <v>6.9444444444444397E-3</v>
      </c>
      <c r="C3246" s="5">
        <v>178</v>
      </c>
    </row>
    <row r="3247" spans="1:3">
      <c r="A3247" s="68">
        <v>37443</v>
      </c>
      <c r="B3247" s="6">
        <v>7.6388888888888904E-3</v>
      </c>
      <c r="C3247" s="5">
        <v>178</v>
      </c>
    </row>
    <row r="3248" spans="1:3">
      <c r="A3248" s="68">
        <v>37443</v>
      </c>
      <c r="B3248" s="6">
        <v>8.3333333333333297E-3</v>
      </c>
      <c r="C3248" s="5">
        <v>180</v>
      </c>
    </row>
    <row r="3249" spans="1:3">
      <c r="A3249" s="68">
        <v>37443</v>
      </c>
      <c r="B3249" s="6">
        <v>9.0277777777777804E-3</v>
      </c>
      <c r="C3249" s="5">
        <v>180</v>
      </c>
    </row>
    <row r="3250" spans="1:3">
      <c r="A3250" s="68">
        <v>37443</v>
      </c>
      <c r="B3250" s="6">
        <v>9.7222222222222206E-3</v>
      </c>
      <c r="C3250" s="5">
        <v>178</v>
      </c>
    </row>
    <row r="3251" spans="1:3">
      <c r="A3251" s="68">
        <v>37443</v>
      </c>
      <c r="B3251" s="6">
        <v>1.0416666666666701E-2</v>
      </c>
      <c r="C3251" s="5">
        <v>182</v>
      </c>
    </row>
    <row r="3252" spans="1:3">
      <c r="A3252" s="68">
        <v>37443</v>
      </c>
      <c r="B3252" s="6">
        <v>1.1111111111111099E-2</v>
      </c>
      <c r="C3252" s="5">
        <v>182</v>
      </c>
    </row>
    <row r="3253" spans="1:3">
      <c r="A3253" s="68">
        <v>37443</v>
      </c>
      <c r="B3253" s="6">
        <v>1.18055555555556E-2</v>
      </c>
      <c r="C3253" s="5">
        <v>182</v>
      </c>
    </row>
    <row r="3254" spans="1:3">
      <c r="A3254" s="68">
        <v>37443</v>
      </c>
      <c r="B3254" s="6">
        <v>1.2500000000000001E-2</v>
      </c>
      <c r="C3254" s="5">
        <v>184</v>
      </c>
    </row>
    <row r="3255" spans="1:3">
      <c r="A3255" s="68">
        <v>37443</v>
      </c>
      <c r="B3255" s="6">
        <v>1.3194444444444399E-2</v>
      </c>
      <c r="C3255" s="5">
        <v>185</v>
      </c>
    </row>
    <row r="3256" spans="1:3">
      <c r="A3256" s="68">
        <v>37443</v>
      </c>
      <c r="B3256" s="6">
        <v>1.38888888888889E-2</v>
      </c>
      <c r="C3256" s="5">
        <v>186</v>
      </c>
    </row>
    <row r="3257" spans="1:3">
      <c r="A3257" s="68">
        <v>37443</v>
      </c>
      <c r="B3257" s="6">
        <v>1.4583333333333301E-2</v>
      </c>
      <c r="C3257" s="5">
        <v>187</v>
      </c>
    </row>
    <row r="3258" spans="1:3">
      <c r="A3258" s="68">
        <v>37459</v>
      </c>
      <c r="B3258" s="6">
        <v>0</v>
      </c>
      <c r="C3258" s="5">
        <v>91</v>
      </c>
    </row>
    <row r="3259" spans="1:3">
      <c r="A3259" s="68">
        <v>37459</v>
      </c>
      <c r="B3259" s="6">
        <v>1.7361111111111112E-4</v>
      </c>
      <c r="C3259" s="5">
        <v>121</v>
      </c>
    </row>
    <row r="3260" spans="1:3">
      <c r="A3260" s="68">
        <v>37459</v>
      </c>
      <c r="B3260" s="6">
        <v>3.4722222222222202E-4</v>
      </c>
      <c r="C3260" s="5">
        <v>142</v>
      </c>
    </row>
    <row r="3261" spans="1:3">
      <c r="A3261" s="68">
        <v>37459</v>
      </c>
      <c r="B3261" s="6">
        <v>5.20833333333333E-4</v>
      </c>
      <c r="C3261" s="5">
        <v>147</v>
      </c>
    </row>
    <row r="3262" spans="1:3">
      <c r="A3262" s="68">
        <v>37459</v>
      </c>
      <c r="B3262" s="6">
        <v>6.9444444444444404E-4</v>
      </c>
      <c r="C3262" s="5">
        <v>153</v>
      </c>
    </row>
    <row r="3263" spans="1:3">
      <c r="A3263" s="68">
        <v>37459</v>
      </c>
      <c r="B3263" s="6">
        <v>8.6805555555555605E-4</v>
      </c>
      <c r="C3263" s="5">
        <v>154</v>
      </c>
    </row>
    <row r="3264" spans="1:3">
      <c r="A3264" s="68">
        <v>37459</v>
      </c>
      <c r="B3264" s="6">
        <v>1.0416666666666699E-3</v>
      </c>
      <c r="C3264" s="5">
        <v>156</v>
      </c>
    </row>
    <row r="3265" spans="1:3">
      <c r="A3265" s="68">
        <v>37459</v>
      </c>
      <c r="B3265" s="6">
        <v>1.21527777777778E-3</v>
      </c>
      <c r="C3265" s="5">
        <v>156</v>
      </c>
    </row>
    <row r="3266" spans="1:3">
      <c r="A3266" s="68">
        <v>37459</v>
      </c>
      <c r="B3266" s="6">
        <v>1.38888888888889E-3</v>
      </c>
      <c r="C3266" s="5">
        <v>157</v>
      </c>
    </row>
    <row r="3267" spans="1:3">
      <c r="A3267" s="68">
        <v>37459</v>
      </c>
      <c r="B3267" s="6">
        <v>1.5625000000000001E-3</v>
      </c>
      <c r="C3267" s="5">
        <v>159</v>
      </c>
    </row>
    <row r="3268" spans="1:3">
      <c r="A3268" s="68">
        <v>37459</v>
      </c>
      <c r="B3268" s="6">
        <v>1.7361111111111099E-3</v>
      </c>
      <c r="C3268" s="5">
        <v>159</v>
      </c>
    </row>
    <row r="3269" spans="1:3">
      <c r="A3269" s="68">
        <v>37459</v>
      </c>
      <c r="B3269" s="6">
        <v>1.90972222222222E-3</v>
      </c>
      <c r="C3269" s="5">
        <v>160</v>
      </c>
    </row>
    <row r="3270" spans="1:3">
      <c r="A3270" s="68">
        <v>37459</v>
      </c>
      <c r="B3270" s="6">
        <v>2.0833333333333298E-3</v>
      </c>
      <c r="C3270" s="5">
        <v>161</v>
      </c>
    </row>
    <row r="3271" spans="1:3">
      <c r="A3271" s="68">
        <v>37459</v>
      </c>
      <c r="B3271" s="6">
        <v>2.2569444444444399E-3</v>
      </c>
      <c r="C3271" s="5">
        <v>162</v>
      </c>
    </row>
    <row r="3272" spans="1:3">
      <c r="A3272" s="68">
        <v>37459</v>
      </c>
      <c r="B3272" s="6">
        <v>2.4305555555555599E-3</v>
      </c>
      <c r="C3272" s="5">
        <v>162</v>
      </c>
    </row>
    <row r="3273" spans="1:3">
      <c r="A3273" s="68">
        <v>37459</v>
      </c>
      <c r="B3273" s="6">
        <v>2.60416666666667E-3</v>
      </c>
      <c r="C3273" s="5">
        <v>163</v>
      </c>
    </row>
    <row r="3274" spans="1:3">
      <c r="A3274" s="68">
        <v>37459</v>
      </c>
      <c r="B3274" s="6">
        <v>2.7777777777777801E-3</v>
      </c>
      <c r="C3274" s="5">
        <v>163</v>
      </c>
    </row>
    <row r="3275" spans="1:3">
      <c r="A3275" s="68">
        <v>37459</v>
      </c>
      <c r="B3275" s="6">
        <v>2.9513888888888901E-3</v>
      </c>
      <c r="C3275" s="5">
        <v>164</v>
      </c>
    </row>
    <row r="3276" spans="1:3">
      <c r="A3276" s="68">
        <v>37459</v>
      </c>
      <c r="B3276" s="6">
        <v>3.1250000000000002E-3</v>
      </c>
      <c r="C3276" s="5">
        <v>165</v>
      </c>
    </row>
    <row r="3277" spans="1:3">
      <c r="A3277" s="68">
        <v>37459</v>
      </c>
      <c r="B3277" s="6">
        <v>3.2986111111111098E-3</v>
      </c>
      <c r="C3277" s="5">
        <v>166</v>
      </c>
    </row>
    <row r="3278" spans="1:3">
      <c r="A3278" s="68">
        <v>37459</v>
      </c>
      <c r="B3278" s="6">
        <v>3.4722222222222199E-3</v>
      </c>
      <c r="C3278" s="5">
        <v>165</v>
      </c>
    </row>
    <row r="3279" spans="1:3">
      <c r="A3279" s="68">
        <v>37459</v>
      </c>
      <c r="B3279" s="6">
        <v>3.6458333333333299E-3</v>
      </c>
      <c r="C3279" s="5">
        <v>166</v>
      </c>
    </row>
    <row r="3280" spans="1:3">
      <c r="A3280" s="68">
        <v>37459</v>
      </c>
      <c r="B3280" s="6">
        <v>3.81944444444444E-3</v>
      </c>
      <c r="C3280" s="5">
        <v>163</v>
      </c>
    </row>
    <row r="3281" spans="1:3">
      <c r="A3281" s="68">
        <v>37459</v>
      </c>
      <c r="B3281" s="6">
        <v>3.9930555555555596E-3</v>
      </c>
      <c r="C3281" s="5">
        <v>164</v>
      </c>
    </row>
    <row r="3282" spans="1:3">
      <c r="A3282" s="68">
        <v>37459</v>
      </c>
      <c r="B3282" s="6">
        <v>4.1666666666666701E-3</v>
      </c>
      <c r="C3282" s="5">
        <v>165</v>
      </c>
    </row>
    <row r="3283" spans="1:3">
      <c r="A3283" s="68">
        <v>37459</v>
      </c>
      <c r="B3283" s="6">
        <v>4.3402777777777797E-3</v>
      </c>
      <c r="C3283" s="5">
        <v>166</v>
      </c>
    </row>
    <row r="3284" spans="1:3">
      <c r="A3284" s="68">
        <v>37459</v>
      </c>
      <c r="B3284" s="6">
        <v>4.5138888888888902E-3</v>
      </c>
      <c r="C3284" s="5">
        <v>168</v>
      </c>
    </row>
    <row r="3285" spans="1:3">
      <c r="A3285" s="68">
        <v>37459</v>
      </c>
      <c r="B3285" s="6">
        <v>4.6874999999999998E-3</v>
      </c>
      <c r="C3285" s="5">
        <v>167</v>
      </c>
    </row>
    <row r="3286" spans="1:3">
      <c r="A3286" s="68">
        <v>37459</v>
      </c>
      <c r="B3286" s="6">
        <v>4.8611111111111103E-3</v>
      </c>
      <c r="C3286" s="5">
        <v>166</v>
      </c>
    </row>
    <row r="3287" spans="1:3">
      <c r="A3287" s="68">
        <v>37459</v>
      </c>
      <c r="B3287" s="6">
        <v>5.0347222222222199E-3</v>
      </c>
      <c r="C3287" s="5">
        <v>164</v>
      </c>
    </row>
    <row r="3288" spans="1:3">
      <c r="A3288" s="68">
        <v>37459</v>
      </c>
      <c r="B3288" s="6">
        <v>5.2083333333333296E-3</v>
      </c>
      <c r="C3288" s="5">
        <v>166</v>
      </c>
    </row>
    <row r="3289" spans="1:3">
      <c r="A3289" s="68">
        <v>37459</v>
      </c>
      <c r="B3289" s="6">
        <v>5.3819444444444401E-3</v>
      </c>
      <c r="C3289" s="5">
        <v>166</v>
      </c>
    </row>
    <row r="3290" spans="1:3">
      <c r="A3290" s="68">
        <v>37459</v>
      </c>
      <c r="B3290" s="6">
        <v>5.5555555555555601E-3</v>
      </c>
      <c r="C3290" s="5">
        <v>166</v>
      </c>
    </row>
    <row r="3291" spans="1:3">
      <c r="A3291" s="68">
        <v>37459</v>
      </c>
      <c r="B3291" s="6">
        <v>5.7291666666666697E-3</v>
      </c>
      <c r="C3291" s="5">
        <v>167</v>
      </c>
    </row>
    <row r="3292" spans="1:3">
      <c r="A3292" s="68">
        <v>37459</v>
      </c>
      <c r="B3292" s="6">
        <v>5.9027777777777802E-3</v>
      </c>
      <c r="C3292" s="5">
        <v>168</v>
      </c>
    </row>
    <row r="3293" spans="1:3">
      <c r="A3293" s="68">
        <v>37459</v>
      </c>
      <c r="B3293" s="6">
        <v>6.0763888888888899E-3</v>
      </c>
      <c r="C3293" s="5">
        <v>167</v>
      </c>
    </row>
    <row r="3294" spans="1:3">
      <c r="A3294" s="68">
        <v>37459</v>
      </c>
      <c r="B3294" s="6">
        <v>6.2500000000000003E-3</v>
      </c>
      <c r="C3294" s="5">
        <v>167</v>
      </c>
    </row>
    <row r="3295" spans="1:3">
      <c r="A3295" s="68">
        <v>37459</v>
      </c>
      <c r="B3295" s="6">
        <v>6.42361111111111E-3</v>
      </c>
      <c r="C3295" s="5">
        <v>165</v>
      </c>
    </row>
    <row r="3296" spans="1:3">
      <c r="A3296" s="68">
        <v>37459</v>
      </c>
      <c r="B3296" s="6">
        <v>6.5972222222222196E-3</v>
      </c>
      <c r="C3296" s="5">
        <v>168</v>
      </c>
    </row>
    <row r="3297" spans="1:3">
      <c r="A3297" s="68">
        <v>37459</v>
      </c>
      <c r="B3297" s="6">
        <v>6.7708333333333301E-3</v>
      </c>
      <c r="C3297" s="5">
        <v>170</v>
      </c>
    </row>
    <row r="3298" spans="1:3">
      <c r="A3298" s="68">
        <v>37459</v>
      </c>
      <c r="B3298" s="6">
        <v>6.9444444444444397E-3</v>
      </c>
      <c r="C3298" s="5">
        <v>169</v>
      </c>
    </row>
    <row r="3299" spans="1:3">
      <c r="A3299" s="68">
        <v>37459</v>
      </c>
      <c r="B3299" s="6">
        <v>7.1180555555555598E-3</v>
      </c>
      <c r="C3299" s="5">
        <v>169</v>
      </c>
    </row>
    <row r="3300" spans="1:3">
      <c r="A3300" s="68">
        <v>37459</v>
      </c>
      <c r="B3300" s="6">
        <v>7.2916666666666703E-3</v>
      </c>
      <c r="C3300" s="5">
        <v>168</v>
      </c>
    </row>
    <row r="3301" spans="1:3">
      <c r="A3301" s="68">
        <v>37459</v>
      </c>
      <c r="B3301" s="6">
        <v>7.4652777777777799E-3</v>
      </c>
      <c r="C3301" s="5">
        <v>157</v>
      </c>
    </row>
    <row r="3302" spans="1:3">
      <c r="A3302" s="68">
        <v>37459</v>
      </c>
      <c r="B3302" s="6">
        <v>7.6388888888888904E-3</v>
      </c>
      <c r="C3302" s="5">
        <v>142</v>
      </c>
    </row>
    <row r="3303" spans="1:3">
      <c r="A3303" s="68">
        <v>37459</v>
      </c>
      <c r="B3303" s="6">
        <v>7.8125E-3</v>
      </c>
      <c r="C3303" s="5">
        <v>138</v>
      </c>
    </row>
    <row r="3304" spans="1:3">
      <c r="A3304" s="68">
        <v>37459</v>
      </c>
      <c r="B3304" s="6">
        <v>7.9861111111111105E-3</v>
      </c>
      <c r="C3304" s="5">
        <v>136</v>
      </c>
    </row>
    <row r="3305" spans="1:3">
      <c r="A3305" s="68">
        <v>37459</v>
      </c>
      <c r="B3305" s="6">
        <v>8.1597222222222193E-3</v>
      </c>
      <c r="C3305" s="5">
        <v>132</v>
      </c>
    </row>
    <row r="3306" spans="1:3">
      <c r="A3306" s="68">
        <v>37459</v>
      </c>
      <c r="B3306" s="6">
        <v>8.3333333333333297E-3</v>
      </c>
      <c r="C3306" s="5">
        <v>131</v>
      </c>
    </row>
    <row r="3307" spans="1:3">
      <c r="A3307" s="68">
        <v>37459</v>
      </c>
      <c r="B3307" s="6">
        <v>8.5069444444444507E-3</v>
      </c>
      <c r="C3307" s="5">
        <v>124</v>
      </c>
    </row>
    <row r="3308" spans="1:3">
      <c r="A3308" s="68">
        <v>37459</v>
      </c>
      <c r="B3308" s="6">
        <v>8.6805555555555594E-3</v>
      </c>
      <c r="C3308" s="5">
        <v>114</v>
      </c>
    </row>
    <row r="3309" spans="1:3">
      <c r="A3309" s="68">
        <v>37459</v>
      </c>
      <c r="B3309" s="6">
        <v>8.8541666666666699E-3</v>
      </c>
      <c r="C3309" s="5">
        <v>112</v>
      </c>
    </row>
    <row r="3310" spans="1:3">
      <c r="A3310" s="68">
        <v>37459</v>
      </c>
      <c r="B3310" s="6">
        <v>9.0277777777777804E-3</v>
      </c>
      <c r="C3310" s="5">
        <v>115</v>
      </c>
    </row>
    <row r="3311" spans="1:3">
      <c r="A3311" s="68">
        <v>37459</v>
      </c>
      <c r="B3311" s="6">
        <v>9.2013888888888892E-3</v>
      </c>
      <c r="C3311" s="5">
        <v>111</v>
      </c>
    </row>
    <row r="3312" spans="1:3">
      <c r="A3312" s="68">
        <v>37459</v>
      </c>
      <c r="B3312" s="6">
        <v>9.3749999999999997E-3</v>
      </c>
      <c r="C3312" s="5">
        <v>105</v>
      </c>
    </row>
    <row r="3313" spans="1:3">
      <c r="A3313" s="68">
        <v>37459</v>
      </c>
      <c r="B3313" s="6">
        <v>9.5486111111111101E-3</v>
      </c>
      <c r="C3313" s="5">
        <v>106</v>
      </c>
    </row>
    <row r="3314" spans="1:3">
      <c r="A3314" s="68">
        <v>37459</v>
      </c>
      <c r="B3314" s="6">
        <v>9.7222222222222206E-3</v>
      </c>
      <c r="C3314" s="5">
        <v>107</v>
      </c>
    </row>
    <row r="3315" spans="1:3">
      <c r="A3315" s="68">
        <v>37459</v>
      </c>
      <c r="B3315" s="6">
        <v>9.8958333333333294E-3</v>
      </c>
      <c r="C3315" s="5">
        <v>103</v>
      </c>
    </row>
    <row r="3316" spans="1:3">
      <c r="A3316" s="68">
        <v>37459</v>
      </c>
      <c r="B3316" s="6">
        <v>1.00694444444444E-2</v>
      </c>
      <c r="C3316" s="5">
        <v>106</v>
      </c>
    </row>
    <row r="3317" spans="1:3">
      <c r="A3317" s="68">
        <v>37459</v>
      </c>
      <c r="B3317" s="6">
        <v>1.0243055555555601E-2</v>
      </c>
      <c r="C3317" s="5">
        <v>116</v>
      </c>
    </row>
    <row r="3318" spans="1:3">
      <c r="A3318" s="68">
        <v>37459</v>
      </c>
      <c r="B3318" s="6">
        <v>1.0416666666666701E-2</v>
      </c>
      <c r="C3318" s="5">
        <v>116</v>
      </c>
    </row>
    <row r="3319" spans="1:3">
      <c r="A3319" s="68">
        <v>37459</v>
      </c>
      <c r="B3319" s="6">
        <v>1.0590277777777799E-2</v>
      </c>
      <c r="C3319" s="5">
        <v>109</v>
      </c>
    </row>
    <row r="3320" spans="1:3">
      <c r="A3320" s="68">
        <v>37459</v>
      </c>
      <c r="B3320" s="6">
        <v>1.0763888888888899E-2</v>
      </c>
      <c r="C3320" s="5">
        <v>96</v>
      </c>
    </row>
    <row r="3321" spans="1:3">
      <c r="A3321" s="68">
        <v>37459</v>
      </c>
      <c r="B3321" s="6">
        <v>1.0937499999999999E-2</v>
      </c>
      <c r="C3321" s="5">
        <v>137</v>
      </c>
    </row>
    <row r="3322" spans="1:3">
      <c r="A3322" s="68">
        <v>37459</v>
      </c>
      <c r="B3322" s="6">
        <v>1.1111111111111099E-2</v>
      </c>
      <c r="C3322" s="5">
        <v>153</v>
      </c>
    </row>
    <row r="3323" spans="1:3">
      <c r="A3323" s="68">
        <v>37459</v>
      </c>
      <c r="B3323" s="6">
        <v>1.1284722222222199E-2</v>
      </c>
      <c r="C3323" s="5">
        <v>155</v>
      </c>
    </row>
    <row r="3324" spans="1:3">
      <c r="A3324" s="68">
        <v>37459</v>
      </c>
      <c r="B3324" s="6">
        <v>1.14583333333333E-2</v>
      </c>
      <c r="C3324" s="5">
        <v>159</v>
      </c>
    </row>
    <row r="3325" spans="1:3">
      <c r="A3325" s="68">
        <v>37459</v>
      </c>
      <c r="B3325" s="6">
        <v>1.16319444444444E-2</v>
      </c>
      <c r="C3325" s="5">
        <v>160</v>
      </c>
    </row>
    <row r="3326" spans="1:3">
      <c r="A3326" s="68">
        <v>37459</v>
      </c>
      <c r="B3326" s="6">
        <v>1.18055555555556E-2</v>
      </c>
      <c r="C3326" s="5">
        <v>165</v>
      </c>
    </row>
    <row r="3327" spans="1:3">
      <c r="A3327" s="68">
        <v>37459</v>
      </c>
      <c r="B3327" s="6">
        <v>1.19791666666667E-2</v>
      </c>
      <c r="C3327" s="5">
        <v>166</v>
      </c>
    </row>
    <row r="3328" spans="1:3">
      <c r="A3328" s="68">
        <v>37459</v>
      </c>
      <c r="B3328" s="6">
        <v>1.2152777777777801E-2</v>
      </c>
      <c r="C3328" s="5">
        <v>168</v>
      </c>
    </row>
    <row r="3329" spans="1:3">
      <c r="A3329" s="68">
        <v>37459</v>
      </c>
      <c r="B3329" s="6">
        <v>1.2326388888888901E-2</v>
      </c>
      <c r="C3329" s="5">
        <v>169</v>
      </c>
    </row>
    <row r="3330" spans="1:3">
      <c r="A3330" s="68">
        <v>37459</v>
      </c>
      <c r="B3330" s="6">
        <v>1.2500000000000001E-2</v>
      </c>
      <c r="C3330" s="5">
        <v>169</v>
      </c>
    </row>
    <row r="3331" spans="1:3">
      <c r="A3331" s="68">
        <v>37459</v>
      </c>
      <c r="B3331" s="6">
        <v>1.2673611111111101E-2</v>
      </c>
      <c r="C3331" s="5">
        <v>169</v>
      </c>
    </row>
    <row r="3332" spans="1:3">
      <c r="A3332" s="68">
        <v>37459</v>
      </c>
      <c r="B3332" s="6">
        <v>1.2847222222222201E-2</v>
      </c>
      <c r="C3332" s="5">
        <v>168</v>
      </c>
    </row>
    <row r="3333" spans="1:3">
      <c r="A3333" s="68">
        <v>37459</v>
      </c>
      <c r="B3333" s="6">
        <v>1.3020833333333299E-2</v>
      </c>
      <c r="C3333" s="5">
        <v>169</v>
      </c>
    </row>
    <row r="3334" spans="1:3">
      <c r="A3334" s="68">
        <v>37459</v>
      </c>
      <c r="B3334" s="6">
        <v>1.3194444444444399E-2</v>
      </c>
      <c r="C3334" s="5">
        <v>169</v>
      </c>
    </row>
    <row r="3335" spans="1:3">
      <c r="A3335" s="68">
        <v>37459</v>
      </c>
      <c r="B3335" s="6">
        <v>1.33680555555556E-2</v>
      </c>
      <c r="C3335" s="5">
        <v>168</v>
      </c>
    </row>
    <row r="3336" spans="1:3">
      <c r="A3336" s="68">
        <v>37459</v>
      </c>
      <c r="B3336" s="6">
        <v>1.35416666666667E-2</v>
      </c>
      <c r="C3336" s="5">
        <v>168</v>
      </c>
    </row>
    <row r="3337" spans="1:3">
      <c r="A3337" s="68">
        <v>37459</v>
      </c>
      <c r="B3337" s="6">
        <v>1.37152777777778E-2</v>
      </c>
      <c r="C3337" s="5">
        <v>169</v>
      </c>
    </row>
    <row r="3338" spans="1:3">
      <c r="A3338" s="68">
        <v>37459</v>
      </c>
      <c r="B3338" s="6">
        <v>1.38888888888889E-2</v>
      </c>
      <c r="C3338" s="5">
        <v>171</v>
      </c>
    </row>
    <row r="3339" spans="1:3">
      <c r="A3339" s="68">
        <v>37459</v>
      </c>
      <c r="B3339" s="6">
        <v>1.40625E-2</v>
      </c>
      <c r="C3339" s="5">
        <v>174</v>
      </c>
    </row>
    <row r="3340" spans="1:3">
      <c r="A3340" s="68">
        <v>37459</v>
      </c>
      <c r="B3340" s="6">
        <v>1.42361111111111E-2</v>
      </c>
      <c r="C3340" s="5">
        <v>169</v>
      </c>
    </row>
    <row r="3341" spans="1:3">
      <c r="A3341" s="68">
        <v>37459</v>
      </c>
      <c r="B3341" s="6">
        <v>1.4409722222222201E-2</v>
      </c>
      <c r="C3341" s="5">
        <v>170</v>
      </c>
    </row>
    <row r="3342" spans="1:3">
      <c r="A3342" s="68">
        <v>37459</v>
      </c>
      <c r="B3342" s="6">
        <v>1.4583333333333301E-2</v>
      </c>
      <c r="C3342" s="5">
        <v>170</v>
      </c>
    </row>
    <row r="3343" spans="1:3">
      <c r="A3343" s="68">
        <v>37459</v>
      </c>
      <c r="B3343" s="6">
        <v>1.4756944444444401E-2</v>
      </c>
      <c r="C3343" s="5">
        <v>169</v>
      </c>
    </row>
    <row r="3344" spans="1:3">
      <c r="A3344" s="68">
        <v>37459</v>
      </c>
      <c r="B3344" s="6">
        <v>1.49305555555556E-2</v>
      </c>
      <c r="C3344" s="5">
        <v>170</v>
      </c>
    </row>
    <row r="3345" spans="1:3">
      <c r="A3345" s="68">
        <v>37459</v>
      </c>
      <c r="B3345" s="6">
        <v>1.51041666666667E-2</v>
      </c>
      <c r="C3345" s="5">
        <v>171</v>
      </c>
    </row>
    <row r="3346" spans="1:3">
      <c r="A3346" s="68">
        <v>37459</v>
      </c>
      <c r="B3346" s="6">
        <v>1.52777777777778E-2</v>
      </c>
      <c r="C3346" s="5">
        <v>172</v>
      </c>
    </row>
    <row r="3347" spans="1:3">
      <c r="A3347" s="68">
        <v>37459</v>
      </c>
      <c r="B3347" s="6">
        <v>1.54513888888889E-2</v>
      </c>
      <c r="C3347" s="5">
        <v>173</v>
      </c>
    </row>
    <row r="3348" spans="1:3">
      <c r="A3348" s="68">
        <v>37459</v>
      </c>
      <c r="B3348" s="6">
        <v>1.5625E-2</v>
      </c>
      <c r="C3348" s="5">
        <v>170</v>
      </c>
    </row>
    <row r="3349" spans="1:3">
      <c r="A3349" s="68">
        <v>37459</v>
      </c>
      <c r="B3349" s="6">
        <v>1.57986111111111E-2</v>
      </c>
      <c r="C3349" s="5">
        <v>173</v>
      </c>
    </row>
    <row r="3350" spans="1:3">
      <c r="A3350" s="68">
        <v>37459</v>
      </c>
      <c r="B3350" s="6">
        <v>1.59722222222222E-2</v>
      </c>
      <c r="C3350" s="5">
        <v>174</v>
      </c>
    </row>
    <row r="3351" spans="1:3">
      <c r="A3351" s="68">
        <v>37459</v>
      </c>
      <c r="B3351" s="6">
        <v>1.61458333333333E-2</v>
      </c>
      <c r="C3351" s="5">
        <v>174</v>
      </c>
    </row>
    <row r="3352" spans="1:3">
      <c r="A3352" s="68">
        <v>37459</v>
      </c>
      <c r="B3352" s="6">
        <v>1.63194444444444E-2</v>
      </c>
      <c r="C3352" s="5">
        <v>174</v>
      </c>
    </row>
    <row r="3353" spans="1:3">
      <c r="A3353" s="68">
        <v>37459</v>
      </c>
      <c r="B3353" s="6">
        <v>1.6493055555555601E-2</v>
      </c>
      <c r="C3353" s="5">
        <v>175</v>
      </c>
    </row>
    <row r="3354" spans="1:3">
      <c r="A3354" s="68">
        <v>37459</v>
      </c>
      <c r="B3354" s="6">
        <v>1.6666666666666701E-2</v>
      </c>
      <c r="C3354" s="5">
        <v>173</v>
      </c>
    </row>
    <row r="3355" spans="1:3">
      <c r="A3355" s="68">
        <v>37459</v>
      </c>
      <c r="B3355" s="6">
        <v>1.6840277777777801E-2</v>
      </c>
      <c r="C3355" s="5">
        <v>174</v>
      </c>
    </row>
    <row r="3356" spans="1:3">
      <c r="A3356" s="68">
        <v>37459</v>
      </c>
      <c r="B3356" s="6">
        <v>1.7013888888888901E-2</v>
      </c>
      <c r="C3356" s="5">
        <v>174</v>
      </c>
    </row>
    <row r="3357" spans="1:3">
      <c r="A3357" s="68">
        <v>37459</v>
      </c>
      <c r="B3357" s="6">
        <v>1.7187500000000001E-2</v>
      </c>
      <c r="C3357" s="5">
        <v>175</v>
      </c>
    </row>
    <row r="3358" spans="1:3">
      <c r="A3358" s="68">
        <v>37459</v>
      </c>
      <c r="B3358" s="6">
        <v>1.7361111111111101E-2</v>
      </c>
      <c r="C3358" s="5">
        <v>174</v>
      </c>
    </row>
    <row r="3359" spans="1:3">
      <c r="A3359" s="68">
        <v>37459</v>
      </c>
      <c r="B3359" s="6">
        <v>1.7534722222222202E-2</v>
      </c>
      <c r="C3359" s="5">
        <v>176</v>
      </c>
    </row>
    <row r="3360" spans="1:3">
      <c r="A3360" s="68">
        <v>37459</v>
      </c>
      <c r="B3360" s="6">
        <v>1.7708333333333302E-2</v>
      </c>
      <c r="C3360" s="5">
        <v>176</v>
      </c>
    </row>
    <row r="3361" spans="1:3">
      <c r="A3361" s="68">
        <v>37459</v>
      </c>
      <c r="B3361" s="6">
        <v>1.7881944444444402E-2</v>
      </c>
      <c r="C3361" s="5">
        <v>175</v>
      </c>
    </row>
    <row r="3362" spans="1:3">
      <c r="A3362" s="68">
        <v>37459</v>
      </c>
      <c r="B3362" s="6">
        <v>1.8055555555555599E-2</v>
      </c>
      <c r="C3362" s="5">
        <v>172</v>
      </c>
    </row>
    <row r="3363" spans="1:3">
      <c r="A3363" s="68">
        <v>37459</v>
      </c>
      <c r="B3363" s="6">
        <v>1.8229166666666699E-2</v>
      </c>
      <c r="C3363" s="5">
        <v>158</v>
      </c>
    </row>
    <row r="3364" spans="1:3">
      <c r="A3364" s="68">
        <v>37459</v>
      </c>
      <c r="B3364" s="6">
        <v>1.8402777777777799E-2</v>
      </c>
      <c r="C3364" s="5">
        <v>145</v>
      </c>
    </row>
    <row r="3365" spans="1:3">
      <c r="A3365" s="68">
        <v>37459</v>
      </c>
      <c r="B3365" s="6">
        <v>1.8576388888888899E-2</v>
      </c>
      <c r="C3365" s="5">
        <v>133</v>
      </c>
    </row>
    <row r="3366" spans="1:3">
      <c r="A3366" s="68">
        <v>37459</v>
      </c>
      <c r="B3366" s="6">
        <v>1.8749999999999999E-2</v>
      </c>
      <c r="C3366" s="5">
        <v>125</v>
      </c>
    </row>
    <row r="3367" spans="1:3">
      <c r="A3367" s="68">
        <v>37459</v>
      </c>
      <c r="B3367" s="6">
        <v>1.8923611111111099E-2</v>
      </c>
      <c r="C3367" s="5">
        <v>123</v>
      </c>
    </row>
    <row r="3368" spans="1:3">
      <c r="A3368" s="68">
        <v>37459</v>
      </c>
      <c r="B3368" s="6">
        <v>1.9097222222222199E-2</v>
      </c>
      <c r="C3368" s="5">
        <v>115</v>
      </c>
    </row>
    <row r="3369" spans="1:3">
      <c r="A3369" s="68">
        <v>37459</v>
      </c>
      <c r="B3369" s="6">
        <v>1.92708333333333E-2</v>
      </c>
      <c r="C3369" s="5">
        <v>115</v>
      </c>
    </row>
    <row r="3370" spans="1:3">
      <c r="A3370" s="68">
        <v>37459</v>
      </c>
      <c r="B3370" s="6">
        <v>1.94444444444444E-2</v>
      </c>
      <c r="C3370" s="5">
        <v>110</v>
      </c>
    </row>
    <row r="3371" spans="1:3">
      <c r="A3371" s="68">
        <v>37459</v>
      </c>
      <c r="B3371" s="6">
        <v>1.96180555555556E-2</v>
      </c>
      <c r="C3371" s="5">
        <v>111</v>
      </c>
    </row>
    <row r="3372" spans="1:3">
      <c r="A3372" s="68">
        <v>37459</v>
      </c>
      <c r="B3372" s="6">
        <v>1.97916666666667E-2</v>
      </c>
      <c r="C3372" s="5">
        <v>107</v>
      </c>
    </row>
    <row r="3373" spans="1:3">
      <c r="A3373" s="68">
        <v>37459</v>
      </c>
      <c r="B3373" s="6">
        <v>1.9965277777777801E-2</v>
      </c>
      <c r="C3373" s="5">
        <v>110</v>
      </c>
    </row>
    <row r="3374" spans="1:3">
      <c r="A3374" s="68">
        <v>37459</v>
      </c>
      <c r="B3374" s="6">
        <v>2.0138888888888901E-2</v>
      </c>
      <c r="C3374" s="5">
        <v>107</v>
      </c>
    </row>
    <row r="3375" spans="1:3">
      <c r="A3375" s="68">
        <v>37459</v>
      </c>
      <c r="B3375" s="6">
        <v>2.0312500000000001E-2</v>
      </c>
      <c r="C3375" s="5">
        <v>104</v>
      </c>
    </row>
    <row r="3376" spans="1:3">
      <c r="A3376" s="68">
        <v>37459</v>
      </c>
      <c r="B3376" s="6">
        <v>2.0486111111111101E-2</v>
      </c>
      <c r="C3376" s="5">
        <v>103</v>
      </c>
    </row>
    <row r="3377" spans="1:3">
      <c r="A3377" s="68">
        <v>37459</v>
      </c>
      <c r="B3377" s="6">
        <v>2.0659722222222201E-2</v>
      </c>
      <c r="C3377" s="5">
        <v>99</v>
      </c>
    </row>
    <row r="3378" spans="1:3">
      <c r="A3378" s="68">
        <v>37459</v>
      </c>
      <c r="B3378" s="6">
        <v>2.0833333333333301E-2</v>
      </c>
      <c r="C3378" s="5">
        <v>99</v>
      </c>
    </row>
    <row r="3379" spans="1:3">
      <c r="A3379" s="68">
        <v>37459</v>
      </c>
      <c r="B3379" s="6">
        <v>2.1006944444444401E-2</v>
      </c>
      <c r="C3379" s="5">
        <v>98</v>
      </c>
    </row>
    <row r="3380" spans="1:3">
      <c r="A3380" s="68">
        <v>37459</v>
      </c>
      <c r="B3380" s="6">
        <v>2.1180555555555598E-2</v>
      </c>
      <c r="C3380" s="5">
        <v>98</v>
      </c>
    </row>
    <row r="3381" spans="1:3">
      <c r="A3381" s="68">
        <v>37459</v>
      </c>
      <c r="B3381" s="6">
        <v>2.1354166666666698E-2</v>
      </c>
      <c r="C3381" s="5">
        <v>100</v>
      </c>
    </row>
    <row r="3382" spans="1:3">
      <c r="A3382" s="68">
        <v>37459</v>
      </c>
      <c r="B3382" s="6">
        <v>2.1527777777777798E-2</v>
      </c>
      <c r="C3382" s="5">
        <v>119</v>
      </c>
    </row>
    <row r="3383" spans="1:3">
      <c r="A3383" s="68">
        <v>37459</v>
      </c>
      <c r="B3383" s="6">
        <v>2.1701388888888899E-2</v>
      </c>
      <c r="C3383" s="5">
        <v>148</v>
      </c>
    </row>
    <row r="3384" spans="1:3">
      <c r="A3384" s="68">
        <v>37459</v>
      </c>
      <c r="B3384" s="6">
        <v>2.1874999999999999E-2</v>
      </c>
      <c r="C3384" s="5">
        <v>154</v>
      </c>
    </row>
    <row r="3385" spans="1:3">
      <c r="A3385" s="68">
        <v>37459</v>
      </c>
      <c r="B3385" s="6">
        <v>2.2048611111111099E-2</v>
      </c>
      <c r="C3385" s="5">
        <v>159</v>
      </c>
    </row>
    <row r="3386" spans="1:3">
      <c r="A3386" s="68">
        <v>37459</v>
      </c>
      <c r="B3386" s="6">
        <v>2.2222222222222199E-2</v>
      </c>
      <c r="C3386" s="5">
        <v>161</v>
      </c>
    </row>
    <row r="3387" spans="1:3">
      <c r="A3387" s="68">
        <v>37459</v>
      </c>
      <c r="B3387" s="6">
        <v>2.2395833333333299E-2</v>
      </c>
      <c r="C3387" s="5">
        <v>162</v>
      </c>
    </row>
    <row r="3388" spans="1:3">
      <c r="A3388" s="68">
        <v>37459</v>
      </c>
      <c r="B3388" s="6">
        <v>2.2569444444444399E-2</v>
      </c>
      <c r="C3388" s="5">
        <v>163</v>
      </c>
    </row>
    <row r="3389" spans="1:3">
      <c r="A3389" s="68">
        <v>37459</v>
      </c>
      <c r="B3389" s="6">
        <v>2.27430555555556E-2</v>
      </c>
      <c r="C3389" s="5">
        <v>164</v>
      </c>
    </row>
    <row r="3390" spans="1:3">
      <c r="A3390" s="68">
        <v>37459</v>
      </c>
      <c r="B3390" s="6">
        <v>2.29166666666667E-2</v>
      </c>
      <c r="C3390" s="5">
        <v>165</v>
      </c>
    </row>
    <row r="3391" spans="1:3">
      <c r="A3391" s="68">
        <v>37459</v>
      </c>
      <c r="B3391" s="6">
        <v>2.30902777777778E-2</v>
      </c>
      <c r="C3391" s="5">
        <v>158</v>
      </c>
    </row>
    <row r="3392" spans="1:3">
      <c r="A3392" s="68">
        <v>37459</v>
      </c>
      <c r="B3392" s="6">
        <v>2.32638888888889E-2</v>
      </c>
      <c r="C3392" s="5">
        <v>155</v>
      </c>
    </row>
    <row r="3393" spans="1:3">
      <c r="A3393" s="68">
        <v>37459</v>
      </c>
      <c r="B3393" s="6">
        <v>2.34375E-2</v>
      </c>
      <c r="C3393" s="5">
        <v>152</v>
      </c>
    </row>
    <row r="3394" spans="1:3">
      <c r="A3394" s="68">
        <v>37459</v>
      </c>
      <c r="B3394" s="6">
        <v>2.36111111111111E-2</v>
      </c>
      <c r="C3394" s="5">
        <v>150</v>
      </c>
    </row>
    <row r="3395" spans="1:3">
      <c r="A3395" s="68">
        <v>37459</v>
      </c>
      <c r="B3395" s="6">
        <v>2.37847222222222E-2</v>
      </c>
      <c r="C3395" s="5">
        <v>149</v>
      </c>
    </row>
    <row r="3396" spans="1:3">
      <c r="A3396" s="68">
        <v>37459</v>
      </c>
      <c r="B3396" s="6">
        <v>2.39583333333333E-2</v>
      </c>
      <c r="C3396" s="5">
        <v>148</v>
      </c>
    </row>
    <row r="3397" spans="1:3">
      <c r="A3397" s="68">
        <v>37459</v>
      </c>
      <c r="B3397" s="6">
        <v>2.41319444444444E-2</v>
      </c>
      <c r="C3397" s="5">
        <v>147</v>
      </c>
    </row>
    <row r="3398" spans="1:3">
      <c r="A3398" s="68">
        <v>37459</v>
      </c>
      <c r="B3398" s="6">
        <v>2.4305555555555601E-2</v>
      </c>
      <c r="C3398" s="5">
        <v>149</v>
      </c>
    </row>
    <row r="3399" spans="1:3">
      <c r="A3399" s="68">
        <v>37459</v>
      </c>
      <c r="B3399" s="6">
        <v>2.4479166666666701E-2</v>
      </c>
      <c r="C3399" s="5">
        <v>155</v>
      </c>
    </row>
    <row r="3400" spans="1:3">
      <c r="A3400" s="68">
        <v>37459</v>
      </c>
      <c r="B3400" s="6">
        <v>2.4652777777777801E-2</v>
      </c>
      <c r="C3400" s="5">
        <v>158</v>
      </c>
    </row>
    <row r="3401" spans="1:3">
      <c r="A3401" s="68">
        <v>37459</v>
      </c>
      <c r="B3401" s="6">
        <v>2.4826388888888901E-2</v>
      </c>
      <c r="C3401" s="5">
        <v>161</v>
      </c>
    </row>
    <row r="3402" spans="1:3">
      <c r="A3402" s="68">
        <v>37459</v>
      </c>
      <c r="B3402" s="6">
        <v>2.5000000000000001E-2</v>
      </c>
      <c r="C3402" s="5">
        <v>163</v>
      </c>
    </row>
    <row r="3403" spans="1:3">
      <c r="A3403" s="68">
        <v>37459</v>
      </c>
      <c r="B3403" s="6">
        <v>2.5173611111111101E-2</v>
      </c>
      <c r="C3403" s="5">
        <v>166</v>
      </c>
    </row>
    <row r="3404" spans="1:3">
      <c r="A3404" s="68">
        <v>37459</v>
      </c>
      <c r="B3404" s="6">
        <v>2.5347222222222202E-2</v>
      </c>
      <c r="C3404" s="5">
        <v>169</v>
      </c>
    </row>
    <row r="3405" spans="1:3">
      <c r="A3405" s="68">
        <v>37459</v>
      </c>
      <c r="B3405" s="6">
        <v>2.5520833333333302E-2</v>
      </c>
      <c r="C3405" s="5">
        <v>169</v>
      </c>
    </row>
    <row r="3406" spans="1:3">
      <c r="A3406" s="68">
        <v>37459</v>
      </c>
      <c r="B3406" s="6">
        <v>2.5694444444444402E-2</v>
      </c>
      <c r="C3406" s="5">
        <v>167</v>
      </c>
    </row>
    <row r="3407" spans="1:3">
      <c r="A3407" s="68">
        <v>37459</v>
      </c>
      <c r="B3407" s="6">
        <v>2.5868055555555599E-2</v>
      </c>
      <c r="C3407" s="5">
        <v>168</v>
      </c>
    </row>
    <row r="3408" spans="1:3">
      <c r="A3408" s="68">
        <v>37459</v>
      </c>
      <c r="B3408" s="6">
        <v>2.6041666666666699E-2</v>
      </c>
      <c r="C3408" s="5">
        <v>169</v>
      </c>
    </row>
    <row r="3409" spans="1:3">
      <c r="A3409" s="68">
        <v>37459</v>
      </c>
      <c r="B3409" s="6">
        <v>2.6215277777777799E-2</v>
      </c>
      <c r="C3409" s="5">
        <v>167</v>
      </c>
    </row>
    <row r="3410" spans="1:3">
      <c r="A3410" s="68">
        <v>37459</v>
      </c>
      <c r="B3410" s="6">
        <v>2.6388888888888899E-2</v>
      </c>
      <c r="C3410" s="5">
        <v>170</v>
      </c>
    </row>
    <row r="3411" spans="1:3">
      <c r="A3411" s="68">
        <v>37459</v>
      </c>
      <c r="B3411" s="6">
        <v>2.6562499999999999E-2</v>
      </c>
      <c r="C3411" s="5">
        <v>168</v>
      </c>
    </row>
    <row r="3412" spans="1:3">
      <c r="A3412" s="68">
        <v>37459</v>
      </c>
      <c r="B3412" s="6">
        <v>2.6736111111111099E-2</v>
      </c>
      <c r="C3412" s="5">
        <v>170</v>
      </c>
    </row>
    <row r="3413" spans="1:3">
      <c r="A3413" s="68">
        <v>37459</v>
      </c>
      <c r="B3413" s="6">
        <v>2.6909722222222199E-2</v>
      </c>
      <c r="C3413" s="5">
        <v>173</v>
      </c>
    </row>
    <row r="3414" spans="1:3">
      <c r="A3414" s="68">
        <v>37459</v>
      </c>
      <c r="B3414" s="6">
        <v>2.70833333333333E-2</v>
      </c>
      <c r="C3414" s="5">
        <v>171</v>
      </c>
    </row>
    <row r="3415" spans="1:3">
      <c r="A3415" s="68">
        <v>37459</v>
      </c>
      <c r="B3415" s="6">
        <v>2.72569444444444E-2</v>
      </c>
      <c r="C3415" s="5">
        <v>174</v>
      </c>
    </row>
    <row r="3416" spans="1:3">
      <c r="A3416" s="68">
        <v>37459</v>
      </c>
      <c r="B3416" s="6">
        <v>2.74305555555556E-2</v>
      </c>
      <c r="C3416" s="5">
        <v>174</v>
      </c>
    </row>
    <row r="3417" spans="1:3">
      <c r="A3417" s="68">
        <v>37459</v>
      </c>
      <c r="B3417" s="6">
        <v>2.76041666666667E-2</v>
      </c>
      <c r="C3417" s="5">
        <v>174</v>
      </c>
    </row>
    <row r="3418" spans="1:3">
      <c r="A3418" s="68">
        <v>37459</v>
      </c>
      <c r="B3418" s="6">
        <v>2.7777777777777801E-2</v>
      </c>
      <c r="C3418" s="5">
        <v>176</v>
      </c>
    </row>
    <row r="3419" spans="1:3">
      <c r="A3419" s="68">
        <v>37459</v>
      </c>
      <c r="B3419" s="6">
        <v>2.7951388888888901E-2</v>
      </c>
      <c r="C3419" s="5">
        <v>175</v>
      </c>
    </row>
    <row r="3420" spans="1:3">
      <c r="A3420" s="68">
        <v>37459</v>
      </c>
      <c r="B3420" s="6">
        <v>2.8125000000000001E-2</v>
      </c>
      <c r="C3420" s="5">
        <v>175</v>
      </c>
    </row>
    <row r="3421" spans="1:3">
      <c r="A3421" s="68">
        <v>37459</v>
      </c>
      <c r="B3421" s="6">
        <v>2.8298611111111101E-2</v>
      </c>
      <c r="C3421" s="5">
        <v>177</v>
      </c>
    </row>
    <row r="3422" spans="1:3">
      <c r="A3422" s="68">
        <v>37459</v>
      </c>
      <c r="B3422" s="6">
        <v>2.8472222222222201E-2</v>
      </c>
      <c r="C3422" s="5">
        <v>178</v>
      </c>
    </row>
    <row r="3423" spans="1:3">
      <c r="A3423" s="68">
        <v>37459</v>
      </c>
      <c r="B3423" s="6">
        <v>2.8645833333333301E-2</v>
      </c>
      <c r="C3423" s="5">
        <v>179</v>
      </c>
    </row>
    <row r="3424" spans="1:3">
      <c r="A3424" s="68">
        <v>37459</v>
      </c>
      <c r="B3424" s="6">
        <v>2.8819444444444401E-2</v>
      </c>
      <c r="C3424" s="5">
        <v>178</v>
      </c>
    </row>
    <row r="3425" spans="1:3">
      <c r="A3425" s="68">
        <v>37459</v>
      </c>
      <c r="B3425" s="6">
        <v>2.8993055555555598E-2</v>
      </c>
      <c r="C3425" s="5">
        <v>178</v>
      </c>
    </row>
    <row r="3426" spans="1:3">
      <c r="A3426" s="68">
        <v>37459</v>
      </c>
      <c r="B3426" s="6">
        <v>2.9166666666666698E-2</v>
      </c>
      <c r="C3426" s="5">
        <v>172</v>
      </c>
    </row>
    <row r="3427" spans="1:3">
      <c r="A3427" s="68">
        <v>37459</v>
      </c>
      <c r="B3427" s="6">
        <v>2.9340277777777798E-2</v>
      </c>
      <c r="C3427" s="5">
        <v>163</v>
      </c>
    </row>
    <row r="3428" spans="1:3">
      <c r="A3428" s="68">
        <v>37459</v>
      </c>
      <c r="B3428" s="6">
        <v>2.9513888888888899E-2</v>
      </c>
      <c r="C3428" s="5">
        <v>154</v>
      </c>
    </row>
    <row r="3429" spans="1:3">
      <c r="A3429" s="68">
        <v>37459</v>
      </c>
      <c r="B3429" s="6">
        <v>2.9687499999999999E-2</v>
      </c>
      <c r="C3429" s="5">
        <v>151</v>
      </c>
    </row>
    <row r="3430" spans="1:3">
      <c r="A3430" s="68">
        <v>37459</v>
      </c>
      <c r="B3430" s="6">
        <v>2.9861111111111099E-2</v>
      </c>
      <c r="C3430" s="5">
        <v>147</v>
      </c>
    </row>
    <row r="3431" spans="1:3">
      <c r="A3431" s="68">
        <v>37459</v>
      </c>
      <c r="B3431" s="6">
        <v>3.0034722222222199E-2</v>
      </c>
      <c r="C3431" s="5">
        <v>146</v>
      </c>
    </row>
    <row r="3432" spans="1:3">
      <c r="A3432" s="68">
        <v>37459</v>
      </c>
      <c r="B3432" s="6">
        <v>3.0208333333333299E-2</v>
      </c>
      <c r="C3432" s="5">
        <v>143</v>
      </c>
    </row>
    <row r="3433" spans="1:3">
      <c r="A3433" s="68">
        <v>37459</v>
      </c>
      <c r="B3433" s="6">
        <v>3.0381944444444399E-2</v>
      </c>
      <c r="C3433" s="5">
        <v>142</v>
      </c>
    </row>
    <row r="3434" spans="1:3">
      <c r="A3434" s="68">
        <v>37459</v>
      </c>
      <c r="B3434" s="6">
        <v>3.05555555555556E-2</v>
      </c>
      <c r="C3434" s="5">
        <v>140</v>
      </c>
    </row>
    <row r="3435" spans="1:3">
      <c r="A3435" s="68">
        <v>37459</v>
      </c>
      <c r="B3435" s="6">
        <v>3.07291666666667E-2</v>
      </c>
      <c r="C3435" s="5">
        <v>139</v>
      </c>
    </row>
    <row r="3436" spans="1:3">
      <c r="A3436" s="68">
        <v>37492</v>
      </c>
      <c r="B3436" s="6">
        <v>0</v>
      </c>
      <c r="C3436" s="5">
        <v>87</v>
      </c>
    </row>
    <row r="3437" spans="1:3">
      <c r="A3437" s="68">
        <v>37492</v>
      </c>
      <c r="B3437" s="6">
        <v>6.9444444444444447E-4</v>
      </c>
      <c r="C3437" s="5">
        <v>158</v>
      </c>
    </row>
    <row r="3438" spans="1:3">
      <c r="A3438" s="68">
        <v>37492</v>
      </c>
      <c r="B3438" s="6">
        <v>1.38888888888889E-3</v>
      </c>
      <c r="C3438" s="5">
        <v>166</v>
      </c>
    </row>
    <row r="3439" spans="1:3">
      <c r="A3439" s="68">
        <v>37492</v>
      </c>
      <c r="B3439" s="6">
        <v>2.0833333333333298E-3</v>
      </c>
      <c r="C3439" s="5">
        <v>167</v>
      </c>
    </row>
    <row r="3440" spans="1:3">
      <c r="A3440" s="68">
        <v>37492</v>
      </c>
      <c r="B3440" s="6">
        <v>2.7777777777777801E-3</v>
      </c>
      <c r="C3440" s="5">
        <v>170</v>
      </c>
    </row>
    <row r="3441" spans="1:3">
      <c r="A3441" s="68">
        <v>37492</v>
      </c>
      <c r="B3441" s="6">
        <v>3.4722222222222199E-3</v>
      </c>
      <c r="C3441" s="5">
        <v>172</v>
      </c>
    </row>
    <row r="3442" spans="1:3">
      <c r="A3442" s="68">
        <v>37492</v>
      </c>
      <c r="B3442" s="6">
        <v>4.1666666666666701E-3</v>
      </c>
      <c r="C3442" s="5">
        <v>176</v>
      </c>
    </row>
    <row r="3443" spans="1:3">
      <c r="A3443" s="68">
        <v>37492</v>
      </c>
      <c r="B3443" s="6">
        <v>4.8611111111111103E-3</v>
      </c>
      <c r="C3443" s="5">
        <v>178</v>
      </c>
    </row>
    <row r="3444" spans="1:3">
      <c r="A3444" s="68">
        <v>37492</v>
      </c>
      <c r="B3444" s="6">
        <v>5.5555555555555601E-3</v>
      </c>
      <c r="C3444" s="5">
        <v>177</v>
      </c>
    </row>
    <row r="3445" spans="1:3">
      <c r="A3445" s="68">
        <v>37492</v>
      </c>
      <c r="B3445" s="6">
        <v>6.2500000000000003E-3</v>
      </c>
      <c r="C3445" s="5">
        <v>175</v>
      </c>
    </row>
    <row r="3446" spans="1:3">
      <c r="A3446" s="68">
        <v>37492</v>
      </c>
      <c r="B3446" s="6">
        <v>6.9444444444444397E-3</v>
      </c>
      <c r="C3446" s="5">
        <v>174</v>
      </c>
    </row>
    <row r="3447" spans="1:3">
      <c r="A3447" s="68">
        <v>37492</v>
      </c>
      <c r="B3447" s="6">
        <v>7.6388888888888904E-3</v>
      </c>
      <c r="C3447" s="5">
        <v>175</v>
      </c>
    </row>
    <row r="3448" spans="1:3">
      <c r="A3448" s="68">
        <v>37492</v>
      </c>
      <c r="B3448" s="6">
        <v>8.3333333333333297E-3</v>
      </c>
      <c r="C3448" s="5">
        <v>175</v>
      </c>
    </row>
    <row r="3449" spans="1:3">
      <c r="A3449" s="68">
        <v>37492</v>
      </c>
      <c r="B3449" s="6">
        <v>9.0277777777777804E-3</v>
      </c>
      <c r="C3449" s="5">
        <v>176</v>
      </c>
    </row>
    <row r="3450" spans="1:3">
      <c r="A3450" s="68">
        <v>37492</v>
      </c>
      <c r="B3450" s="6">
        <v>9.7222222222222206E-3</v>
      </c>
      <c r="C3450" s="5">
        <v>178</v>
      </c>
    </row>
    <row r="3451" spans="1:3">
      <c r="A3451" s="68">
        <v>37492</v>
      </c>
      <c r="B3451" s="6">
        <v>1.0416666666666701E-2</v>
      </c>
      <c r="C3451" s="5">
        <v>179</v>
      </c>
    </row>
    <row r="3452" spans="1:3">
      <c r="A3452" s="68">
        <v>37492</v>
      </c>
      <c r="B3452" s="6">
        <v>1.1111111111111099E-2</v>
      </c>
      <c r="C3452" s="5">
        <v>174</v>
      </c>
    </row>
    <row r="3453" spans="1:3">
      <c r="A3453" s="68">
        <v>37492</v>
      </c>
      <c r="B3453" s="6">
        <v>1.18055555555556E-2</v>
      </c>
      <c r="C3453" s="5">
        <v>175</v>
      </c>
    </row>
    <row r="3454" spans="1:3">
      <c r="A3454" s="68">
        <v>37492</v>
      </c>
      <c r="B3454" s="6">
        <v>1.2500000000000001E-2</v>
      </c>
      <c r="C3454" s="5">
        <v>176</v>
      </c>
    </row>
    <row r="3455" spans="1:3">
      <c r="A3455" s="68">
        <v>37492</v>
      </c>
      <c r="B3455" s="6">
        <v>1.3194444444444399E-2</v>
      </c>
      <c r="C3455" s="5">
        <v>176</v>
      </c>
    </row>
    <row r="3456" spans="1:3">
      <c r="A3456" s="68">
        <v>37492</v>
      </c>
      <c r="B3456" s="6">
        <v>1.38888888888889E-2</v>
      </c>
      <c r="C3456" s="5">
        <v>175</v>
      </c>
    </row>
    <row r="3457" spans="1:3">
      <c r="A3457" s="68">
        <v>37492</v>
      </c>
      <c r="B3457" s="6">
        <v>1.4583333333333301E-2</v>
      </c>
      <c r="C3457" s="5">
        <v>178</v>
      </c>
    </row>
    <row r="3458" spans="1:3">
      <c r="A3458" s="68">
        <v>37492</v>
      </c>
      <c r="B3458" s="6">
        <v>1.52777777777778E-2</v>
      </c>
      <c r="C3458" s="5">
        <v>176</v>
      </c>
    </row>
    <row r="3459" spans="1:3">
      <c r="A3459" s="68">
        <v>37492</v>
      </c>
      <c r="B3459" s="6">
        <v>1.59722222222222E-2</v>
      </c>
      <c r="C3459" s="5">
        <v>177</v>
      </c>
    </row>
    <row r="3460" spans="1:3">
      <c r="A3460" s="68">
        <v>37492</v>
      </c>
      <c r="B3460" s="6">
        <v>1.6666666666666701E-2</v>
      </c>
      <c r="C3460" s="5">
        <v>180</v>
      </c>
    </row>
    <row r="3461" spans="1:3">
      <c r="A3461" s="68">
        <v>37492</v>
      </c>
      <c r="B3461" s="6">
        <v>1.7361111111111101E-2</v>
      </c>
      <c r="C3461" s="5">
        <v>180</v>
      </c>
    </row>
    <row r="3462" spans="1:3">
      <c r="A3462" s="68">
        <v>37492</v>
      </c>
      <c r="B3462" s="6">
        <v>1.8055555555555599E-2</v>
      </c>
      <c r="C3462" s="5">
        <v>180</v>
      </c>
    </row>
    <row r="3463" spans="1:3">
      <c r="A3463" s="68">
        <v>37492</v>
      </c>
      <c r="B3463" s="6">
        <v>1.8749999999999999E-2</v>
      </c>
      <c r="C3463" s="5">
        <v>181</v>
      </c>
    </row>
    <row r="3464" spans="1:3">
      <c r="A3464" s="68">
        <v>37492</v>
      </c>
      <c r="B3464" s="6">
        <v>1.94444444444444E-2</v>
      </c>
      <c r="C3464" s="5">
        <v>178</v>
      </c>
    </row>
    <row r="3465" spans="1:3">
      <c r="A3465" s="68">
        <v>37492</v>
      </c>
      <c r="B3465" s="6">
        <v>2.0138888888888901E-2</v>
      </c>
      <c r="C3465" s="5">
        <v>182</v>
      </c>
    </row>
    <row r="3466" spans="1:3">
      <c r="A3466" s="68">
        <v>37492</v>
      </c>
      <c r="B3466" s="6">
        <v>2.0833333333333301E-2</v>
      </c>
      <c r="C3466" s="5">
        <v>182</v>
      </c>
    </row>
    <row r="3467" spans="1:3">
      <c r="A3467" s="68">
        <v>37492</v>
      </c>
      <c r="B3467" s="6">
        <v>2.1527777777777798E-2</v>
      </c>
      <c r="C3467" s="5">
        <v>182</v>
      </c>
    </row>
    <row r="3468" spans="1:3">
      <c r="A3468" s="68">
        <v>37492</v>
      </c>
      <c r="B3468" s="6">
        <v>2.2222222222222199E-2</v>
      </c>
      <c r="C3468" s="5">
        <v>182</v>
      </c>
    </row>
    <row r="3469" spans="1:3">
      <c r="A3469" s="68">
        <v>37492</v>
      </c>
      <c r="B3469" s="6">
        <v>2.29166666666667E-2</v>
      </c>
      <c r="C3469" s="5">
        <v>179</v>
      </c>
    </row>
    <row r="3470" spans="1:3">
      <c r="A3470" s="68">
        <v>37492</v>
      </c>
      <c r="B3470" s="6">
        <v>2.36111111111111E-2</v>
      </c>
      <c r="C3470" s="5">
        <v>180</v>
      </c>
    </row>
    <row r="3471" spans="1:3">
      <c r="A3471" s="68">
        <v>37492</v>
      </c>
      <c r="B3471" s="6">
        <v>2.4305555555555601E-2</v>
      </c>
      <c r="C3471" s="5">
        <v>180</v>
      </c>
    </row>
    <row r="3472" spans="1:3">
      <c r="A3472" s="68">
        <v>37492</v>
      </c>
      <c r="B3472" s="6">
        <v>2.5000000000000001E-2</v>
      </c>
      <c r="C3472" s="5">
        <v>182</v>
      </c>
    </row>
    <row r="3473" spans="1:3">
      <c r="A3473" s="68">
        <v>37492</v>
      </c>
      <c r="B3473" s="6">
        <v>2.5694444444444402E-2</v>
      </c>
      <c r="C3473" s="5">
        <v>181</v>
      </c>
    </row>
    <row r="3474" spans="1:3">
      <c r="A3474" s="68">
        <v>37492</v>
      </c>
      <c r="B3474" s="6">
        <v>2.6388888888888899E-2</v>
      </c>
      <c r="C3474" s="5">
        <v>184</v>
      </c>
    </row>
    <row r="3475" spans="1:3">
      <c r="A3475" s="68">
        <v>37492</v>
      </c>
      <c r="B3475" s="6">
        <v>2.70833333333333E-2</v>
      </c>
      <c r="C3475" s="5">
        <v>183</v>
      </c>
    </row>
    <row r="3476" spans="1:3">
      <c r="A3476" s="68">
        <v>37492</v>
      </c>
      <c r="B3476" s="6">
        <v>2.7777777777777801E-2</v>
      </c>
      <c r="C3476" s="5">
        <v>182</v>
      </c>
    </row>
    <row r="3477" spans="1:3">
      <c r="A3477" s="68">
        <v>37492</v>
      </c>
      <c r="B3477" s="6">
        <v>2.8472222222222201E-2</v>
      </c>
      <c r="C3477" s="5">
        <v>183</v>
      </c>
    </row>
    <row r="3478" spans="1:3">
      <c r="A3478" s="68">
        <v>37492</v>
      </c>
      <c r="B3478" s="6">
        <v>2.9166666666666698E-2</v>
      </c>
      <c r="C3478" s="5">
        <v>183</v>
      </c>
    </row>
    <row r="3479" spans="1:3">
      <c r="A3479" s="68">
        <v>37492</v>
      </c>
      <c r="B3479" s="6">
        <v>2.9861111111111099E-2</v>
      </c>
      <c r="C3479" s="5">
        <v>185</v>
      </c>
    </row>
    <row r="3480" spans="1:3">
      <c r="A3480" s="68">
        <v>37492</v>
      </c>
      <c r="B3480" s="6">
        <v>3.05555555555556E-2</v>
      </c>
      <c r="C3480" s="5">
        <v>187</v>
      </c>
    </row>
    <row r="3481" spans="1:3">
      <c r="A3481" s="68">
        <v>37492</v>
      </c>
      <c r="B3481" s="6">
        <v>3.125E-2</v>
      </c>
      <c r="C3481" s="5">
        <v>187</v>
      </c>
    </row>
    <row r="3482" spans="1:3">
      <c r="A3482" s="68">
        <v>37492</v>
      </c>
      <c r="B3482" s="6">
        <v>3.19444444444444E-2</v>
      </c>
      <c r="C3482" s="5">
        <v>190</v>
      </c>
    </row>
    <row r="3483" spans="1:3">
      <c r="A3483" s="68">
        <v>37528</v>
      </c>
      <c r="B3483" s="6">
        <v>0</v>
      </c>
      <c r="C3483" s="5">
        <v>91</v>
      </c>
    </row>
    <row r="3484" spans="1:3">
      <c r="A3484" s="68">
        <v>37529</v>
      </c>
      <c r="B3484" s="6">
        <v>6.9444444444444447E-4</v>
      </c>
      <c r="C3484" s="5">
        <v>133</v>
      </c>
    </row>
    <row r="3485" spans="1:3">
      <c r="A3485" s="68">
        <v>37529</v>
      </c>
      <c r="B3485" s="6">
        <v>1.38888888888889E-3</v>
      </c>
      <c r="C3485" s="5">
        <v>137</v>
      </c>
    </row>
    <row r="3486" spans="1:3">
      <c r="A3486" s="68">
        <v>37529</v>
      </c>
      <c r="B3486" s="6">
        <v>2.0833333333333298E-3</v>
      </c>
      <c r="C3486" s="5">
        <v>139</v>
      </c>
    </row>
    <row r="3487" spans="1:3">
      <c r="A3487" s="68">
        <v>37529</v>
      </c>
      <c r="B3487" s="6">
        <v>2.7777777777777801E-3</v>
      </c>
      <c r="C3487" s="5">
        <v>139</v>
      </c>
    </row>
    <row r="3488" spans="1:3">
      <c r="A3488" s="68">
        <v>37529</v>
      </c>
      <c r="B3488" s="6">
        <v>3.4722222222222199E-3</v>
      </c>
      <c r="C3488" s="5">
        <v>143</v>
      </c>
    </row>
    <row r="3489" spans="1:3">
      <c r="A3489" s="68">
        <v>37529</v>
      </c>
      <c r="B3489" s="6">
        <v>4.1666666666666701E-3</v>
      </c>
      <c r="C3489" s="5">
        <v>143</v>
      </c>
    </row>
    <row r="3490" spans="1:3">
      <c r="A3490" s="68">
        <v>37529</v>
      </c>
      <c r="B3490" s="6">
        <v>4.8611111111111103E-3</v>
      </c>
      <c r="C3490" s="5">
        <v>147</v>
      </c>
    </row>
    <row r="3491" spans="1:3">
      <c r="A3491" s="68">
        <v>37529</v>
      </c>
      <c r="B3491" s="6">
        <v>5.5555555555555601E-3</v>
      </c>
      <c r="C3491" s="5">
        <v>146</v>
      </c>
    </row>
    <row r="3492" spans="1:3">
      <c r="A3492" s="68">
        <v>37529</v>
      </c>
      <c r="B3492" s="6">
        <v>6.2500000000000003E-3</v>
      </c>
      <c r="C3492" s="5">
        <v>147</v>
      </c>
    </row>
    <row r="3493" spans="1:3">
      <c r="A3493" s="68">
        <v>37529</v>
      </c>
      <c r="B3493" s="6">
        <v>6.9444444444444397E-3</v>
      </c>
      <c r="C3493" s="5">
        <v>144</v>
      </c>
    </row>
    <row r="3494" spans="1:3">
      <c r="A3494" s="68">
        <v>37529</v>
      </c>
      <c r="B3494" s="6">
        <v>7.6388888888888904E-3</v>
      </c>
      <c r="C3494" s="5">
        <v>145</v>
      </c>
    </row>
    <row r="3495" spans="1:3">
      <c r="A3495" s="68">
        <v>37529</v>
      </c>
      <c r="B3495" s="6">
        <v>8.3333333333333297E-3</v>
      </c>
      <c r="C3495" s="5">
        <v>144</v>
      </c>
    </row>
    <row r="3496" spans="1:3">
      <c r="A3496" s="68">
        <v>37529</v>
      </c>
      <c r="B3496" s="6">
        <v>9.0277777777777804E-3</v>
      </c>
      <c r="C3496" s="5">
        <v>144</v>
      </c>
    </row>
    <row r="3497" spans="1:3">
      <c r="A3497" s="68">
        <v>37529</v>
      </c>
      <c r="B3497" s="6">
        <v>9.7222222222222206E-3</v>
      </c>
      <c r="C3497" s="5">
        <v>142</v>
      </c>
    </row>
    <row r="3498" spans="1:3">
      <c r="A3498" s="68">
        <v>37529</v>
      </c>
      <c r="B3498" s="6">
        <v>1.0416666666666701E-2</v>
      </c>
      <c r="C3498" s="5">
        <v>144</v>
      </c>
    </row>
    <row r="3499" spans="1:3">
      <c r="A3499" s="68">
        <v>37529</v>
      </c>
      <c r="B3499" s="6">
        <v>1.1111111111111099E-2</v>
      </c>
      <c r="C3499" s="5">
        <v>147</v>
      </c>
    </row>
    <row r="3500" spans="1:3">
      <c r="A3500" s="68">
        <v>37529</v>
      </c>
      <c r="B3500" s="6">
        <v>1.18055555555556E-2</v>
      </c>
      <c r="C3500" s="5">
        <v>143</v>
      </c>
    </row>
    <row r="3501" spans="1:3">
      <c r="A3501" s="68">
        <v>37529</v>
      </c>
      <c r="B3501" s="6">
        <v>1.2500000000000001E-2</v>
      </c>
      <c r="C3501" s="5">
        <v>148</v>
      </c>
    </row>
    <row r="3502" spans="1:3">
      <c r="A3502" s="68">
        <v>37529</v>
      </c>
      <c r="B3502" s="6">
        <v>1.3194444444444399E-2</v>
      </c>
      <c r="C3502" s="5">
        <v>145</v>
      </c>
    </row>
    <row r="3503" spans="1:3">
      <c r="A3503" s="68">
        <v>37529</v>
      </c>
      <c r="B3503" s="6">
        <v>1.38888888888889E-2</v>
      </c>
      <c r="C3503" s="5">
        <v>143</v>
      </c>
    </row>
    <row r="3504" spans="1:3">
      <c r="A3504" s="68">
        <v>37529</v>
      </c>
      <c r="B3504" s="6">
        <v>1.4583333333333301E-2</v>
      </c>
      <c r="C3504" s="5">
        <v>145</v>
      </c>
    </row>
    <row r="3505" spans="1:3">
      <c r="A3505" s="68">
        <v>37529</v>
      </c>
      <c r="B3505" s="6">
        <v>1.52777777777778E-2</v>
      </c>
      <c r="C3505" s="5">
        <v>146</v>
      </c>
    </row>
    <row r="3506" spans="1:3">
      <c r="A3506" s="68">
        <v>37529</v>
      </c>
      <c r="B3506" s="6">
        <v>1.59722222222222E-2</v>
      </c>
      <c r="C3506" s="5">
        <v>147</v>
      </c>
    </row>
    <row r="3507" spans="1:3">
      <c r="A3507" s="68">
        <v>37529</v>
      </c>
      <c r="B3507" s="6">
        <v>1.6666666666666701E-2</v>
      </c>
      <c r="C3507" s="5">
        <v>146</v>
      </c>
    </row>
    <row r="3508" spans="1:3">
      <c r="A3508" s="68">
        <v>37529</v>
      </c>
      <c r="B3508" s="6">
        <v>1.7361111111111101E-2</v>
      </c>
      <c r="C3508" s="5">
        <v>142</v>
      </c>
    </row>
    <row r="3509" spans="1:3">
      <c r="A3509" s="68">
        <v>37529</v>
      </c>
      <c r="B3509" s="6">
        <v>1.8055555555555599E-2</v>
      </c>
      <c r="C3509" s="5">
        <v>147</v>
      </c>
    </row>
    <row r="3510" spans="1:3">
      <c r="A3510" s="68">
        <v>37529</v>
      </c>
      <c r="B3510" s="6">
        <v>1.8749999999999999E-2</v>
      </c>
      <c r="C3510" s="5">
        <v>145</v>
      </c>
    </row>
    <row r="3511" spans="1:3">
      <c r="A3511" s="68">
        <v>37529</v>
      </c>
      <c r="B3511" s="6">
        <v>1.94444444444444E-2</v>
      </c>
      <c r="C3511" s="5">
        <v>146</v>
      </c>
    </row>
    <row r="3512" spans="1:3">
      <c r="A3512" s="68">
        <v>37529</v>
      </c>
      <c r="B3512" s="6">
        <v>2.0138888888888901E-2</v>
      </c>
      <c r="C3512" s="5">
        <v>146</v>
      </c>
    </row>
    <row r="3513" spans="1:3">
      <c r="A3513" s="68">
        <v>37529</v>
      </c>
      <c r="B3513" s="6">
        <v>2.0833333333333301E-2</v>
      </c>
      <c r="C3513" s="5">
        <v>150</v>
      </c>
    </row>
    <row r="3514" spans="1:3">
      <c r="A3514" s="68">
        <v>37529</v>
      </c>
      <c r="B3514" s="6">
        <v>2.1527777777777798E-2</v>
      </c>
      <c r="C3514" s="5">
        <v>146</v>
      </c>
    </row>
    <row r="3515" spans="1:3">
      <c r="A3515" s="68">
        <v>37529</v>
      </c>
      <c r="B3515" s="6">
        <v>2.2222222222222199E-2</v>
      </c>
      <c r="C3515" s="5">
        <v>147</v>
      </c>
    </row>
    <row r="3516" spans="1:3">
      <c r="A3516" s="68">
        <v>37529</v>
      </c>
      <c r="B3516" s="6">
        <v>2.29166666666667E-2</v>
      </c>
      <c r="C3516" s="5">
        <v>148</v>
      </c>
    </row>
    <row r="3517" spans="1:3">
      <c r="A3517" s="68">
        <v>37529</v>
      </c>
      <c r="B3517" s="6">
        <v>2.36111111111111E-2</v>
      </c>
      <c r="C3517" s="5">
        <v>148</v>
      </c>
    </row>
    <row r="3518" spans="1:3">
      <c r="A3518" s="68">
        <v>37529</v>
      </c>
      <c r="B3518" s="6">
        <v>2.4305555555555601E-2</v>
      </c>
      <c r="C3518" s="5">
        <v>144</v>
      </c>
    </row>
    <row r="3519" spans="1:3">
      <c r="A3519" s="68">
        <v>37529</v>
      </c>
      <c r="B3519" s="6">
        <v>2.5000000000000001E-2</v>
      </c>
      <c r="C3519" s="5">
        <v>148</v>
      </c>
    </row>
    <row r="3520" spans="1:3">
      <c r="A3520" s="68">
        <v>37529</v>
      </c>
      <c r="B3520" s="6">
        <v>2.5694444444444402E-2</v>
      </c>
      <c r="C3520" s="5">
        <v>146</v>
      </c>
    </row>
    <row r="3521" spans="1:3">
      <c r="A3521" s="68">
        <v>37529</v>
      </c>
      <c r="B3521" s="6">
        <v>2.6388888888888899E-2</v>
      </c>
      <c r="C3521" s="5">
        <v>140</v>
      </c>
    </row>
    <row r="3522" spans="1:3">
      <c r="A3522" s="68">
        <v>37529</v>
      </c>
      <c r="B3522" s="6">
        <v>2.70833333333333E-2</v>
      </c>
      <c r="C3522" s="5">
        <v>146</v>
      </c>
    </row>
    <row r="3523" spans="1:3">
      <c r="A3523" s="68">
        <v>37529</v>
      </c>
      <c r="B3523" s="6">
        <v>2.7777777777777801E-2</v>
      </c>
      <c r="C3523" s="5">
        <v>147</v>
      </c>
    </row>
    <row r="3524" spans="1:3">
      <c r="A3524" s="68">
        <v>37529</v>
      </c>
      <c r="B3524" s="6">
        <v>2.8472222222222201E-2</v>
      </c>
      <c r="C3524" s="5">
        <v>145</v>
      </c>
    </row>
    <row r="3525" spans="1:3">
      <c r="A3525" s="68">
        <v>37529</v>
      </c>
      <c r="B3525" s="6">
        <v>2.9166666666666698E-2</v>
      </c>
      <c r="C3525" s="5">
        <v>144</v>
      </c>
    </row>
    <row r="3526" spans="1:3">
      <c r="A3526" s="68">
        <v>37529</v>
      </c>
      <c r="B3526" s="6">
        <v>2.9861111111111099E-2</v>
      </c>
      <c r="C3526" s="5">
        <v>147</v>
      </c>
    </row>
    <row r="3527" spans="1:3">
      <c r="A3527" s="68">
        <v>37529</v>
      </c>
      <c r="B3527" s="6">
        <v>3.05555555555556E-2</v>
      </c>
      <c r="C3527" s="5">
        <v>144</v>
      </c>
    </row>
    <row r="3528" spans="1:3">
      <c r="A3528" s="68">
        <v>37529</v>
      </c>
      <c r="B3528" s="6">
        <v>3.125E-2</v>
      </c>
      <c r="C3528" s="5">
        <v>142</v>
      </c>
    </row>
    <row r="3529" spans="1:3">
      <c r="A3529" s="68">
        <v>37529</v>
      </c>
      <c r="B3529" s="6">
        <v>3.19444444444444E-2</v>
      </c>
      <c r="C3529" s="5">
        <v>145</v>
      </c>
    </row>
    <row r="3530" spans="1:3">
      <c r="A3530" s="68">
        <v>37529</v>
      </c>
      <c r="B3530" s="6">
        <v>3.2638888888888801E-2</v>
      </c>
      <c r="C3530" s="5">
        <v>143</v>
      </c>
    </row>
    <row r="3531" spans="1:3">
      <c r="A3531" s="68">
        <v>37529</v>
      </c>
      <c r="B3531" s="6">
        <v>3.3333333333333201E-2</v>
      </c>
      <c r="C3531" s="5">
        <v>146</v>
      </c>
    </row>
    <row r="3532" spans="1:3">
      <c r="A3532" s="68">
        <v>37529</v>
      </c>
      <c r="B3532" s="6">
        <v>3.4027777777777601E-2</v>
      </c>
      <c r="C3532" s="5">
        <v>142</v>
      </c>
    </row>
    <row r="3533" spans="1:3">
      <c r="A3533" s="68">
        <v>37529</v>
      </c>
      <c r="B3533" s="6">
        <v>3.4722222222222002E-2</v>
      </c>
      <c r="C3533" s="5">
        <v>142</v>
      </c>
    </row>
    <row r="3534" spans="1:3">
      <c r="A3534" s="68">
        <v>37529</v>
      </c>
      <c r="B3534" s="6">
        <v>3.5416666666666402E-2</v>
      </c>
      <c r="C3534" s="5">
        <v>136</v>
      </c>
    </row>
    <row r="3535" spans="1:3">
      <c r="A3535" s="68">
        <v>37529</v>
      </c>
      <c r="B3535" s="6">
        <v>3.6111111111110802E-2</v>
      </c>
      <c r="C3535" s="5">
        <v>144</v>
      </c>
    </row>
    <row r="3536" spans="1:3">
      <c r="A3536" s="68">
        <v>37529</v>
      </c>
      <c r="B3536" s="6">
        <v>3.6805555555555203E-2</v>
      </c>
      <c r="C3536" s="5">
        <v>144</v>
      </c>
    </row>
    <row r="3537" spans="1:3">
      <c r="A3537" s="68">
        <v>37529</v>
      </c>
      <c r="B3537" s="6">
        <v>3.7499999999999603E-2</v>
      </c>
      <c r="C3537" s="5">
        <v>145</v>
      </c>
    </row>
    <row r="3538" spans="1:3">
      <c r="A3538" s="68">
        <v>37529</v>
      </c>
      <c r="B3538" s="6">
        <v>3.8194444444444003E-2</v>
      </c>
      <c r="C3538" s="5">
        <v>146</v>
      </c>
    </row>
    <row r="3539" spans="1:3">
      <c r="A3539" s="68">
        <v>37529</v>
      </c>
      <c r="B3539" s="6">
        <v>3.8888888888888397E-2</v>
      </c>
      <c r="C3539" s="5">
        <v>144</v>
      </c>
    </row>
    <row r="3540" spans="1:3">
      <c r="A3540" s="68">
        <v>37529</v>
      </c>
      <c r="B3540" s="6">
        <v>3.9583333333332797E-2</v>
      </c>
      <c r="C3540" s="5">
        <v>142</v>
      </c>
    </row>
    <row r="3541" spans="1:3">
      <c r="A3541" s="68">
        <v>37529</v>
      </c>
      <c r="B3541" s="6">
        <v>4.0277777777777198E-2</v>
      </c>
      <c r="C3541" s="5">
        <v>146</v>
      </c>
    </row>
    <row r="3542" spans="1:3">
      <c r="A3542" s="68">
        <v>37529</v>
      </c>
      <c r="B3542" s="6">
        <v>4.0972222222221598E-2</v>
      </c>
      <c r="C3542" s="5">
        <v>147</v>
      </c>
    </row>
    <row r="3543" spans="1:3">
      <c r="A3543" s="68">
        <v>37529</v>
      </c>
      <c r="B3543" s="6">
        <v>4.1666666666665998E-2</v>
      </c>
      <c r="C3543" s="5">
        <v>149</v>
      </c>
    </row>
    <row r="3544" spans="1:3">
      <c r="A3544" s="68">
        <v>37529</v>
      </c>
      <c r="B3544" s="6">
        <v>4.2361111111110399E-2</v>
      </c>
      <c r="C3544" s="5">
        <v>144</v>
      </c>
    </row>
    <row r="3545" spans="1:3">
      <c r="A3545" s="68">
        <v>37529</v>
      </c>
      <c r="B3545" s="6">
        <v>4.3055555555554799E-2</v>
      </c>
      <c r="C3545" s="5">
        <v>148</v>
      </c>
    </row>
    <row r="3546" spans="1:3">
      <c r="A3546" s="68">
        <v>37529</v>
      </c>
      <c r="B3546" s="6">
        <v>4.3749999999999199E-2</v>
      </c>
      <c r="C3546" s="5">
        <v>148</v>
      </c>
    </row>
    <row r="3547" spans="1:3">
      <c r="A3547" s="68">
        <v>37529</v>
      </c>
      <c r="B3547" s="6">
        <v>4.44444444444436E-2</v>
      </c>
      <c r="C3547" s="5">
        <v>148</v>
      </c>
    </row>
    <row r="3548" spans="1:3">
      <c r="A3548" s="68">
        <v>37529</v>
      </c>
      <c r="B3548" s="6">
        <v>4.5138888888888E-2</v>
      </c>
      <c r="C3548" s="5">
        <v>146</v>
      </c>
    </row>
    <row r="3549" spans="1:3">
      <c r="A3549" s="68">
        <v>37529</v>
      </c>
      <c r="B3549" s="6">
        <v>4.58333333333324E-2</v>
      </c>
      <c r="C3549" s="5">
        <v>147</v>
      </c>
    </row>
    <row r="3550" spans="1:3">
      <c r="A3550" s="68">
        <v>37529</v>
      </c>
      <c r="B3550" s="6">
        <v>4.6527777777776801E-2</v>
      </c>
      <c r="C3550" s="5">
        <v>146</v>
      </c>
    </row>
    <row r="3551" spans="1:3">
      <c r="A3551" s="68">
        <v>37529</v>
      </c>
      <c r="B3551" s="6">
        <v>4.7222222222221201E-2</v>
      </c>
      <c r="C3551" s="5">
        <v>144</v>
      </c>
    </row>
    <row r="3552" spans="1:3">
      <c r="A3552" s="68">
        <v>37529</v>
      </c>
      <c r="B3552" s="6">
        <v>4.7916666666665601E-2</v>
      </c>
      <c r="C3552" s="5">
        <v>143</v>
      </c>
    </row>
    <row r="3553" spans="1:3">
      <c r="A3553" s="68">
        <v>37529</v>
      </c>
      <c r="B3553" s="6">
        <v>4.8611111111110002E-2</v>
      </c>
      <c r="C3553" s="5">
        <v>145</v>
      </c>
    </row>
    <row r="3554" spans="1:3">
      <c r="A3554" s="68">
        <v>37529</v>
      </c>
      <c r="B3554" s="6">
        <v>4.9305555555554402E-2</v>
      </c>
      <c r="C3554" s="5">
        <v>147</v>
      </c>
    </row>
    <row r="3555" spans="1:3">
      <c r="A3555" s="68">
        <v>37529</v>
      </c>
      <c r="B3555" s="6">
        <v>4.9999999999998802E-2</v>
      </c>
      <c r="C3555" s="5">
        <v>146</v>
      </c>
    </row>
    <row r="3556" spans="1:3">
      <c r="A3556" s="68">
        <v>37529</v>
      </c>
      <c r="B3556" s="6">
        <v>5.0694444444443203E-2</v>
      </c>
      <c r="C3556" s="5">
        <v>146</v>
      </c>
    </row>
    <row r="3557" spans="1:3">
      <c r="A3557" s="68">
        <v>37529</v>
      </c>
      <c r="B3557" s="6">
        <v>5.1388888888887603E-2</v>
      </c>
      <c r="C3557" s="5">
        <v>146</v>
      </c>
    </row>
    <row r="3558" spans="1:3">
      <c r="A3558" s="68">
        <v>37529</v>
      </c>
      <c r="B3558" s="6">
        <v>5.2083333333332003E-2</v>
      </c>
      <c r="C3558" s="5">
        <v>146</v>
      </c>
    </row>
    <row r="3559" spans="1:3">
      <c r="A3559" s="68">
        <v>37529</v>
      </c>
      <c r="B3559" s="6">
        <v>5.2777777777776397E-2</v>
      </c>
      <c r="C3559" s="5">
        <v>147</v>
      </c>
    </row>
    <row r="3560" spans="1:3">
      <c r="A3560" s="68">
        <v>37529</v>
      </c>
      <c r="B3560" s="6">
        <v>5.3472222222220797E-2</v>
      </c>
      <c r="C3560" s="5">
        <v>147</v>
      </c>
    </row>
    <row r="3561" spans="1:3">
      <c r="A3561" s="68">
        <v>37529</v>
      </c>
      <c r="B3561" s="6">
        <v>5.4166666666665197E-2</v>
      </c>
      <c r="C3561" s="5">
        <v>150</v>
      </c>
    </row>
    <row r="3562" spans="1:3">
      <c r="A3562" s="68">
        <v>37529</v>
      </c>
      <c r="B3562" s="6">
        <v>5.4861111111109598E-2</v>
      </c>
      <c r="C3562" s="5">
        <v>149</v>
      </c>
    </row>
    <row r="3563" spans="1:3">
      <c r="A3563" s="68">
        <v>37529</v>
      </c>
      <c r="B3563" s="6">
        <v>5.5555555555553998E-2</v>
      </c>
      <c r="C3563" s="5">
        <v>145</v>
      </c>
    </row>
    <row r="3564" spans="1:3">
      <c r="A3564" s="68">
        <v>37529</v>
      </c>
      <c r="B3564" s="6">
        <v>5.6249999999998399E-2</v>
      </c>
      <c r="C3564" s="5">
        <v>147</v>
      </c>
    </row>
    <row r="3565" spans="1:3">
      <c r="A3565" s="68">
        <v>37529</v>
      </c>
      <c r="B3565" s="6">
        <v>5.6944444444442799E-2</v>
      </c>
      <c r="C3565" s="5">
        <v>150</v>
      </c>
    </row>
    <row r="3566" spans="1:3">
      <c r="A3566" s="68">
        <v>37529</v>
      </c>
      <c r="B3566" s="6">
        <v>5.7638888888887199E-2</v>
      </c>
      <c r="C3566" s="5">
        <v>147</v>
      </c>
    </row>
    <row r="3567" spans="1:3">
      <c r="A3567" s="68">
        <v>37529</v>
      </c>
      <c r="B3567" s="6">
        <v>5.83333333333316E-2</v>
      </c>
      <c r="C3567" s="5">
        <v>147</v>
      </c>
    </row>
    <row r="3568" spans="1:3">
      <c r="A3568" s="68">
        <v>37529</v>
      </c>
      <c r="B3568" s="6">
        <v>5.9027777777776E-2</v>
      </c>
      <c r="C3568" s="5">
        <v>149</v>
      </c>
    </row>
    <row r="3569" spans="1:3">
      <c r="A3569" s="68">
        <v>37529</v>
      </c>
      <c r="B3569" s="6">
        <v>5.97222222222204E-2</v>
      </c>
      <c r="C3569" s="5">
        <v>147</v>
      </c>
    </row>
    <row r="3570" spans="1:3">
      <c r="A3570" s="68">
        <v>37529</v>
      </c>
      <c r="B3570" s="6">
        <v>6.0416666666664801E-2</v>
      </c>
      <c r="C3570" s="5">
        <v>150</v>
      </c>
    </row>
    <row r="3571" spans="1:3">
      <c r="A3571" s="68">
        <v>37529</v>
      </c>
      <c r="B3571" s="6">
        <v>6.1111111111109201E-2</v>
      </c>
      <c r="C3571" s="5">
        <v>147</v>
      </c>
    </row>
    <row r="3572" spans="1:3">
      <c r="A3572" s="68">
        <v>37529</v>
      </c>
      <c r="B3572" s="6">
        <v>6.1805555555553601E-2</v>
      </c>
      <c r="C3572" s="5">
        <v>149</v>
      </c>
    </row>
    <row r="3573" spans="1:3">
      <c r="A3573" s="68">
        <v>37529</v>
      </c>
      <c r="B3573" s="6">
        <v>6.2499999999998002E-2</v>
      </c>
      <c r="C3573" s="5">
        <v>149</v>
      </c>
    </row>
    <row r="3574" spans="1:3">
      <c r="A3574" s="68">
        <v>37529</v>
      </c>
      <c r="B3574" s="6">
        <v>6.3194444444442402E-2</v>
      </c>
      <c r="C3574" s="5">
        <v>148</v>
      </c>
    </row>
    <row r="3575" spans="1:3">
      <c r="A3575" s="68">
        <v>37529</v>
      </c>
      <c r="B3575" s="6">
        <v>6.3888888888886802E-2</v>
      </c>
      <c r="C3575" s="5">
        <v>147</v>
      </c>
    </row>
    <row r="3576" spans="1:3">
      <c r="A3576" s="68">
        <v>37529</v>
      </c>
      <c r="B3576" s="6">
        <v>6.4583333333331203E-2</v>
      </c>
      <c r="C3576" s="5">
        <v>148</v>
      </c>
    </row>
    <row r="3577" spans="1:3">
      <c r="A3577" s="68">
        <v>37529</v>
      </c>
      <c r="B3577" s="6">
        <v>6.5277777777775603E-2</v>
      </c>
      <c r="C3577" s="5">
        <v>148</v>
      </c>
    </row>
    <row r="3578" spans="1:3">
      <c r="A3578" s="68">
        <v>37529</v>
      </c>
      <c r="B3578" s="6">
        <v>6.5972222222220003E-2</v>
      </c>
      <c r="C3578" s="5">
        <v>148</v>
      </c>
    </row>
    <row r="3579" spans="1:3">
      <c r="A3579" s="68">
        <v>37529</v>
      </c>
      <c r="B3579" s="6">
        <v>6.6666666666664404E-2</v>
      </c>
      <c r="C3579" s="5">
        <v>148</v>
      </c>
    </row>
    <row r="3580" spans="1:3">
      <c r="A3580" s="68">
        <v>37529</v>
      </c>
      <c r="B3580" s="6">
        <v>6.7361111111108804E-2</v>
      </c>
      <c r="C3580" s="5">
        <v>147</v>
      </c>
    </row>
    <row r="3581" spans="1:3">
      <c r="A3581" s="68">
        <v>37529</v>
      </c>
      <c r="B3581" s="6">
        <v>6.8055555555553204E-2</v>
      </c>
      <c r="C3581" s="5">
        <v>147</v>
      </c>
    </row>
    <row r="3582" spans="1:3">
      <c r="A3582" s="68">
        <v>37529</v>
      </c>
      <c r="B3582" s="6">
        <v>6.8749999999997605E-2</v>
      </c>
      <c r="C3582" s="5">
        <v>147</v>
      </c>
    </row>
    <row r="3583" spans="1:3">
      <c r="A3583" s="68">
        <v>37529</v>
      </c>
      <c r="B3583" s="6">
        <v>6.9444444444442005E-2</v>
      </c>
      <c r="C3583" s="5">
        <v>149</v>
      </c>
    </row>
    <row r="3584" spans="1:3">
      <c r="A3584" s="68">
        <v>37529</v>
      </c>
      <c r="B3584" s="6">
        <v>7.0138888888886405E-2</v>
      </c>
      <c r="C3584" s="5">
        <v>150</v>
      </c>
    </row>
    <row r="3585" spans="1:3">
      <c r="A3585" s="68">
        <v>37529</v>
      </c>
      <c r="B3585" s="6">
        <v>7.0833333333330806E-2</v>
      </c>
      <c r="C3585" s="5">
        <v>147</v>
      </c>
    </row>
    <row r="3586" spans="1:3">
      <c r="A3586" s="68">
        <v>37529</v>
      </c>
      <c r="B3586" s="6">
        <v>7.1527777777775206E-2</v>
      </c>
      <c r="C3586" s="5">
        <v>145</v>
      </c>
    </row>
    <row r="3587" spans="1:3">
      <c r="A3587" s="68">
        <v>37529</v>
      </c>
      <c r="B3587" s="6">
        <v>7.2222222222219606E-2</v>
      </c>
      <c r="C3587" s="5">
        <v>148</v>
      </c>
    </row>
    <row r="3588" spans="1:3">
      <c r="A3588" s="68">
        <v>37529</v>
      </c>
      <c r="B3588" s="6">
        <v>7.2916666666664007E-2</v>
      </c>
      <c r="C3588" s="5">
        <v>147</v>
      </c>
    </row>
    <row r="3589" spans="1:3">
      <c r="A3589" s="68">
        <v>37529</v>
      </c>
      <c r="B3589" s="6">
        <v>7.3611111111108393E-2</v>
      </c>
      <c r="C3589" s="5">
        <v>148</v>
      </c>
    </row>
    <row r="3590" spans="1:3">
      <c r="A3590" s="68">
        <v>37529</v>
      </c>
      <c r="B3590" s="6">
        <v>7.4305555555552794E-2</v>
      </c>
      <c r="C3590" s="5">
        <v>154</v>
      </c>
    </row>
    <row r="3591" spans="1:3">
      <c r="A3591" s="68">
        <v>37529</v>
      </c>
      <c r="B3591" s="6">
        <v>7.4999999999997194E-2</v>
      </c>
      <c r="C3591" s="5">
        <v>153</v>
      </c>
    </row>
    <row r="3592" spans="1:3">
      <c r="A3592" s="68">
        <v>37529</v>
      </c>
      <c r="B3592" s="6">
        <v>7.5694444444441594E-2</v>
      </c>
      <c r="C3592" s="5">
        <v>151</v>
      </c>
    </row>
    <row r="3593" spans="1:3">
      <c r="A3593" s="68">
        <v>37540</v>
      </c>
      <c r="B3593" s="6">
        <v>0</v>
      </c>
      <c r="C3593" s="5">
        <v>78</v>
      </c>
    </row>
    <row r="3594" spans="1:3">
      <c r="A3594" s="68">
        <v>37540</v>
      </c>
      <c r="B3594" s="6">
        <v>6.9444444444444447E-4</v>
      </c>
      <c r="C3594" s="5">
        <v>142</v>
      </c>
    </row>
    <row r="3595" spans="1:3">
      <c r="A3595" s="68">
        <v>37540</v>
      </c>
      <c r="B3595" s="6">
        <v>1.38888888888889E-3</v>
      </c>
      <c r="C3595" s="5">
        <v>145</v>
      </c>
    </row>
    <row r="3596" spans="1:3">
      <c r="A3596" s="68">
        <v>37540</v>
      </c>
      <c r="B3596" s="6">
        <v>2.0833333333333298E-3</v>
      </c>
      <c r="C3596" s="5">
        <v>149</v>
      </c>
    </row>
    <row r="3597" spans="1:3">
      <c r="A3597" s="68">
        <v>37540</v>
      </c>
      <c r="B3597" s="6">
        <v>2.7777777777777801E-3</v>
      </c>
      <c r="C3597" s="5">
        <v>148</v>
      </c>
    </row>
    <row r="3598" spans="1:3">
      <c r="A3598" s="68">
        <v>37540</v>
      </c>
      <c r="B3598" s="6">
        <v>3.4722222222222199E-3</v>
      </c>
      <c r="C3598" s="5">
        <v>147</v>
      </c>
    </row>
    <row r="3599" spans="1:3">
      <c r="A3599" s="68">
        <v>37540</v>
      </c>
      <c r="B3599" s="6">
        <v>4.1666666666666701E-3</v>
      </c>
      <c r="C3599" s="5">
        <v>144</v>
      </c>
    </row>
    <row r="3600" spans="1:3">
      <c r="A3600" s="68">
        <v>37540</v>
      </c>
      <c r="B3600" s="6">
        <v>4.8611111111111103E-3</v>
      </c>
      <c r="C3600" s="5">
        <v>147</v>
      </c>
    </row>
    <row r="3601" spans="1:3">
      <c r="A3601" s="68">
        <v>37540</v>
      </c>
      <c r="B3601" s="6">
        <v>5.5555555555555601E-3</v>
      </c>
      <c r="C3601" s="5">
        <v>153</v>
      </c>
    </row>
    <row r="3602" spans="1:3">
      <c r="A3602" s="68">
        <v>37540</v>
      </c>
      <c r="B3602" s="6">
        <v>6.2500000000000003E-3</v>
      </c>
      <c r="C3602" s="5">
        <v>151</v>
      </c>
    </row>
    <row r="3603" spans="1:3">
      <c r="A3603" s="68">
        <v>37540</v>
      </c>
      <c r="B3603" s="6">
        <v>6.9444444444444397E-3</v>
      </c>
      <c r="C3603" s="5">
        <v>149</v>
      </c>
    </row>
    <row r="3604" spans="1:3">
      <c r="A3604" s="68">
        <v>37540</v>
      </c>
      <c r="B3604" s="6">
        <v>7.6388888888888904E-3</v>
      </c>
      <c r="C3604" s="5">
        <v>150</v>
      </c>
    </row>
    <row r="3605" spans="1:3">
      <c r="A3605" s="68">
        <v>37540</v>
      </c>
      <c r="B3605" s="6">
        <v>8.3333333333333297E-3</v>
      </c>
      <c r="C3605" s="5">
        <v>152</v>
      </c>
    </row>
    <row r="3606" spans="1:3">
      <c r="A3606" s="68">
        <v>37540</v>
      </c>
      <c r="B3606" s="6">
        <v>9.0277777777777804E-3</v>
      </c>
      <c r="C3606" s="5">
        <v>152</v>
      </c>
    </row>
    <row r="3607" spans="1:3">
      <c r="A3607" s="68">
        <v>37540</v>
      </c>
      <c r="B3607" s="6">
        <v>9.7222222222222206E-3</v>
      </c>
      <c r="C3607" s="5">
        <v>149</v>
      </c>
    </row>
    <row r="3608" spans="1:3">
      <c r="A3608" s="68">
        <v>37540</v>
      </c>
      <c r="B3608" s="6">
        <v>1.0416666666666701E-2</v>
      </c>
      <c r="C3608" s="5">
        <v>152</v>
      </c>
    </row>
    <row r="3609" spans="1:3">
      <c r="A3609" s="68">
        <v>37540</v>
      </c>
      <c r="B3609" s="6">
        <v>1.1111111111111099E-2</v>
      </c>
      <c r="C3609" s="5">
        <v>153</v>
      </c>
    </row>
    <row r="3610" spans="1:3">
      <c r="A3610" s="68">
        <v>37540</v>
      </c>
      <c r="B3610" s="6">
        <v>1.18055555555556E-2</v>
      </c>
      <c r="C3610" s="5">
        <v>152</v>
      </c>
    </row>
    <row r="3611" spans="1:3">
      <c r="A3611" s="68">
        <v>37540</v>
      </c>
      <c r="B3611" s="6">
        <v>1.2500000000000001E-2</v>
      </c>
      <c r="C3611" s="5">
        <v>154</v>
      </c>
    </row>
    <row r="3612" spans="1:3">
      <c r="A3612" s="68">
        <v>37540</v>
      </c>
      <c r="B3612" s="6">
        <v>1.3194444444444399E-2</v>
      </c>
      <c r="C3612" s="5">
        <v>152</v>
      </c>
    </row>
    <row r="3613" spans="1:3">
      <c r="A3613" s="68">
        <v>37540</v>
      </c>
      <c r="B3613" s="6">
        <v>1.38888888888889E-2</v>
      </c>
      <c r="C3613" s="5">
        <v>152</v>
      </c>
    </row>
    <row r="3614" spans="1:3">
      <c r="A3614" s="68">
        <v>37540</v>
      </c>
      <c r="B3614" s="6">
        <v>1.4583333333333301E-2</v>
      </c>
      <c r="C3614" s="5">
        <v>153</v>
      </c>
    </row>
    <row r="3615" spans="1:3">
      <c r="A3615" s="68">
        <v>37540</v>
      </c>
      <c r="B3615" s="6">
        <v>1.52777777777778E-2</v>
      </c>
      <c r="C3615" s="5">
        <v>153</v>
      </c>
    </row>
    <row r="3616" spans="1:3">
      <c r="A3616" s="68">
        <v>37540</v>
      </c>
      <c r="B3616" s="6">
        <v>1.59722222222222E-2</v>
      </c>
      <c r="C3616" s="5">
        <v>153</v>
      </c>
    </row>
    <row r="3617" spans="1:3">
      <c r="A3617" s="68">
        <v>37540</v>
      </c>
      <c r="B3617" s="6">
        <v>1.6666666666666701E-2</v>
      </c>
      <c r="C3617" s="5">
        <v>153</v>
      </c>
    </row>
    <row r="3618" spans="1:3">
      <c r="A3618" s="68">
        <v>37540</v>
      </c>
      <c r="B3618" s="6">
        <v>1.7361111111111101E-2</v>
      </c>
      <c r="C3618" s="5">
        <v>155</v>
      </c>
    </row>
    <row r="3619" spans="1:3">
      <c r="A3619" s="68">
        <v>37540</v>
      </c>
      <c r="B3619" s="6">
        <v>1.8055555555555599E-2</v>
      </c>
      <c r="C3619" s="5">
        <v>153</v>
      </c>
    </row>
    <row r="3620" spans="1:3">
      <c r="A3620" s="68">
        <v>37540</v>
      </c>
      <c r="B3620" s="6">
        <v>1.8749999999999999E-2</v>
      </c>
      <c r="C3620" s="5">
        <v>151</v>
      </c>
    </row>
    <row r="3621" spans="1:3">
      <c r="A3621" s="68">
        <v>37540</v>
      </c>
      <c r="B3621" s="6">
        <v>1.94444444444444E-2</v>
      </c>
      <c r="C3621" s="5">
        <v>153</v>
      </c>
    </row>
    <row r="3622" spans="1:3">
      <c r="A3622" s="68">
        <v>37540</v>
      </c>
      <c r="B3622" s="6">
        <v>2.0138888888888901E-2</v>
      </c>
      <c r="C3622" s="5">
        <v>151</v>
      </c>
    </row>
    <row r="3623" spans="1:3">
      <c r="A3623" s="68">
        <v>37540</v>
      </c>
      <c r="B3623" s="6">
        <v>2.0833333333333301E-2</v>
      </c>
      <c r="C3623" s="5">
        <v>153</v>
      </c>
    </row>
    <row r="3624" spans="1:3">
      <c r="A3624" s="68">
        <v>37540</v>
      </c>
      <c r="B3624" s="6">
        <v>2.1527777777777798E-2</v>
      </c>
      <c r="C3624" s="5">
        <v>152</v>
      </c>
    </row>
    <row r="3625" spans="1:3">
      <c r="A3625" s="68">
        <v>37540</v>
      </c>
      <c r="B3625" s="6">
        <v>2.2222222222222199E-2</v>
      </c>
      <c r="C3625" s="5">
        <v>151</v>
      </c>
    </row>
    <row r="3626" spans="1:3">
      <c r="A3626" s="68">
        <v>37540</v>
      </c>
      <c r="B3626" s="6">
        <v>2.29166666666667E-2</v>
      </c>
      <c r="C3626" s="5">
        <v>153</v>
      </c>
    </row>
    <row r="3627" spans="1:3">
      <c r="A3627" s="68">
        <v>37540</v>
      </c>
      <c r="B3627" s="6">
        <v>2.36111111111111E-2</v>
      </c>
      <c r="C3627" s="5">
        <v>154</v>
      </c>
    </row>
    <row r="3628" spans="1:3">
      <c r="A3628" s="68">
        <v>37540</v>
      </c>
      <c r="B3628" s="6">
        <v>2.4305555555555601E-2</v>
      </c>
      <c r="C3628" s="5">
        <v>152</v>
      </c>
    </row>
    <row r="3629" spans="1:3">
      <c r="A3629" s="68">
        <v>37540</v>
      </c>
      <c r="B3629" s="6">
        <v>2.5000000000000001E-2</v>
      </c>
      <c r="C3629" s="5">
        <v>153</v>
      </c>
    </row>
    <row r="3630" spans="1:3">
      <c r="A3630" s="68">
        <v>37540</v>
      </c>
      <c r="B3630" s="6">
        <v>2.5694444444444402E-2</v>
      </c>
      <c r="C3630" s="5">
        <v>151</v>
      </c>
    </row>
    <row r="3631" spans="1:3">
      <c r="A3631" s="68">
        <v>37540</v>
      </c>
      <c r="B3631" s="6">
        <v>2.6388888888888899E-2</v>
      </c>
      <c r="C3631" s="5">
        <v>154</v>
      </c>
    </row>
    <row r="3632" spans="1:3">
      <c r="A3632" s="68">
        <v>37540</v>
      </c>
      <c r="B3632" s="6">
        <v>2.70833333333333E-2</v>
      </c>
      <c r="C3632" s="5">
        <v>154</v>
      </c>
    </row>
    <row r="3633" spans="1:3">
      <c r="A3633" s="68">
        <v>37540</v>
      </c>
      <c r="B3633" s="6">
        <v>2.7777777777777801E-2</v>
      </c>
      <c r="C3633" s="5">
        <v>152</v>
      </c>
    </row>
    <row r="3634" spans="1:3">
      <c r="A3634" s="68">
        <v>37540</v>
      </c>
      <c r="B3634" s="6">
        <v>2.8472222222222201E-2</v>
      </c>
      <c r="C3634" s="5">
        <v>153</v>
      </c>
    </row>
    <row r="3635" spans="1:3">
      <c r="A3635" s="68">
        <v>37540</v>
      </c>
      <c r="B3635" s="6">
        <v>2.9166666666666698E-2</v>
      </c>
      <c r="C3635" s="5">
        <v>156</v>
      </c>
    </row>
    <row r="3636" spans="1:3">
      <c r="A3636" s="68">
        <v>37540</v>
      </c>
      <c r="B3636" s="6">
        <v>2.9861111111111099E-2</v>
      </c>
      <c r="C3636" s="5">
        <v>150</v>
      </c>
    </row>
    <row r="3637" spans="1:3">
      <c r="A3637" s="68">
        <v>37540</v>
      </c>
      <c r="B3637" s="6">
        <v>3.05555555555556E-2</v>
      </c>
      <c r="C3637" s="5">
        <v>153</v>
      </c>
    </row>
    <row r="3638" spans="1:3">
      <c r="A3638" s="68">
        <v>37540</v>
      </c>
      <c r="B3638" s="6">
        <v>3.125E-2</v>
      </c>
      <c r="C3638" s="5">
        <v>153</v>
      </c>
    </row>
    <row r="3639" spans="1:3">
      <c r="A3639" s="68">
        <v>37540</v>
      </c>
      <c r="B3639" s="6">
        <v>3.19444444444444E-2</v>
      </c>
      <c r="C3639" s="5">
        <v>152</v>
      </c>
    </row>
    <row r="3640" spans="1:3">
      <c r="A3640" s="68">
        <v>37540</v>
      </c>
      <c r="B3640" s="6">
        <v>3.2638888888888801E-2</v>
      </c>
      <c r="C3640" s="5">
        <v>151</v>
      </c>
    </row>
    <row r="3641" spans="1:3">
      <c r="A3641" s="68">
        <v>37540</v>
      </c>
      <c r="B3641" s="6">
        <v>3.3333333333333201E-2</v>
      </c>
      <c r="C3641" s="5">
        <v>153</v>
      </c>
    </row>
    <row r="3642" spans="1:3">
      <c r="A3642" s="68">
        <v>37540</v>
      </c>
      <c r="B3642" s="6">
        <v>3.4027777777777601E-2</v>
      </c>
      <c r="C3642" s="5">
        <v>151</v>
      </c>
    </row>
    <row r="3643" spans="1:3">
      <c r="A3643" s="68">
        <v>37540</v>
      </c>
      <c r="B3643" s="6">
        <v>3.4722222222222002E-2</v>
      </c>
      <c r="C3643" s="5">
        <v>153</v>
      </c>
    </row>
    <row r="3644" spans="1:3">
      <c r="A3644" s="68">
        <v>37540</v>
      </c>
      <c r="B3644" s="6">
        <v>3.5416666666666402E-2</v>
      </c>
      <c r="C3644" s="5">
        <v>151</v>
      </c>
    </row>
    <row r="3645" spans="1:3">
      <c r="A3645" s="68">
        <v>37540</v>
      </c>
      <c r="B3645" s="6">
        <v>3.6111111111110802E-2</v>
      </c>
      <c r="C3645" s="5">
        <v>157</v>
      </c>
    </row>
    <row r="3646" spans="1:3">
      <c r="A3646" s="68">
        <v>37540</v>
      </c>
      <c r="B3646" s="6">
        <v>3.6805555555555203E-2</v>
      </c>
      <c r="C3646" s="5">
        <v>156</v>
      </c>
    </row>
    <row r="3647" spans="1:3">
      <c r="A3647" s="68">
        <v>37540</v>
      </c>
      <c r="B3647" s="6">
        <v>3.7499999999999603E-2</v>
      </c>
      <c r="C3647" s="5">
        <v>156</v>
      </c>
    </row>
    <row r="3648" spans="1:3">
      <c r="A3648" s="68">
        <v>37540</v>
      </c>
      <c r="B3648" s="6">
        <v>3.8194444444444003E-2</v>
      </c>
      <c r="C3648" s="5">
        <v>154</v>
      </c>
    </row>
    <row r="3649" spans="1:3">
      <c r="A3649" s="68">
        <v>37540</v>
      </c>
      <c r="B3649" s="6">
        <v>3.8888888888888397E-2</v>
      </c>
      <c r="C3649" s="5">
        <v>151</v>
      </c>
    </row>
    <row r="3650" spans="1:3">
      <c r="A3650" s="68">
        <v>37540</v>
      </c>
      <c r="B3650" s="6">
        <v>3.9583333333332797E-2</v>
      </c>
      <c r="C3650" s="5">
        <v>152</v>
      </c>
    </row>
    <row r="3651" spans="1:3">
      <c r="A3651" s="68">
        <v>37540</v>
      </c>
      <c r="B3651" s="6">
        <v>4.0277777777777198E-2</v>
      </c>
      <c r="C3651" s="5">
        <v>149</v>
      </c>
    </row>
    <row r="3652" spans="1:3">
      <c r="A3652" s="68">
        <v>37540</v>
      </c>
      <c r="B3652" s="6">
        <v>4.0972222222221598E-2</v>
      </c>
      <c r="C3652" s="5">
        <v>156</v>
      </c>
    </row>
    <row r="3653" spans="1:3">
      <c r="A3653" s="68">
        <v>37540</v>
      </c>
      <c r="B3653" s="6">
        <v>4.1666666666665998E-2</v>
      </c>
      <c r="C3653" s="5">
        <v>151</v>
      </c>
    </row>
    <row r="3654" spans="1:3">
      <c r="A3654" s="68">
        <v>37540</v>
      </c>
      <c r="B3654" s="6">
        <v>4.2361111111110399E-2</v>
      </c>
      <c r="C3654" s="5">
        <v>152</v>
      </c>
    </row>
    <row r="3655" spans="1:3">
      <c r="A3655" s="68">
        <v>37540</v>
      </c>
      <c r="B3655" s="6">
        <v>4.3055555555554799E-2</v>
      </c>
      <c r="C3655" s="5">
        <v>153</v>
      </c>
    </row>
    <row r="3656" spans="1:3">
      <c r="A3656" s="68">
        <v>37540</v>
      </c>
      <c r="B3656" s="6">
        <v>4.3749999999999199E-2</v>
      </c>
      <c r="C3656" s="5">
        <v>158</v>
      </c>
    </row>
    <row r="3657" spans="1:3">
      <c r="A3657" s="68">
        <v>37540</v>
      </c>
      <c r="B3657" s="6">
        <v>4.44444444444436E-2</v>
      </c>
      <c r="C3657" s="5">
        <v>154</v>
      </c>
    </row>
    <row r="3658" spans="1:3">
      <c r="A3658" s="68">
        <v>37540</v>
      </c>
      <c r="B3658" s="6">
        <v>4.5138888888888E-2</v>
      </c>
      <c r="C3658" s="5">
        <v>154</v>
      </c>
    </row>
    <row r="3659" spans="1:3">
      <c r="A3659" s="68">
        <v>37540</v>
      </c>
      <c r="B3659" s="6">
        <v>4.58333333333324E-2</v>
      </c>
      <c r="C3659" s="5">
        <v>154</v>
      </c>
    </row>
    <row r="3660" spans="1:3">
      <c r="A3660" s="68">
        <v>37540</v>
      </c>
      <c r="B3660" s="6">
        <v>4.6527777777776801E-2</v>
      </c>
      <c r="C3660" s="5">
        <v>155</v>
      </c>
    </row>
    <row r="3661" spans="1:3">
      <c r="A3661" s="68">
        <v>37540</v>
      </c>
      <c r="B3661" s="6">
        <v>4.7222222222221201E-2</v>
      </c>
      <c r="C3661" s="5">
        <v>154</v>
      </c>
    </row>
    <row r="3662" spans="1:3">
      <c r="A3662" s="68">
        <v>37540</v>
      </c>
      <c r="B3662" s="6">
        <v>4.7916666666665601E-2</v>
      </c>
      <c r="C3662" s="5">
        <v>153</v>
      </c>
    </row>
    <row r="3663" spans="1:3">
      <c r="A3663" s="68">
        <v>37540</v>
      </c>
      <c r="B3663" s="6">
        <v>4.8611111111110002E-2</v>
      </c>
      <c r="C3663" s="5">
        <v>157</v>
      </c>
    </row>
    <row r="3664" spans="1:3">
      <c r="A3664" s="68">
        <v>37540</v>
      </c>
      <c r="B3664" s="6">
        <v>4.9305555555554402E-2</v>
      </c>
      <c r="C3664" s="5">
        <v>154</v>
      </c>
    </row>
    <row r="3665" spans="1:3">
      <c r="A3665" s="68">
        <v>37540</v>
      </c>
      <c r="B3665" s="6">
        <v>4.9999999999998802E-2</v>
      </c>
      <c r="C3665" s="5">
        <v>152</v>
      </c>
    </row>
    <row r="3666" spans="1:3">
      <c r="A3666" s="68">
        <v>37540</v>
      </c>
      <c r="B3666" s="6">
        <v>5.0694444444443203E-2</v>
      </c>
      <c r="C3666" s="5">
        <v>158</v>
      </c>
    </row>
    <row r="3667" spans="1:3">
      <c r="A3667" s="68">
        <v>37540</v>
      </c>
      <c r="B3667" s="6">
        <v>5.1388888888887603E-2</v>
      </c>
      <c r="C3667" s="5">
        <v>158</v>
      </c>
    </row>
    <row r="3668" spans="1:3">
      <c r="A3668" s="68">
        <v>37540</v>
      </c>
      <c r="B3668" s="6">
        <v>5.2083333333332003E-2</v>
      </c>
      <c r="C3668" s="5">
        <v>158</v>
      </c>
    </row>
    <row r="3669" spans="1:3">
      <c r="A3669" s="68">
        <v>37540</v>
      </c>
      <c r="B3669" s="6">
        <v>5.2777777777776397E-2</v>
      </c>
      <c r="C3669" s="5">
        <v>162</v>
      </c>
    </row>
    <row r="3670" spans="1:3">
      <c r="A3670" s="68">
        <v>37597</v>
      </c>
      <c r="B3670" s="6">
        <v>0</v>
      </c>
      <c r="C3670" s="5">
        <v>85</v>
      </c>
    </row>
    <row r="3671" spans="1:3">
      <c r="A3671" s="68">
        <v>37597</v>
      </c>
      <c r="B3671" s="6">
        <v>1.7361111111111112E-4</v>
      </c>
      <c r="C3671" s="5">
        <v>169</v>
      </c>
    </row>
    <row r="3672" spans="1:3">
      <c r="A3672" s="68">
        <v>37597</v>
      </c>
      <c r="B3672" s="6">
        <v>3.4722222222222202E-4</v>
      </c>
      <c r="C3672" s="5">
        <v>168</v>
      </c>
    </row>
    <row r="3673" spans="1:3">
      <c r="A3673" s="68">
        <v>37597</v>
      </c>
      <c r="B3673" s="6">
        <v>5.20833333333333E-4</v>
      </c>
      <c r="C3673" s="5">
        <v>162</v>
      </c>
    </row>
    <row r="3674" spans="1:3">
      <c r="A3674" s="68">
        <v>37597</v>
      </c>
      <c r="B3674" s="6">
        <v>6.9444444444444404E-4</v>
      </c>
      <c r="C3674" s="5">
        <v>170</v>
      </c>
    </row>
    <row r="3675" spans="1:3">
      <c r="A3675" s="68">
        <v>37597</v>
      </c>
      <c r="B3675" s="6">
        <v>8.6805555555555605E-4</v>
      </c>
      <c r="C3675" s="5">
        <v>165</v>
      </c>
    </row>
    <row r="3676" spans="1:3">
      <c r="A3676" s="68">
        <v>37597</v>
      </c>
      <c r="B3676" s="6">
        <v>1.0416666666666699E-3</v>
      </c>
      <c r="C3676" s="5">
        <v>172</v>
      </c>
    </row>
    <row r="3677" spans="1:3">
      <c r="A3677" s="68">
        <v>37597</v>
      </c>
      <c r="B3677" s="6">
        <v>1.21527777777778E-3</v>
      </c>
      <c r="C3677" s="5">
        <v>168</v>
      </c>
    </row>
    <row r="3678" spans="1:3">
      <c r="A3678" s="68">
        <v>37597</v>
      </c>
      <c r="B3678" s="6">
        <v>1.38888888888889E-3</v>
      </c>
      <c r="C3678" s="5">
        <v>170</v>
      </c>
    </row>
    <row r="3679" spans="1:3">
      <c r="A3679" s="68">
        <v>37597</v>
      </c>
      <c r="B3679" s="6">
        <v>1.5625000000000001E-3</v>
      </c>
      <c r="C3679" s="5">
        <v>170</v>
      </c>
    </row>
    <row r="3680" spans="1:3">
      <c r="A3680" s="68">
        <v>37597</v>
      </c>
      <c r="B3680" s="6">
        <v>1.7361111111111099E-3</v>
      </c>
      <c r="C3680" s="5">
        <v>177</v>
      </c>
    </row>
    <row r="3681" spans="1:3">
      <c r="A3681" s="68">
        <v>37597</v>
      </c>
      <c r="B3681" s="6">
        <v>1.90972222222222E-3</v>
      </c>
      <c r="C3681" s="5">
        <v>172</v>
      </c>
    </row>
    <row r="3682" spans="1:3">
      <c r="A3682" s="68">
        <v>37597</v>
      </c>
      <c r="B3682" s="6">
        <v>2.0833333333333298E-3</v>
      </c>
      <c r="C3682" s="5">
        <v>173</v>
      </c>
    </row>
    <row r="3683" spans="1:3">
      <c r="A3683" s="68">
        <v>37597</v>
      </c>
      <c r="B3683" s="6">
        <v>2.2569444444444399E-3</v>
      </c>
      <c r="C3683" s="5">
        <v>173</v>
      </c>
    </row>
    <row r="3684" spans="1:3">
      <c r="A3684" s="68">
        <v>37597</v>
      </c>
      <c r="B3684" s="6">
        <v>2.4305555555555599E-3</v>
      </c>
      <c r="C3684" s="5">
        <v>175</v>
      </c>
    </row>
    <row r="3685" spans="1:3">
      <c r="A3685" s="68">
        <v>37597</v>
      </c>
      <c r="B3685" s="6">
        <v>2.60416666666667E-3</v>
      </c>
      <c r="C3685" s="5">
        <v>170</v>
      </c>
    </row>
    <row r="3686" spans="1:3">
      <c r="A3686" s="68">
        <v>37597</v>
      </c>
      <c r="B3686" s="6">
        <v>2.7777777777777801E-3</v>
      </c>
      <c r="C3686" s="5">
        <v>175</v>
      </c>
    </row>
    <row r="3687" spans="1:3">
      <c r="A3687" s="68">
        <v>37597</v>
      </c>
      <c r="B3687" s="6">
        <v>2.9513888888888901E-3</v>
      </c>
      <c r="C3687" s="5">
        <v>176</v>
      </c>
    </row>
    <row r="3688" spans="1:3">
      <c r="A3688" s="68">
        <v>37597</v>
      </c>
      <c r="B3688" s="6">
        <v>3.1250000000000002E-3</v>
      </c>
      <c r="C3688" s="5">
        <v>171</v>
      </c>
    </row>
    <row r="3689" spans="1:3">
      <c r="A3689" s="68">
        <v>37597</v>
      </c>
      <c r="B3689" s="6">
        <v>3.2986111111111098E-3</v>
      </c>
      <c r="C3689" s="5">
        <v>176</v>
      </c>
    </row>
    <row r="3690" spans="1:3">
      <c r="A3690" s="68">
        <v>37597</v>
      </c>
      <c r="B3690" s="6">
        <v>3.4722222222222199E-3</v>
      </c>
      <c r="C3690" s="5">
        <v>175</v>
      </c>
    </row>
    <row r="3691" spans="1:3">
      <c r="A3691" s="68">
        <v>37597</v>
      </c>
      <c r="B3691" s="6">
        <v>3.6458333333333299E-3</v>
      </c>
      <c r="C3691" s="5">
        <v>174</v>
      </c>
    </row>
    <row r="3692" spans="1:3">
      <c r="A3692" s="68">
        <v>37597</v>
      </c>
      <c r="B3692" s="6">
        <v>3.81944444444444E-3</v>
      </c>
      <c r="C3692" s="5">
        <v>176</v>
      </c>
    </row>
    <row r="3693" spans="1:3">
      <c r="A3693" s="68">
        <v>37597</v>
      </c>
      <c r="B3693" s="6">
        <v>3.9930555555555596E-3</v>
      </c>
      <c r="C3693" s="5">
        <v>178</v>
      </c>
    </row>
    <row r="3694" spans="1:3">
      <c r="A3694" s="68">
        <v>37597</v>
      </c>
      <c r="B3694" s="6">
        <v>4.1666666666666701E-3</v>
      </c>
      <c r="C3694" s="5">
        <v>177</v>
      </c>
    </row>
    <row r="3695" spans="1:3">
      <c r="A3695" s="68">
        <v>37597</v>
      </c>
      <c r="B3695" s="6">
        <v>4.3402777777777797E-3</v>
      </c>
      <c r="C3695" s="5">
        <v>178</v>
      </c>
    </row>
    <row r="3696" spans="1:3">
      <c r="A3696" s="68">
        <v>37597</v>
      </c>
      <c r="B3696" s="6">
        <v>4.5138888888888902E-3</v>
      </c>
      <c r="C3696" s="5">
        <v>178</v>
      </c>
    </row>
    <row r="3697" spans="1:3">
      <c r="A3697" s="68">
        <v>37597</v>
      </c>
      <c r="B3697" s="6">
        <v>4.6874999999999998E-3</v>
      </c>
      <c r="C3697" s="5">
        <v>177</v>
      </c>
    </row>
    <row r="3698" spans="1:3">
      <c r="A3698" s="68">
        <v>37597</v>
      </c>
      <c r="B3698" s="6">
        <v>4.8611111111111103E-3</v>
      </c>
      <c r="C3698" s="5">
        <v>177</v>
      </c>
    </row>
    <row r="3699" spans="1:3">
      <c r="A3699" s="68">
        <v>37597</v>
      </c>
      <c r="B3699" s="6">
        <v>5.0347222222222199E-3</v>
      </c>
      <c r="C3699" s="5">
        <v>177</v>
      </c>
    </row>
    <row r="3700" spans="1:3">
      <c r="A3700" s="68">
        <v>37597</v>
      </c>
      <c r="B3700" s="6">
        <v>5.2083333333333296E-3</v>
      </c>
      <c r="C3700" s="5">
        <v>178</v>
      </c>
    </row>
    <row r="3701" spans="1:3">
      <c r="A3701" s="68">
        <v>37597</v>
      </c>
      <c r="B3701" s="6">
        <v>5.3819444444444401E-3</v>
      </c>
      <c r="C3701" s="5">
        <v>177</v>
      </c>
    </row>
    <row r="3702" spans="1:3">
      <c r="A3702" s="68">
        <v>37597</v>
      </c>
      <c r="B3702" s="6">
        <v>5.5555555555555601E-3</v>
      </c>
      <c r="C3702" s="5">
        <v>179</v>
      </c>
    </row>
    <row r="3703" spans="1:3">
      <c r="A3703" s="68">
        <v>37597</v>
      </c>
      <c r="B3703" s="6">
        <v>5.7291666666666697E-3</v>
      </c>
      <c r="C3703" s="5">
        <v>181</v>
      </c>
    </row>
    <row r="3704" spans="1:3">
      <c r="A3704" s="68">
        <v>37597</v>
      </c>
      <c r="B3704" s="6">
        <v>5.9027777777777802E-3</v>
      </c>
      <c r="C3704" s="5">
        <v>181</v>
      </c>
    </row>
    <row r="3705" spans="1:3">
      <c r="A3705" s="68">
        <v>37597</v>
      </c>
      <c r="B3705" s="6">
        <v>6.0763888888888899E-3</v>
      </c>
      <c r="C3705" s="5">
        <v>182</v>
      </c>
    </row>
    <row r="3706" spans="1:3">
      <c r="A3706" s="68">
        <v>37597</v>
      </c>
      <c r="B3706" s="6">
        <v>6.2500000000000003E-3</v>
      </c>
      <c r="C3706" s="5">
        <v>181</v>
      </c>
    </row>
    <row r="3707" spans="1:3">
      <c r="A3707" s="68">
        <v>37597</v>
      </c>
      <c r="B3707" s="6">
        <v>6.42361111111111E-3</v>
      </c>
      <c r="C3707" s="5">
        <v>181</v>
      </c>
    </row>
    <row r="3708" spans="1:3">
      <c r="A3708" s="68">
        <v>37597</v>
      </c>
      <c r="B3708" s="6">
        <v>6.5972222222222196E-3</v>
      </c>
      <c r="C3708" s="5">
        <v>181</v>
      </c>
    </row>
    <row r="3709" spans="1:3">
      <c r="A3709" s="68">
        <v>37597</v>
      </c>
      <c r="B3709" s="6">
        <v>6.7708333333333301E-3</v>
      </c>
      <c r="C3709" s="5">
        <v>182</v>
      </c>
    </row>
    <row r="3710" spans="1:3">
      <c r="A3710" s="68">
        <v>37597</v>
      </c>
      <c r="B3710" s="6">
        <v>6.9444444444444397E-3</v>
      </c>
      <c r="C3710" s="5">
        <v>183</v>
      </c>
    </row>
    <row r="3711" spans="1:3">
      <c r="A3711" s="68">
        <v>37597</v>
      </c>
      <c r="B3711" s="6">
        <v>7.1180555555555598E-3</v>
      </c>
      <c r="C3711" s="5">
        <v>182</v>
      </c>
    </row>
    <row r="3712" spans="1:3">
      <c r="A3712" s="68">
        <v>37597</v>
      </c>
      <c r="B3712" s="6">
        <v>7.2916666666666703E-3</v>
      </c>
      <c r="C3712" s="5">
        <v>183</v>
      </c>
    </row>
    <row r="3713" spans="1:3">
      <c r="A3713" s="68">
        <v>37597</v>
      </c>
      <c r="B3713" s="6">
        <v>7.4652777777777799E-3</v>
      </c>
      <c r="C3713" s="5">
        <v>181</v>
      </c>
    </row>
    <row r="3714" spans="1:3">
      <c r="A3714" s="68">
        <v>37597</v>
      </c>
      <c r="B3714" s="6">
        <v>7.6388888888888904E-3</v>
      </c>
      <c r="C3714" s="5">
        <v>181</v>
      </c>
    </row>
    <row r="3715" spans="1:3">
      <c r="A3715" s="68">
        <v>37597</v>
      </c>
      <c r="B3715" s="6">
        <v>7.8125E-3</v>
      </c>
      <c r="C3715" s="5">
        <v>182</v>
      </c>
    </row>
    <row r="3716" spans="1:3">
      <c r="A3716" s="68">
        <v>37597</v>
      </c>
      <c r="B3716" s="6">
        <v>7.9861111111111105E-3</v>
      </c>
      <c r="C3716" s="5">
        <v>181</v>
      </c>
    </row>
    <row r="3717" spans="1:3">
      <c r="A3717" s="68">
        <v>37597</v>
      </c>
      <c r="B3717" s="6">
        <v>8.1597222222222193E-3</v>
      </c>
      <c r="C3717" s="5">
        <v>183</v>
      </c>
    </row>
    <row r="3718" spans="1:3">
      <c r="A3718" s="68">
        <v>37597</v>
      </c>
      <c r="B3718" s="6">
        <v>8.3333333333333297E-3</v>
      </c>
      <c r="C3718" s="5">
        <v>183</v>
      </c>
    </row>
    <row r="3719" spans="1:3">
      <c r="A3719" s="68">
        <v>37597</v>
      </c>
      <c r="B3719" s="6">
        <v>8.5069444444444402E-3</v>
      </c>
      <c r="C3719" s="5">
        <v>185</v>
      </c>
    </row>
    <row r="3720" spans="1:3">
      <c r="A3720" s="68">
        <v>37597</v>
      </c>
      <c r="B3720" s="6">
        <v>8.6805555555555507E-3</v>
      </c>
      <c r="C3720" s="5">
        <v>185</v>
      </c>
    </row>
    <row r="3721" spans="1:3">
      <c r="A3721" s="68">
        <v>37597</v>
      </c>
      <c r="B3721" s="6">
        <v>8.8541666666666595E-3</v>
      </c>
      <c r="C3721" s="5">
        <v>185</v>
      </c>
    </row>
    <row r="3722" spans="1:3">
      <c r="A3722" s="68">
        <v>37597</v>
      </c>
      <c r="B3722" s="6">
        <v>9.02777777777777E-3</v>
      </c>
      <c r="C3722" s="5">
        <v>184</v>
      </c>
    </row>
    <row r="3723" spans="1:3">
      <c r="A3723" s="68">
        <v>37597</v>
      </c>
      <c r="B3723" s="6">
        <v>9.2013888888888805E-3</v>
      </c>
      <c r="C3723" s="5">
        <v>183</v>
      </c>
    </row>
    <row r="3724" spans="1:3">
      <c r="A3724" s="68">
        <v>37597</v>
      </c>
      <c r="B3724" s="6">
        <v>9.3749999999999892E-3</v>
      </c>
      <c r="C3724" s="5">
        <v>183</v>
      </c>
    </row>
    <row r="3725" spans="1:3">
      <c r="A3725" s="68">
        <v>37597</v>
      </c>
      <c r="B3725" s="6">
        <v>9.5486111111110997E-3</v>
      </c>
      <c r="C3725" s="5">
        <v>184</v>
      </c>
    </row>
    <row r="3726" spans="1:3">
      <c r="A3726" s="68">
        <v>37597</v>
      </c>
      <c r="B3726" s="6">
        <v>9.7222222222222102E-3</v>
      </c>
      <c r="C3726" s="5">
        <v>183</v>
      </c>
    </row>
    <row r="3727" spans="1:3">
      <c r="A3727" s="68">
        <v>37597</v>
      </c>
      <c r="B3727" s="6">
        <v>9.8958333333333207E-3</v>
      </c>
      <c r="C3727" s="5">
        <v>185</v>
      </c>
    </row>
    <row r="3728" spans="1:3">
      <c r="A3728" s="68">
        <v>37597</v>
      </c>
      <c r="B3728" s="6">
        <v>1.00694444444444E-2</v>
      </c>
      <c r="C3728" s="5">
        <v>186</v>
      </c>
    </row>
    <row r="3729" spans="1:3">
      <c r="A3729" s="68">
        <v>37597</v>
      </c>
      <c r="B3729" s="6">
        <v>1.02430555555555E-2</v>
      </c>
      <c r="C3729" s="5">
        <v>187</v>
      </c>
    </row>
    <row r="3730" spans="1:3">
      <c r="A3730" s="68">
        <v>37597</v>
      </c>
      <c r="B3730" s="6">
        <v>1.04166666666666E-2</v>
      </c>
      <c r="C3730" s="5">
        <v>187</v>
      </c>
    </row>
    <row r="3731" spans="1:3">
      <c r="A3731" s="68">
        <v>37597</v>
      </c>
      <c r="B3731" s="6">
        <v>1.0590277777777799E-2</v>
      </c>
      <c r="C3731" s="5">
        <v>189</v>
      </c>
    </row>
    <row r="3732" spans="1:3">
      <c r="A3732" s="68">
        <v>37597</v>
      </c>
      <c r="B3732" s="6">
        <v>1.0763888888888899E-2</v>
      </c>
      <c r="C3732" s="5">
        <v>189</v>
      </c>
    </row>
    <row r="3733" spans="1:3">
      <c r="A3733" s="68">
        <v>37597</v>
      </c>
      <c r="B3733" s="6">
        <v>1.0937499999999999E-2</v>
      </c>
      <c r="C3733" s="5">
        <v>188</v>
      </c>
    </row>
    <row r="3734" spans="1:3">
      <c r="A3734" s="68">
        <v>37597</v>
      </c>
      <c r="B3734" s="6">
        <v>1.1111111111111099E-2</v>
      </c>
      <c r="C3734" s="5">
        <v>189</v>
      </c>
    </row>
    <row r="3735" spans="1:3">
      <c r="A3735" s="68">
        <v>37597</v>
      </c>
      <c r="B3735" s="6">
        <v>1.1284722222222199E-2</v>
      </c>
      <c r="C3735" s="5">
        <v>189</v>
      </c>
    </row>
    <row r="3736" spans="1:3">
      <c r="A3736" s="68">
        <v>37597</v>
      </c>
      <c r="B3736" s="6">
        <v>1.14583333333333E-2</v>
      </c>
      <c r="C3736" s="5">
        <v>190</v>
      </c>
    </row>
    <row r="3737" spans="1:3">
      <c r="A3737" s="68">
        <v>37597</v>
      </c>
      <c r="B3737" s="6">
        <v>1.16319444444444E-2</v>
      </c>
      <c r="C3737" s="5">
        <v>190</v>
      </c>
    </row>
    <row r="3738" spans="1:3">
      <c r="A3738" s="68">
        <v>37597</v>
      </c>
      <c r="B3738" s="6">
        <v>1.18055555555555E-2</v>
      </c>
      <c r="C3738" s="5">
        <v>191</v>
      </c>
    </row>
    <row r="3739" spans="1:3">
      <c r="A3739" s="68">
        <v>37597</v>
      </c>
      <c r="B3739" s="6">
        <v>1.19791666666666E-2</v>
      </c>
      <c r="C3739" s="5">
        <v>191</v>
      </c>
    </row>
    <row r="3740" spans="1:3">
      <c r="A3740" s="68">
        <v>37597</v>
      </c>
      <c r="B3740" s="6">
        <v>1.21527777777777E-2</v>
      </c>
      <c r="C3740" s="5">
        <v>191</v>
      </c>
    </row>
    <row r="3741" spans="1:3">
      <c r="A3741" s="68">
        <v>37597</v>
      </c>
      <c r="B3741" s="6">
        <v>1.2326388888888901E-2</v>
      </c>
      <c r="C3741" s="5">
        <v>191</v>
      </c>
    </row>
    <row r="3742" spans="1:3">
      <c r="A3742" s="68">
        <v>37597</v>
      </c>
      <c r="B3742" s="6">
        <v>1.2500000000000001E-2</v>
      </c>
      <c r="C3742" s="5">
        <v>191</v>
      </c>
    </row>
    <row r="3743" spans="1:3">
      <c r="A3743" s="68">
        <v>37597</v>
      </c>
      <c r="B3743" s="6">
        <v>1.2673611111111101E-2</v>
      </c>
      <c r="C3743" s="5">
        <v>191</v>
      </c>
    </row>
    <row r="3744" spans="1:3">
      <c r="A3744" s="68">
        <v>37597</v>
      </c>
      <c r="B3744" s="6">
        <v>1.2847222222222201E-2</v>
      </c>
      <c r="C3744" s="5">
        <v>192</v>
      </c>
    </row>
    <row r="3745" spans="1:3">
      <c r="A3745" s="68">
        <v>37597</v>
      </c>
      <c r="B3745" s="6">
        <v>1.3020833333333299E-2</v>
      </c>
      <c r="C3745" s="5">
        <v>192</v>
      </c>
    </row>
    <row r="3746" spans="1:3">
      <c r="A3746" s="68">
        <v>37597</v>
      </c>
      <c r="B3746" s="6">
        <v>1.3194444444444399E-2</v>
      </c>
      <c r="C3746" s="5">
        <v>192</v>
      </c>
    </row>
    <row r="3747" spans="1:3">
      <c r="A3747" s="68">
        <v>37597</v>
      </c>
      <c r="B3747" s="6">
        <v>1.3368055555555499E-2</v>
      </c>
      <c r="C3747" s="5">
        <v>192</v>
      </c>
    </row>
    <row r="3748" spans="1:3">
      <c r="A3748" s="68">
        <v>37597</v>
      </c>
      <c r="B3748" s="6">
        <v>1.3541666666666599E-2</v>
      </c>
      <c r="C3748" s="5">
        <v>191</v>
      </c>
    </row>
    <row r="3749" spans="1:3">
      <c r="A3749" s="68">
        <v>37597</v>
      </c>
      <c r="B3749" s="6">
        <v>1.37152777777777E-2</v>
      </c>
      <c r="C3749" s="5">
        <v>191</v>
      </c>
    </row>
    <row r="3750" spans="1:3">
      <c r="A3750" s="68">
        <v>37621</v>
      </c>
      <c r="B3750" s="6">
        <v>0</v>
      </c>
      <c r="C3750" s="5">
        <v>94</v>
      </c>
    </row>
    <row r="3751" spans="1:3">
      <c r="A3751" s="68">
        <v>37621</v>
      </c>
      <c r="B3751" s="6">
        <v>5.7870370370370366E-5</v>
      </c>
      <c r="C3751" s="5">
        <v>94</v>
      </c>
    </row>
    <row r="3752" spans="1:3">
      <c r="A3752" s="68">
        <v>37621</v>
      </c>
      <c r="B3752" s="6">
        <v>1.15740740740741E-4</v>
      </c>
      <c r="C3752" s="5">
        <v>94</v>
      </c>
    </row>
    <row r="3753" spans="1:3">
      <c r="A3753" s="68">
        <v>37621</v>
      </c>
      <c r="B3753" s="6">
        <v>1.7361111111111101E-4</v>
      </c>
      <c r="C3753" s="5">
        <v>108</v>
      </c>
    </row>
    <row r="3754" spans="1:3">
      <c r="A3754" s="68">
        <v>37621</v>
      </c>
      <c r="B3754" s="6">
        <v>2.31481481481481E-4</v>
      </c>
      <c r="C3754" s="5">
        <v>109</v>
      </c>
    </row>
    <row r="3755" spans="1:3">
      <c r="A3755" s="68">
        <v>37621</v>
      </c>
      <c r="B3755" s="6">
        <v>2.89351851851852E-4</v>
      </c>
      <c r="C3755" s="5">
        <v>114</v>
      </c>
    </row>
    <row r="3756" spans="1:3">
      <c r="A3756" s="68">
        <v>37621</v>
      </c>
      <c r="B3756" s="6">
        <v>3.4722222222222202E-4</v>
      </c>
      <c r="C3756" s="5">
        <v>117</v>
      </c>
    </row>
    <row r="3757" spans="1:3">
      <c r="A3757" s="68">
        <v>37621</v>
      </c>
      <c r="B3757" s="6">
        <v>4.0509259259259301E-4</v>
      </c>
      <c r="C3757" s="5">
        <v>118</v>
      </c>
    </row>
    <row r="3758" spans="1:3">
      <c r="A3758" s="68">
        <v>37621</v>
      </c>
      <c r="B3758" s="6">
        <v>4.6296296296296298E-4</v>
      </c>
      <c r="C3758" s="5">
        <v>118</v>
      </c>
    </row>
    <row r="3759" spans="1:3">
      <c r="A3759" s="68">
        <v>37621</v>
      </c>
      <c r="B3759" s="6">
        <v>5.20833333333333E-4</v>
      </c>
      <c r="C3759" s="5">
        <v>117</v>
      </c>
    </row>
    <row r="3760" spans="1:3">
      <c r="A3760" s="68">
        <v>37621</v>
      </c>
      <c r="B3760" s="6">
        <v>5.78703703703704E-4</v>
      </c>
      <c r="C3760" s="5">
        <v>118</v>
      </c>
    </row>
    <row r="3761" spans="1:3">
      <c r="A3761" s="68">
        <v>37621</v>
      </c>
      <c r="B3761" s="6">
        <v>6.3657407407407402E-4</v>
      </c>
      <c r="C3761" s="5">
        <v>118</v>
      </c>
    </row>
    <row r="3762" spans="1:3">
      <c r="A3762" s="68">
        <v>37621</v>
      </c>
      <c r="B3762" s="6">
        <v>6.9444444444444404E-4</v>
      </c>
      <c r="C3762" s="5">
        <v>119</v>
      </c>
    </row>
    <row r="3763" spans="1:3">
      <c r="A3763" s="68">
        <v>37621</v>
      </c>
      <c r="B3763" s="6">
        <v>7.5231481481481503E-4</v>
      </c>
      <c r="C3763" s="5">
        <v>119</v>
      </c>
    </row>
    <row r="3764" spans="1:3">
      <c r="A3764" s="68">
        <v>37621</v>
      </c>
      <c r="B3764" s="6">
        <v>8.1018518518518505E-4</v>
      </c>
      <c r="C3764" s="5">
        <v>117</v>
      </c>
    </row>
    <row r="3765" spans="1:3">
      <c r="A3765" s="68">
        <v>37621</v>
      </c>
      <c r="B3765" s="6">
        <v>8.6805555555555605E-4</v>
      </c>
      <c r="C3765" s="5">
        <v>118</v>
      </c>
    </row>
    <row r="3766" spans="1:3">
      <c r="A3766" s="68">
        <v>37621</v>
      </c>
      <c r="B3766" s="6">
        <v>9.2592592592592596E-4</v>
      </c>
      <c r="C3766" s="5">
        <v>116</v>
      </c>
    </row>
    <row r="3767" spans="1:3">
      <c r="A3767" s="68">
        <v>37621</v>
      </c>
      <c r="B3767" s="6">
        <v>9.8379629629629598E-4</v>
      </c>
      <c r="C3767" s="5">
        <v>116</v>
      </c>
    </row>
    <row r="3768" spans="1:3">
      <c r="A3768" s="68">
        <v>37621</v>
      </c>
      <c r="B3768" s="6">
        <v>1.0416666666666699E-3</v>
      </c>
      <c r="C3768" s="5">
        <v>119</v>
      </c>
    </row>
    <row r="3769" spans="1:3">
      <c r="A3769" s="68">
        <v>37621</v>
      </c>
      <c r="B3769" s="6">
        <v>1.0995370370370399E-3</v>
      </c>
      <c r="C3769" s="5">
        <v>119</v>
      </c>
    </row>
    <row r="3770" spans="1:3">
      <c r="A3770" s="68">
        <v>37621</v>
      </c>
      <c r="B3770" s="6">
        <v>1.1574074074074099E-3</v>
      </c>
      <c r="C3770" s="5">
        <v>119</v>
      </c>
    </row>
    <row r="3771" spans="1:3">
      <c r="A3771" s="68">
        <v>37621</v>
      </c>
      <c r="B3771" s="6">
        <v>1.21527777777778E-3</v>
      </c>
      <c r="C3771" s="5">
        <v>117</v>
      </c>
    </row>
    <row r="3772" spans="1:3">
      <c r="A3772" s="68">
        <v>37621</v>
      </c>
      <c r="B3772" s="6">
        <v>1.27314814814815E-3</v>
      </c>
      <c r="C3772" s="5">
        <v>115</v>
      </c>
    </row>
    <row r="3773" spans="1:3">
      <c r="A3773" s="68">
        <v>37621</v>
      </c>
      <c r="B3773" s="6">
        <v>1.33101851851852E-3</v>
      </c>
      <c r="C3773" s="5">
        <v>115</v>
      </c>
    </row>
    <row r="3774" spans="1:3">
      <c r="A3774" s="68">
        <v>37621</v>
      </c>
      <c r="B3774" s="6">
        <v>1.38888888888889E-3</v>
      </c>
      <c r="C3774" s="5">
        <v>118</v>
      </c>
    </row>
    <row r="3775" spans="1:3">
      <c r="A3775" s="68">
        <v>37621</v>
      </c>
      <c r="B3775" s="6">
        <v>1.44675925925926E-3</v>
      </c>
      <c r="C3775" s="5">
        <v>121</v>
      </c>
    </row>
    <row r="3776" spans="1:3">
      <c r="A3776" s="68">
        <v>37621</v>
      </c>
      <c r="B3776" s="6">
        <v>1.5046296296296301E-3</v>
      </c>
      <c r="C3776" s="5">
        <v>120</v>
      </c>
    </row>
    <row r="3777" spans="1:3">
      <c r="A3777" s="68">
        <v>37621</v>
      </c>
      <c r="B3777" s="6">
        <v>1.5625000000000001E-3</v>
      </c>
      <c r="C3777" s="5">
        <v>117</v>
      </c>
    </row>
    <row r="3778" spans="1:3">
      <c r="A3778" s="68">
        <v>37621</v>
      </c>
      <c r="B3778" s="6">
        <v>1.6203703703703701E-3</v>
      </c>
      <c r="C3778" s="5">
        <v>119</v>
      </c>
    </row>
    <row r="3779" spans="1:3">
      <c r="A3779" s="68">
        <v>37621</v>
      </c>
      <c r="B3779" s="6">
        <v>1.6782407407407399E-3</v>
      </c>
      <c r="C3779" s="5">
        <v>118</v>
      </c>
    </row>
    <row r="3780" spans="1:3">
      <c r="A3780" s="68">
        <v>37621</v>
      </c>
      <c r="B3780" s="6">
        <v>1.7361111111111099E-3</v>
      </c>
      <c r="C3780" s="5">
        <v>117</v>
      </c>
    </row>
    <row r="3781" spans="1:3">
      <c r="A3781" s="68">
        <v>37621</v>
      </c>
      <c r="B3781" s="6">
        <v>1.79398148148148E-3</v>
      </c>
      <c r="C3781" s="5">
        <v>114</v>
      </c>
    </row>
    <row r="3782" spans="1:3">
      <c r="A3782" s="68">
        <v>37621</v>
      </c>
      <c r="B3782" s="6">
        <v>1.85185185185185E-3</v>
      </c>
      <c r="C3782" s="5">
        <v>117</v>
      </c>
    </row>
    <row r="3783" spans="1:3">
      <c r="A3783" s="68">
        <v>37621</v>
      </c>
      <c r="B3783" s="6">
        <v>1.90972222222222E-3</v>
      </c>
      <c r="C3783" s="5">
        <v>117</v>
      </c>
    </row>
    <row r="3784" spans="1:3">
      <c r="A3784" s="68">
        <v>37621</v>
      </c>
      <c r="B3784" s="6">
        <v>1.9675925925925898E-3</v>
      </c>
      <c r="C3784" s="5">
        <v>116</v>
      </c>
    </row>
    <row r="3785" spans="1:3">
      <c r="A3785" s="68">
        <v>37621</v>
      </c>
      <c r="B3785" s="6">
        <v>2.0254629629629598E-3</v>
      </c>
      <c r="C3785" s="5">
        <v>113</v>
      </c>
    </row>
    <row r="3786" spans="1:3">
      <c r="A3786" s="68">
        <v>37621</v>
      </c>
      <c r="B3786" s="6">
        <v>2.0833333333333298E-3</v>
      </c>
      <c r="C3786" s="5">
        <v>112</v>
      </c>
    </row>
    <row r="3787" spans="1:3">
      <c r="A3787" s="68">
        <v>37621</v>
      </c>
      <c r="B3787" s="6">
        <v>2.1412037037036999E-3</v>
      </c>
      <c r="C3787" s="5">
        <v>114</v>
      </c>
    </row>
    <row r="3788" spans="1:3">
      <c r="A3788" s="68">
        <v>37621</v>
      </c>
      <c r="B3788" s="6">
        <v>2.1990740740740699E-3</v>
      </c>
      <c r="C3788" s="5">
        <v>116</v>
      </c>
    </row>
    <row r="3789" spans="1:3">
      <c r="A3789" s="68">
        <v>37621</v>
      </c>
      <c r="B3789" s="6">
        <v>2.2569444444444399E-3</v>
      </c>
      <c r="C3789" s="5">
        <v>118</v>
      </c>
    </row>
    <row r="3790" spans="1:3">
      <c r="A3790" s="68">
        <v>37621</v>
      </c>
      <c r="B3790" s="6">
        <v>2.3148148148148099E-3</v>
      </c>
      <c r="C3790" s="5">
        <v>118</v>
      </c>
    </row>
    <row r="3791" spans="1:3">
      <c r="A3791" s="68">
        <v>37621</v>
      </c>
      <c r="B3791" s="6">
        <v>2.3726851851851899E-3</v>
      </c>
      <c r="C3791" s="5">
        <v>118</v>
      </c>
    </row>
    <row r="3792" spans="1:3">
      <c r="A3792" s="68">
        <v>37621</v>
      </c>
      <c r="B3792" s="6">
        <v>2.4305555555555599E-3</v>
      </c>
      <c r="C3792" s="5">
        <v>119</v>
      </c>
    </row>
    <row r="3793" spans="1:3">
      <c r="A3793" s="68">
        <v>37621</v>
      </c>
      <c r="B3793" s="6">
        <v>2.48842592592593E-3</v>
      </c>
      <c r="C3793" s="5">
        <v>121</v>
      </c>
    </row>
    <row r="3794" spans="1:3">
      <c r="A3794" s="68">
        <v>37621</v>
      </c>
      <c r="B3794" s="6">
        <v>2.5462962962963E-3</v>
      </c>
      <c r="C3794" s="5">
        <v>119</v>
      </c>
    </row>
    <row r="3795" spans="1:3">
      <c r="A3795" s="68">
        <v>37621</v>
      </c>
      <c r="B3795" s="6">
        <v>2.60416666666667E-3</v>
      </c>
      <c r="C3795" s="5">
        <v>116</v>
      </c>
    </row>
    <row r="3796" spans="1:3">
      <c r="A3796" s="68">
        <v>37621</v>
      </c>
      <c r="B3796" s="6">
        <v>2.66203703703704E-3</v>
      </c>
      <c r="C3796" s="5">
        <v>117</v>
      </c>
    </row>
    <row r="3797" spans="1:3">
      <c r="A3797" s="68">
        <v>37621</v>
      </c>
      <c r="B3797" s="6">
        <v>2.71990740740741E-3</v>
      </c>
      <c r="C3797" s="5">
        <v>117</v>
      </c>
    </row>
    <row r="3798" spans="1:3">
      <c r="A3798" s="68">
        <v>37621</v>
      </c>
      <c r="B3798" s="6">
        <v>2.7777777777777801E-3</v>
      </c>
      <c r="C3798" s="5">
        <v>116</v>
      </c>
    </row>
    <row r="3799" spans="1:3">
      <c r="A3799" s="68">
        <v>37621</v>
      </c>
      <c r="B3799" s="6">
        <v>2.8356481481481501E-3</v>
      </c>
      <c r="C3799" s="5">
        <v>116</v>
      </c>
    </row>
    <row r="3800" spans="1:3">
      <c r="A3800" s="68">
        <v>37621</v>
      </c>
      <c r="B3800" s="6">
        <v>2.8935185185185201E-3</v>
      </c>
      <c r="C3800" s="5">
        <v>120</v>
      </c>
    </row>
    <row r="3801" spans="1:3">
      <c r="A3801" s="68">
        <v>37621</v>
      </c>
      <c r="B3801" s="6">
        <v>2.9513888888888901E-3</v>
      </c>
      <c r="C3801" s="5">
        <v>119</v>
      </c>
    </row>
    <row r="3802" spans="1:3">
      <c r="A3802" s="68">
        <v>37621</v>
      </c>
      <c r="B3802" s="6">
        <v>3.0092592592592601E-3</v>
      </c>
      <c r="C3802" s="5">
        <v>118</v>
      </c>
    </row>
    <row r="3803" spans="1:3">
      <c r="A3803" s="68">
        <v>37621</v>
      </c>
      <c r="B3803" s="6">
        <v>3.0671296296296302E-3</v>
      </c>
      <c r="C3803" s="5">
        <v>118</v>
      </c>
    </row>
    <row r="3804" spans="1:3">
      <c r="A3804" s="68">
        <v>37621</v>
      </c>
      <c r="B3804" s="6">
        <v>3.1250000000000002E-3</v>
      </c>
      <c r="C3804" s="5">
        <v>119</v>
      </c>
    </row>
    <row r="3805" spans="1:3">
      <c r="A3805" s="68">
        <v>37621</v>
      </c>
      <c r="B3805" s="6">
        <v>3.1828703703703702E-3</v>
      </c>
      <c r="C3805" s="5">
        <v>122</v>
      </c>
    </row>
    <row r="3806" spans="1:3">
      <c r="A3806" s="68">
        <v>37621</v>
      </c>
      <c r="B3806" s="6">
        <v>3.2407407407407402E-3</v>
      </c>
      <c r="C3806" s="5">
        <v>121</v>
      </c>
    </row>
    <row r="3807" spans="1:3">
      <c r="A3807" s="68">
        <v>37621</v>
      </c>
      <c r="B3807" s="6">
        <v>3.2986111111111098E-3</v>
      </c>
      <c r="C3807" s="5">
        <v>120</v>
      </c>
    </row>
    <row r="3808" spans="1:3">
      <c r="A3808" s="68">
        <v>37621</v>
      </c>
      <c r="B3808" s="6">
        <v>3.3564814814814798E-3</v>
      </c>
      <c r="C3808" s="5">
        <v>120</v>
      </c>
    </row>
    <row r="3809" spans="1:3">
      <c r="A3809" s="68">
        <v>37621</v>
      </c>
      <c r="B3809" s="6">
        <v>3.4143518518518498E-3</v>
      </c>
      <c r="C3809" s="5">
        <v>120</v>
      </c>
    </row>
    <row r="3810" spans="1:3">
      <c r="A3810" s="68">
        <v>37621</v>
      </c>
      <c r="B3810" s="6">
        <v>3.4722222222222199E-3</v>
      </c>
      <c r="C3810" s="5">
        <v>120</v>
      </c>
    </row>
    <row r="3811" spans="1:3">
      <c r="A3811" s="68">
        <v>37621</v>
      </c>
      <c r="B3811" s="6">
        <v>3.5300925925925899E-3</v>
      </c>
      <c r="C3811" s="5">
        <v>120</v>
      </c>
    </row>
    <row r="3812" spans="1:3">
      <c r="A3812" s="68">
        <v>37621</v>
      </c>
      <c r="B3812" s="6">
        <v>3.5879629629629599E-3</v>
      </c>
      <c r="C3812" s="5">
        <v>119</v>
      </c>
    </row>
    <row r="3813" spans="1:3">
      <c r="A3813" s="68">
        <v>37621</v>
      </c>
      <c r="B3813" s="6">
        <v>3.6458333333333299E-3</v>
      </c>
      <c r="C3813" s="5">
        <v>119</v>
      </c>
    </row>
    <row r="3814" spans="1:3">
      <c r="A3814" s="68">
        <v>37621</v>
      </c>
      <c r="B3814" s="6">
        <v>3.7037037037036999E-3</v>
      </c>
      <c r="C3814" s="5">
        <v>118</v>
      </c>
    </row>
    <row r="3815" spans="1:3">
      <c r="A3815" s="68">
        <v>37621</v>
      </c>
      <c r="B3815" s="6">
        <v>3.76157407407407E-3</v>
      </c>
      <c r="C3815" s="5">
        <v>116</v>
      </c>
    </row>
    <row r="3816" spans="1:3">
      <c r="A3816" s="68">
        <v>37621</v>
      </c>
      <c r="B3816" s="6">
        <v>3.81944444444444E-3</v>
      </c>
      <c r="C3816" s="5">
        <v>118</v>
      </c>
    </row>
    <row r="3817" spans="1:3">
      <c r="A3817" s="68">
        <v>37621</v>
      </c>
      <c r="B3817" s="6">
        <v>3.87731481481481E-3</v>
      </c>
      <c r="C3817" s="5">
        <v>118</v>
      </c>
    </row>
    <row r="3818" spans="1:3">
      <c r="A3818" s="68">
        <v>37621</v>
      </c>
      <c r="B3818" s="6">
        <v>3.9351851851851796E-3</v>
      </c>
      <c r="C3818" s="5">
        <v>117</v>
      </c>
    </row>
    <row r="3819" spans="1:3">
      <c r="A3819" s="68">
        <v>37621</v>
      </c>
      <c r="B3819" s="6">
        <v>3.9930555555555596E-3</v>
      </c>
      <c r="C3819" s="5">
        <v>117</v>
      </c>
    </row>
    <row r="3820" spans="1:3">
      <c r="A3820" s="68">
        <v>37621</v>
      </c>
      <c r="B3820" s="6">
        <v>4.05092592592593E-3</v>
      </c>
      <c r="C3820" s="5">
        <v>118</v>
      </c>
    </row>
    <row r="3821" spans="1:3">
      <c r="A3821" s="68">
        <v>37621</v>
      </c>
      <c r="B3821" s="6">
        <v>4.1087962962962996E-3</v>
      </c>
      <c r="C3821" s="5">
        <v>116</v>
      </c>
    </row>
    <row r="3822" spans="1:3">
      <c r="A3822" s="68">
        <v>37621</v>
      </c>
      <c r="B3822" s="6">
        <v>4.1666666666666701E-3</v>
      </c>
      <c r="C3822" s="5">
        <v>116</v>
      </c>
    </row>
    <row r="3823" spans="1:3">
      <c r="A3823" s="68">
        <v>37621</v>
      </c>
      <c r="B3823" s="6">
        <v>4.2245370370370397E-3</v>
      </c>
      <c r="C3823" s="5">
        <v>115</v>
      </c>
    </row>
    <row r="3824" spans="1:3">
      <c r="A3824" s="68">
        <v>37621</v>
      </c>
      <c r="B3824" s="6">
        <v>4.2824074074074101E-3</v>
      </c>
      <c r="C3824" s="5">
        <v>117</v>
      </c>
    </row>
    <row r="3825" spans="1:7">
      <c r="A3825" s="68">
        <v>37621</v>
      </c>
      <c r="B3825" s="6">
        <v>4.3402777777777797E-3</v>
      </c>
      <c r="C3825" s="5">
        <v>115</v>
      </c>
    </row>
    <row r="3826" spans="1:7">
      <c r="A3826" s="68">
        <v>37621</v>
      </c>
      <c r="B3826" s="6">
        <v>4.3981481481481502E-3</v>
      </c>
      <c r="C3826" s="5">
        <v>114</v>
      </c>
    </row>
    <row r="3827" spans="1:7">
      <c r="A3827" s="68">
        <v>37621</v>
      </c>
      <c r="B3827" s="6">
        <v>4.4560185185185197E-3</v>
      </c>
      <c r="C3827" s="5">
        <v>116</v>
      </c>
    </row>
    <row r="3828" spans="1:7">
      <c r="A3828" s="68">
        <v>37621</v>
      </c>
      <c r="B3828" s="6">
        <v>4.5138888888888902E-3</v>
      </c>
      <c r="C3828" s="5">
        <v>119</v>
      </c>
    </row>
    <row r="3829" spans="1:7">
      <c r="A3829" s="68">
        <v>37621</v>
      </c>
      <c r="B3829" s="6">
        <v>4.5717592592592598E-3</v>
      </c>
      <c r="C3829" s="5">
        <v>120</v>
      </c>
      <c r="D3829" s="4" t="s">
        <v>177</v>
      </c>
      <c r="G3829" s="4">
        <f>AVERAGE(C3750:C3829)</f>
        <v>116.46250000000001</v>
      </c>
    </row>
    <row r="3830" spans="1:7">
      <c r="A3830" s="68">
        <v>37621</v>
      </c>
      <c r="B3830" s="6">
        <v>4.6296296296296302E-3</v>
      </c>
      <c r="C3830" s="5">
        <v>119</v>
      </c>
    </row>
    <row r="3831" spans="1:7">
      <c r="A3831" s="68">
        <v>37621</v>
      </c>
      <c r="B3831" s="6">
        <v>4.6874999999999998E-3</v>
      </c>
      <c r="C3831" s="5">
        <v>117</v>
      </c>
    </row>
    <row r="3832" spans="1:7">
      <c r="A3832" s="68">
        <v>37621</v>
      </c>
      <c r="B3832" s="6">
        <v>4.7453703703703703E-3</v>
      </c>
      <c r="C3832" s="5">
        <v>116</v>
      </c>
    </row>
    <row r="3833" spans="1:7">
      <c r="A3833" s="68">
        <v>37621</v>
      </c>
      <c r="B3833" s="6">
        <v>4.8032407407407399E-3</v>
      </c>
      <c r="C3833" s="5">
        <v>114</v>
      </c>
    </row>
    <row r="3834" spans="1:7">
      <c r="A3834" s="68">
        <v>37621</v>
      </c>
      <c r="B3834" s="6">
        <v>4.8611111111111103E-3</v>
      </c>
      <c r="C3834" s="5">
        <v>102</v>
      </c>
    </row>
    <row r="3835" spans="1:7">
      <c r="A3835" s="68">
        <v>37621</v>
      </c>
      <c r="B3835" s="6">
        <v>4.9189814814814799E-3</v>
      </c>
      <c r="C3835" s="5">
        <v>92</v>
      </c>
    </row>
    <row r="3836" spans="1:7">
      <c r="A3836" s="68">
        <v>37621</v>
      </c>
      <c r="B3836" s="6">
        <v>4.9768518518518504E-3</v>
      </c>
      <c r="C3836" s="5">
        <v>90</v>
      </c>
    </row>
    <row r="3837" spans="1:7">
      <c r="A3837" s="68">
        <v>37621</v>
      </c>
      <c r="B3837" s="6">
        <v>5.0347222222222199E-3</v>
      </c>
      <c r="C3837" s="5">
        <v>88</v>
      </c>
    </row>
    <row r="3838" spans="1:7">
      <c r="A3838" s="68">
        <v>37621</v>
      </c>
      <c r="B3838" s="6">
        <v>5.0925925925925904E-3</v>
      </c>
      <c r="C3838" s="5">
        <v>88</v>
      </c>
    </row>
    <row r="3839" spans="1:7">
      <c r="A3839" s="68">
        <v>37621</v>
      </c>
      <c r="B3839" s="6">
        <v>5.15046296296296E-3</v>
      </c>
      <c r="C3839" s="5">
        <v>82</v>
      </c>
    </row>
    <row r="3840" spans="1:7">
      <c r="A3840" s="68">
        <v>37621</v>
      </c>
      <c r="B3840" s="6">
        <v>5.2083333333333296E-3</v>
      </c>
      <c r="C3840" s="5">
        <v>79</v>
      </c>
    </row>
    <row r="3841" spans="1:4">
      <c r="A3841" s="68">
        <v>37621</v>
      </c>
      <c r="B3841" s="6">
        <v>5.2662037037037E-3</v>
      </c>
      <c r="C3841" s="5">
        <v>75</v>
      </c>
      <c r="D3841" s="4" t="s">
        <v>179</v>
      </c>
    </row>
    <row r="3842" spans="1:4">
      <c r="A3842" s="68">
        <v>37621</v>
      </c>
      <c r="B3842" s="6">
        <v>5.3240740740740696E-3</v>
      </c>
      <c r="C3842" s="5">
        <v>75</v>
      </c>
    </row>
    <row r="3843" spans="1:4">
      <c r="A3843" s="68">
        <v>37621</v>
      </c>
      <c r="B3843" s="6">
        <v>5.3819444444444401E-3</v>
      </c>
      <c r="C3843" s="5">
        <v>75</v>
      </c>
    </row>
    <row r="3844" spans="1:4">
      <c r="A3844" s="68">
        <v>37621</v>
      </c>
      <c r="B3844" s="6">
        <v>5.4398148148148097E-3</v>
      </c>
      <c r="C3844" s="5">
        <v>109</v>
      </c>
    </row>
    <row r="3845" spans="1:4">
      <c r="A3845" s="68">
        <v>37621</v>
      </c>
      <c r="B3845" s="6">
        <v>5.4976851851851801E-3</v>
      </c>
      <c r="C3845" s="5">
        <v>110</v>
      </c>
    </row>
    <row r="3846" spans="1:4">
      <c r="A3846" s="68">
        <v>37621</v>
      </c>
      <c r="B3846" s="6">
        <v>5.5555555555555497E-3</v>
      </c>
      <c r="C3846" s="5">
        <v>141</v>
      </c>
    </row>
    <row r="3847" spans="1:4">
      <c r="A3847" s="68">
        <v>37621</v>
      </c>
      <c r="B3847" s="6">
        <v>5.6134259259259297E-3</v>
      </c>
      <c r="C3847" s="5">
        <v>119</v>
      </c>
    </row>
    <row r="3848" spans="1:4">
      <c r="A3848" s="68">
        <v>37621</v>
      </c>
      <c r="B3848" s="6">
        <v>5.6712962962963001E-3</v>
      </c>
      <c r="C3848" s="5">
        <v>119</v>
      </c>
    </row>
    <row r="3849" spans="1:4">
      <c r="A3849" s="68">
        <v>37621</v>
      </c>
      <c r="B3849" s="6">
        <v>5.7291666666666697E-3</v>
      </c>
      <c r="C3849" s="5">
        <v>116</v>
      </c>
    </row>
    <row r="3850" spans="1:4">
      <c r="A3850" s="68">
        <v>37621</v>
      </c>
      <c r="B3850" s="6">
        <v>5.7870370370370402E-3</v>
      </c>
      <c r="C3850" s="5">
        <v>116</v>
      </c>
    </row>
    <row r="3851" spans="1:4">
      <c r="A3851" s="68">
        <v>37621</v>
      </c>
      <c r="B3851" s="6">
        <v>5.8449074074074098E-3</v>
      </c>
      <c r="C3851" s="5">
        <v>115</v>
      </c>
    </row>
    <row r="3852" spans="1:4">
      <c r="A3852" s="68">
        <v>37621</v>
      </c>
      <c r="B3852" s="6">
        <v>5.9027777777777802E-3</v>
      </c>
      <c r="C3852" s="5">
        <v>114</v>
      </c>
    </row>
    <row r="3853" spans="1:4">
      <c r="A3853" s="68">
        <v>37621</v>
      </c>
      <c r="B3853" s="6">
        <v>5.9606481481481498E-3</v>
      </c>
      <c r="C3853" s="5">
        <v>112</v>
      </c>
    </row>
    <row r="3854" spans="1:4">
      <c r="A3854" s="68">
        <v>37621</v>
      </c>
      <c r="B3854" s="6">
        <v>6.0185185185185203E-3</v>
      </c>
      <c r="C3854" s="5">
        <v>114</v>
      </c>
    </row>
    <row r="3855" spans="1:4">
      <c r="A3855" s="68">
        <v>37621</v>
      </c>
      <c r="B3855" s="6">
        <v>6.0763888888888899E-3</v>
      </c>
      <c r="C3855" s="5">
        <v>116</v>
      </c>
    </row>
    <row r="3856" spans="1:4">
      <c r="A3856" s="68">
        <v>37621</v>
      </c>
      <c r="B3856" s="6">
        <v>6.1342592592592603E-3</v>
      </c>
      <c r="C3856" s="5">
        <v>118</v>
      </c>
    </row>
    <row r="3857" spans="1:3">
      <c r="A3857" s="68">
        <v>37621</v>
      </c>
      <c r="B3857" s="6">
        <v>6.1921296296296299E-3</v>
      </c>
      <c r="C3857" s="5">
        <v>118</v>
      </c>
    </row>
    <row r="3858" spans="1:3">
      <c r="A3858" s="68">
        <v>37621</v>
      </c>
      <c r="B3858" s="6">
        <v>6.2500000000000003E-3</v>
      </c>
      <c r="C3858" s="5">
        <v>121</v>
      </c>
    </row>
    <row r="3859" spans="1:3">
      <c r="A3859" s="68">
        <v>37621</v>
      </c>
      <c r="B3859" s="6">
        <v>6.3078703703703699E-3</v>
      </c>
      <c r="C3859" s="5">
        <v>121</v>
      </c>
    </row>
    <row r="3860" spans="1:3">
      <c r="A3860" s="68">
        <v>37621</v>
      </c>
      <c r="B3860" s="6">
        <v>6.3657407407407404E-3</v>
      </c>
      <c r="C3860" s="5">
        <v>121</v>
      </c>
    </row>
    <row r="3861" spans="1:3">
      <c r="A3861" s="68">
        <v>37621</v>
      </c>
      <c r="B3861" s="6">
        <v>6.42361111111111E-3</v>
      </c>
      <c r="C3861" s="5">
        <v>121</v>
      </c>
    </row>
    <row r="3862" spans="1:3">
      <c r="A3862" s="68">
        <v>37621</v>
      </c>
      <c r="B3862" s="6">
        <v>6.4814814814814804E-3</v>
      </c>
      <c r="C3862" s="5">
        <v>123</v>
      </c>
    </row>
    <row r="3863" spans="1:3">
      <c r="A3863" s="68">
        <v>37621</v>
      </c>
      <c r="B3863" s="6">
        <v>6.53935185185185E-3</v>
      </c>
      <c r="C3863" s="5">
        <v>123</v>
      </c>
    </row>
    <row r="3864" spans="1:3">
      <c r="A3864" s="68">
        <v>37621</v>
      </c>
      <c r="B3864" s="6">
        <v>6.5972222222222196E-3</v>
      </c>
      <c r="C3864" s="5">
        <v>122</v>
      </c>
    </row>
    <row r="3865" spans="1:3">
      <c r="A3865" s="68">
        <v>37621</v>
      </c>
      <c r="B3865" s="6">
        <v>6.6550925925925901E-3</v>
      </c>
      <c r="C3865" s="5">
        <v>122</v>
      </c>
    </row>
    <row r="3866" spans="1:3">
      <c r="A3866" s="68">
        <v>37621</v>
      </c>
      <c r="B3866" s="6">
        <v>6.7129629629629596E-3</v>
      </c>
      <c r="C3866" s="5">
        <v>127</v>
      </c>
    </row>
    <row r="3867" spans="1:3">
      <c r="A3867" s="68">
        <v>37621</v>
      </c>
      <c r="B3867" s="6">
        <v>6.7708333333333301E-3</v>
      </c>
      <c r="C3867" s="5">
        <v>127</v>
      </c>
    </row>
    <row r="3868" spans="1:3">
      <c r="A3868" s="68">
        <v>37621</v>
      </c>
      <c r="B3868" s="6">
        <v>6.8287037037036997E-3</v>
      </c>
      <c r="C3868" s="5">
        <v>126</v>
      </c>
    </row>
    <row r="3869" spans="1:3">
      <c r="A3869" s="68">
        <v>37621</v>
      </c>
      <c r="B3869" s="6">
        <v>6.8865740740740701E-3</v>
      </c>
      <c r="C3869" s="5">
        <v>126</v>
      </c>
    </row>
    <row r="3870" spans="1:3">
      <c r="A3870" s="68">
        <v>37621</v>
      </c>
      <c r="B3870" s="6">
        <v>6.9444444444444397E-3</v>
      </c>
      <c r="C3870" s="5">
        <v>127</v>
      </c>
    </row>
    <row r="3871" spans="1:3">
      <c r="A3871" s="68">
        <v>37621</v>
      </c>
      <c r="B3871" s="6">
        <v>7.0023148148148102E-3</v>
      </c>
      <c r="C3871" s="5">
        <v>125</v>
      </c>
    </row>
    <row r="3872" spans="1:3">
      <c r="A3872" s="68">
        <v>37621</v>
      </c>
      <c r="B3872" s="6">
        <v>7.0601851851851798E-3</v>
      </c>
      <c r="C3872" s="5">
        <v>126</v>
      </c>
    </row>
    <row r="3873" spans="1:3">
      <c r="A3873" s="68">
        <v>37621</v>
      </c>
      <c r="B3873" s="6">
        <v>7.1180555555555598E-3</v>
      </c>
      <c r="C3873" s="5">
        <v>126</v>
      </c>
    </row>
    <row r="3874" spans="1:3">
      <c r="A3874" s="68">
        <v>37621</v>
      </c>
      <c r="B3874" s="6">
        <v>7.1759259259259302E-3</v>
      </c>
      <c r="C3874" s="5">
        <v>124</v>
      </c>
    </row>
    <row r="3875" spans="1:3">
      <c r="A3875" s="68">
        <v>37621</v>
      </c>
      <c r="B3875" s="6">
        <v>7.2337962962962998E-3</v>
      </c>
      <c r="C3875" s="5">
        <v>123</v>
      </c>
    </row>
    <row r="3876" spans="1:3">
      <c r="A3876" s="68">
        <v>37621</v>
      </c>
      <c r="B3876" s="6">
        <v>7.2916666666666703E-3</v>
      </c>
      <c r="C3876" s="5">
        <v>121</v>
      </c>
    </row>
    <row r="3877" spans="1:3">
      <c r="A3877" s="68">
        <v>37621</v>
      </c>
      <c r="B3877" s="6">
        <v>7.3495370370370398E-3</v>
      </c>
      <c r="C3877" s="5">
        <v>120</v>
      </c>
    </row>
    <row r="3878" spans="1:3">
      <c r="A3878" s="68">
        <v>37621</v>
      </c>
      <c r="B3878" s="6">
        <v>7.4074074074074103E-3</v>
      </c>
      <c r="C3878" s="5">
        <v>120</v>
      </c>
    </row>
    <row r="3879" spans="1:3">
      <c r="A3879" s="68">
        <v>37621</v>
      </c>
      <c r="B3879" s="6">
        <v>7.4652777777777799E-3</v>
      </c>
      <c r="C3879" s="5">
        <v>117</v>
      </c>
    </row>
    <row r="3880" spans="1:3">
      <c r="A3880" s="68">
        <v>37621</v>
      </c>
      <c r="B3880" s="6">
        <v>7.5231481481481503E-3</v>
      </c>
      <c r="C3880" s="5">
        <v>119</v>
      </c>
    </row>
    <row r="3881" spans="1:3">
      <c r="A3881" s="68">
        <v>37621</v>
      </c>
      <c r="B3881" s="6">
        <v>7.5810185185185199E-3</v>
      </c>
      <c r="C3881" s="5">
        <v>119</v>
      </c>
    </row>
    <row r="3882" spans="1:3">
      <c r="A3882" s="68">
        <v>37621</v>
      </c>
      <c r="B3882" s="6">
        <v>7.6388888888888904E-3</v>
      </c>
      <c r="C3882" s="5">
        <v>118</v>
      </c>
    </row>
    <row r="3883" spans="1:3">
      <c r="A3883" s="68">
        <v>37621</v>
      </c>
      <c r="B3883" s="6">
        <v>7.69675925925926E-3</v>
      </c>
      <c r="C3883" s="5">
        <v>114</v>
      </c>
    </row>
    <row r="3884" spans="1:3">
      <c r="A3884" s="68">
        <v>37621</v>
      </c>
      <c r="B3884" s="6">
        <v>7.7546296296296304E-3</v>
      </c>
      <c r="C3884" s="5">
        <v>119</v>
      </c>
    </row>
    <row r="3885" spans="1:3">
      <c r="A3885" s="68">
        <v>37621</v>
      </c>
      <c r="B3885" s="6">
        <v>7.8125E-3</v>
      </c>
      <c r="C3885" s="5">
        <v>119</v>
      </c>
    </row>
    <row r="3886" spans="1:3">
      <c r="A3886" s="68">
        <v>37621</v>
      </c>
      <c r="B3886" s="6">
        <v>7.8703703703703696E-3</v>
      </c>
      <c r="C3886" s="5">
        <v>119</v>
      </c>
    </row>
    <row r="3887" spans="1:3">
      <c r="A3887" s="68">
        <v>37621</v>
      </c>
      <c r="B3887" s="6">
        <v>7.9282407407407392E-3</v>
      </c>
      <c r="C3887" s="5">
        <v>118</v>
      </c>
    </row>
    <row r="3888" spans="1:3">
      <c r="A3888" s="68">
        <v>37621</v>
      </c>
      <c r="B3888" s="6">
        <v>7.9861111111111105E-3</v>
      </c>
      <c r="C3888" s="5">
        <v>120</v>
      </c>
    </row>
    <row r="3889" spans="1:3">
      <c r="A3889" s="68">
        <v>37621</v>
      </c>
      <c r="B3889" s="6">
        <v>8.0439814814814801E-3</v>
      </c>
      <c r="C3889" s="5">
        <v>121</v>
      </c>
    </row>
    <row r="3890" spans="1:3">
      <c r="A3890" s="68">
        <v>37621</v>
      </c>
      <c r="B3890" s="6">
        <v>8.1018518518518497E-3</v>
      </c>
      <c r="C3890" s="5">
        <v>121</v>
      </c>
    </row>
    <row r="3891" spans="1:3">
      <c r="A3891" s="68">
        <v>37621</v>
      </c>
      <c r="B3891" s="6">
        <v>8.1597222222222193E-3</v>
      </c>
      <c r="C3891" s="5">
        <v>121</v>
      </c>
    </row>
    <row r="3892" spans="1:3">
      <c r="A3892" s="68">
        <v>37621</v>
      </c>
      <c r="B3892" s="6">
        <v>8.2175925925925906E-3</v>
      </c>
      <c r="C3892" s="5">
        <v>123</v>
      </c>
    </row>
    <row r="3893" spans="1:3">
      <c r="A3893" s="68">
        <v>37621</v>
      </c>
      <c r="B3893" s="6">
        <v>8.2754629629629602E-3</v>
      </c>
      <c r="C3893" s="5">
        <v>124</v>
      </c>
    </row>
    <row r="3894" spans="1:3">
      <c r="A3894" s="68">
        <v>37621</v>
      </c>
      <c r="B3894" s="6">
        <v>8.3333333333333297E-3</v>
      </c>
      <c r="C3894" s="5">
        <v>124</v>
      </c>
    </row>
    <row r="3895" spans="1:3">
      <c r="A3895" s="68">
        <v>37621</v>
      </c>
      <c r="B3895" s="6">
        <v>8.3912037037036993E-3</v>
      </c>
      <c r="C3895" s="5">
        <v>123</v>
      </c>
    </row>
    <row r="3896" spans="1:3">
      <c r="A3896" s="68">
        <v>37621</v>
      </c>
      <c r="B3896" s="6">
        <v>8.4490740740740707E-3</v>
      </c>
      <c r="C3896" s="5">
        <v>123</v>
      </c>
    </row>
    <row r="3897" spans="1:3">
      <c r="A3897" s="68">
        <v>37621</v>
      </c>
      <c r="B3897" s="6">
        <v>8.5069444444444402E-3</v>
      </c>
      <c r="C3897" s="5">
        <v>123</v>
      </c>
    </row>
    <row r="3898" spans="1:3">
      <c r="A3898" s="68">
        <v>37621</v>
      </c>
      <c r="B3898" s="6">
        <v>8.5648148148148098E-3</v>
      </c>
      <c r="C3898" s="5">
        <v>123</v>
      </c>
    </row>
    <row r="3899" spans="1:3">
      <c r="A3899" s="68">
        <v>37621</v>
      </c>
      <c r="B3899" s="6">
        <v>8.6226851851851794E-3</v>
      </c>
      <c r="C3899" s="5">
        <v>119</v>
      </c>
    </row>
    <row r="3900" spans="1:3">
      <c r="A3900" s="68">
        <v>37621</v>
      </c>
      <c r="B3900" s="6">
        <v>8.6805555555555507E-3</v>
      </c>
      <c r="C3900" s="5">
        <v>120</v>
      </c>
    </row>
    <row r="3901" spans="1:3">
      <c r="A3901" s="68">
        <v>37621</v>
      </c>
      <c r="B3901" s="6">
        <v>8.7384259259259307E-3</v>
      </c>
      <c r="C3901" s="5">
        <v>121</v>
      </c>
    </row>
    <row r="3902" spans="1:3">
      <c r="A3902" s="68">
        <v>37621</v>
      </c>
      <c r="B3902" s="6">
        <v>8.7962962962963003E-3</v>
      </c>
      <c r="C3902" s="5">
        <v>123</v>
      </c>
    </row>
    <row r="3903" spans="1:3">
      <c r="A3903" s="68">
        <v>37621</v>
      </c>
      <c r="B3903" s="6">
        <v>8.8541666666666699E-3</v>
      </c>
      <c r="C3903" s="5">
        <v>123</v>
      </c>
    </row>
    <row r="3904" spans="1:3">
      <c r="A3904" s="68">
        <v>37621</v>
      </c>
      <c r="B3904" s="6">
        <v>8.9120370370370395E-3</v>
      </c>
      <c r="C3904" s="5">
        <v>122</v>
      </c>
    </row>
    <row r="3905" spans="1:7">
      <c r="A3905" s="68">
        <v>37621</v>
      </c>
      <c r="B3905" s="6">
        <v>8.9699074074074108E-3</v>
      </c>
      <c r="C3905" s="5">
        <v>124</v>
      </c>
    </row>
    <row r="3906" spans="1:7">
      <c r="A3906" s="68">
        <v>37621</v>
      </c>
      <c r="B3906" s="6">
        <v>9.0277777777777804E-3</v>
      </c>
      <c r="C3906" s="5">
        <v>125</v>
      </c>
    </row>
    <row r="3907" spans="1:7">
      <c r="A3907" s="68">
        <v>37621</v>
      </c>
      <c r="B3907" s="6">
        <v>9.08564814814815E-3</v>
      </c>
      <c r="C3907" s="5">
        <v>125</v>
      </c>
    </row>
    <row r="3908" spans="1:7">
      <c r="A3908" s="68">
        <v>37621</v>
      </c>
      <c r="B3908" s="6">
        <v>9.1435185185185196E-3</v>
      </c>
      <c r="C3908" s="5">
        <v>126</v>
      </c>
    </row>
    <row r="3909" spans="1:7">
      <c r="A3909" s="68">
        <v>37621</v>
      </c>
      <c r="B3909" s="6">
        <v>9.2013888888888892E-3</v>
      </c>
      <c r="C3909" s="5">
        <v>124</v>
      </c>
    </row>
    <row r="3910" spans="1:7">
      <c r="A3910" s="68">
        <v>37621</v>
      </c>
      <c r="B3910" s="6">
        <v>9.2592592592592605E-3</v>
      </c>
      <c r="C3910" s="5">
        <v>124</v>
      </c>
    </row>
    <row r="3911" spans="1:7">
      <c r="A3911" s="68">
        <v>37621</v>
      </c>
      <c r="B3911" s="6">
        <v>9.3171296296296301E-3</v>
      </c>
      <c r="C3911" s="5">
        <v>121</v>
      </c>
    </row>
    <row r="3912" spans="1:7">
      <c r="A3912" s="68">
        <v>37621</v>
      </c>
      <c r="B3912" s="6">
        <v>9.3749999999999997E-3</v>
      </c>
      <c r="C3912" s="5">
        <v>121</v>
      </c>
    </row>
    <row r="3913" spans="1:7">
      <c r="A3913" s="68">
        <v>37621</v>
      </c>
      <c r="B3913" s="6">
        <v>9.4328703703703692E-3</v>
      </c>
      <c r="C3913" s="5">
        <v>121</v>
      </c>
    </row>
    <row r="3914" spans="1:7">
      <c r="A3914" s="68">
        <v>37621</v>
      </c>
      <c r="B3914" s="6">
        <v>9.4907407407407406E-3</v>
      </c>
      <c r="C3914" s="5">
        <v>122</v>
      </c>
    </row>
    <row r="3915" spans="1:7">
      <c r="A3915" s="68">
        <v>37621</v>
      </c>
      <c r="B3915" s="6">
        <v>9.5486111111111101E-3</v>
      </c>
      <c r="C3915" s="5">
        <v>121</v>
      </c>
    </row>
    <row r="3916" spans="1:7">
      <c r="A3916" s="68">
        <v>37621</v>
      </c>
      <c r="B3916" s="6">
        <v>9.6064814814814797E-3</v>
      </c>
      <c r="C3916" s="5">
        <v>120</v>
      </c>
      <c r="D3916" s="4" t="s">
        <v>182</v>
      </c>
      <c r="G3916" s="4">
        <f>AVERAGE(C3842:C3916)</f>
        <v>119.85333333333334</v>
      </c>
    </row>
    <row r="3917" spans="1:7">
      <c r="A3917" s="68">
        <v>37621</v>
      </c>
      <c r="B3917" s="6">
        <v>9.6643518518518493E-3</v>
      </c>
      <c r="C3917" s="5">
        <v>119</v>
      </c>
    </row>
    <row r="3918" spans="1:7">
      <c r="A3918" s="68">
        <v>37621</v>
      </c>
      <c r="B3918" s="6">
        <v>9.7222222222222206E-3</v>
      </c>
      <c r="C3918" s="5">
        <v>117</v>
      </c>
    </row>
    <row r="3919" spans="1:7">
      <c r="A3919" s="68">
        <v>37621</v>
      </c>
      <c r="B3919" s="6">
        <v>9.7800925925925902E-3</v>
      </c>
      <c r="C3919" s="5">
        <v>110</v>
      </c>
    </row>
    <row r="3920" spans="1:7">
      <c r="A3920" s="68">
        <v>37621</v>
      </c>
      <c r="B3920" s="6">
        <v>9.8379629629629598E-3</v>
      </c>
      <c r="C3920" s="5">
        <v>103</v>
      </c>
    </row>
    <row r="3921" spans="1:4">
      <c r="A3921" s="68">
        <v>37621</v>
      </c>
      <c r="B3921" s="6">
        <v>9.8958333333333294E-3</v>
      </c>
      <c r="C3921" s="5">
        <v>104</v>
      </c>
    </row>
    <row r="3922" spans="1:4">
      <c r="A3922" s="68">
        <v>37621</v>
      </c>
      <c r="B3922" s="6">
        <v>9.9537037037037007E-3</v>
      </c>
      <c r="C3922" s="5">
        <v>100</v>
      </c>
    </row>
    <row r="3923" spans="1:4">
      <c r="A3923" s="68">
        <v>37621</v>
      </c>
      <c r="B3923" s="6">
        <v>1.00115740740741E-2</v>
      </c>
      <c r="C3923" s="5">
        <v>100</v>
      </c>
    </row>
    <row r="3924" spans="1:4">
      <c r="A3924" s="68">
        <v>37621</v>
      </c>
      <c r="B3924" s="6">
        <v>1.00694444444444E-2</v>
      </c>
      <c r="C3924" s="5">
        <v>100</v>
      </c>
    </row>
    <row r="3925" spans="1:4">
      <c r="A3925" s="68">
        <v>37621</v>
      </c>
      <c r="B3925" s="6">
        <v>1.0127314814814801E-2</v>
      </c>
      <c r="C3925" s="5">
        <v>90</v>
      </c>
    </row>
    <row r="3926" spans="1:4">
      <c r="A3926" s="68">
        <v>37621</v>
      </c>
      <c r="B3926" s="6">
        <v>1.01851851851852E-2</v>
      </c>
      <c r="C3926" s="5">
        <v>83</v>
      </c>
    </row>
    <row r="3927" spans="1:4">
      <c r="A3927" s="68">
        <v>37621</v>
      </c>
      <c r="B3927" s="6">
        <v>1.0243055555555601E-2</v>
      </c>
      <c r="C3927" s="5">
        <v>84</v>
      </c>
    </row>
    <row r="3928" spans="1:4">
      <c r="A3928" s="68">
        <v>37621</v>
      </c>
      <c r="B3928" s="6">
        <v>1.0300925925925899E-2</v>
      </c>
      <c r="C3928" s="5">
        <v>82</v>
      </c>
      <c r="D3928" s="4" t="s">
        <v>183</v>
      </c>
    </row>
    <row r="3929" spans="1:4">
      <c r="A3929" s="68">
        <v>37621</v>
      </c>
      <c r="B3929" s="6">
        <v>1.03587962962963E-2</v>
      </c>
      <c r="C3929" s="5">
        <v>100</v>
      </c>
    </row>
    <row r="3930" spans="1:4">
      <c r="A3930" s="68">
        <v>37621</v>
      </c>
      <c r="B3930" s="6">
        <v>1.0416666666666701E-2</v>
      </c>
      <c r="C3930" s="5">
        <v>101</v>
      </c>
    </row>
    <row r="3931" spans="1:4">
      <c r="A3931" s="68">
        <v>37621</v>
      </c>
      <c r="B3931" s="6">
        <v>1.0474537037036999E-2</v>
      </c>
      <c r="C3931" s="5">
        <v>101</v>
      </c>
    </row>
    <row r="3932" spans="1:4">
      <c r="A3932" s="68">
        <v>37621</v>
      </c>
      <c r="B3932" s="6">
        <v>1.05324074074074E-2</v>
      </c>
      <c r="C3932" s="5">
        <v>110</v>
      </c>
    </row>
    <row r="3933" spans="1:4">
      <c r="A3933" s="68">
        <v>37621</v>
      </c>
      <c r="B3933" s="6">
        <v>1.0590277777777799E-2</v>
      </c>
      <c r="C3933" s="5">
        <v>109</v>
      </c>
    </row>
    <row r="3934" spans="1:4">
      <c r="A3934" s="68">
        <v>37621</v>
      </c>
      <c r="B3934" s="6">
        <v>1.0648148148148099E-2</v>
      </c>
      <c r="C3934" s="5">
        <v>93</v>
      </c>
    </row>
    <row r="3935" spans="1:4">
      <c r="A3935" s="68">
        <v>37621</v>
      </c>
      <c r="B3935" s="6">
        <v>1.07060185185185E-2</v>
      </c>
      <c r="C3935" s="5">
        <v>100</v>
      </c>
    </row>
    <row r="3936" spans="1:4">
      <c r="A3936" s="68">
        <v>37621</v>
      </c>
      <c r="B3936" s="6">
        <v>1.0763888888888899E-2</v>
      </c>
      <c r="C3936" s="5">
        <v>101</v>
      </c>
    </row>
    <row r="3937" spans="1:4">
      <c r="A3937" s="68">
        <v>37621</v>
      </c>
      <c r="B3937" s="6">
        <v>1.08217592592593E-2</v>
      </c>
      <c r="C3937" s="5">
        <v>100</v>
      </c>
    </row>
    <row r="3938" spans="1:4">
      <c r="A3938" s="68">
        <v>37621</v>
      </c>
      <c r="B3938" s="6">
        <v>1.08796296296296E-2</v>
      </c>
      <c r="C3938" s="5">
        <v>99</v>
      </c>
    </row>
    <row r="3939" spans="1:4">
      <c r="A3939" s="68">
        <v>37621</v>
      </c>
      <c r="B3939" s="6">
        <v>1.0937499999999999E-2</v>
      </c>
      <c r="C3939" s="5">
        <v>98</v>
      </c>
    </row>
    <row r="3940" spans="1:4">
      <c r="A3940" s="68">
        <v>37621</v>
      </c>
      <c r="B3940" s="6">
        <v>1.09953703703704E-2</v>
      </c>
      <c r="C3940" s="5">
        <v>97</v>
      </c>
    </row>
    <row r="3941" spans="1:4">
      <c r="A3941" s="68">
        <v>37621</v>
      </c>
      <c r="B3941" s="6">
        <v>1.10532407407407E-2</v>
      </c>
      <c r="C3941" s="5">
        <v>99</v>
      </c>
    </row>
    <row r="3942" spans="1:4">
      <c r="A3942" s="68">
        <v>37621</v>
      </c>
      <c r="B3942" s="6">
        <v>1.1111111111111099E-2</v>
      </c>
      <c r="C3942" s="5">
        <v>96</v>
      </c>
    </row>
    <row r="3943" spans="1:4">
      <c r="A3943" s="68">
        <v>37621</v>
      </c>
      <c r="B3943" s="6">
        <v>1.11689814814815E-2</v>
      </c>
      <c r="C3943" s="5">
        <v>94</v>
      </c>
    </row>
    <row r="3944" spans="1:4">
      <c r="A3944" s="68">
        <v>37621</v>
      </c>
      <c r="B3944" s="6">
        <v>1.1226851851851899E-2</v>
      </c>
      <c r="C3944" s="5">
        <v>94</v>
      </c>
    </row>
    <row r="3945" spans="1:4">
      <c r="A3945" s="68">
        <v>37621</v>
      </c>
      <c r="B3945" s="6">
        <v>1.1284722222222199E-2</v>
      </c>
      <c r="C3945" s="5">
        <v>94</v>
      </c>
    </row>
    <row r="3946" spans="1:4">
      <c r="A3946" s="68">
        <v>37621</v>
      </c>
      <c r="B3946" s="6">
        <v>1.13425925925926E-2</v>
      </c>
      <c r="C3946" s="5">
        <v>80</v>
      </c>
    </row>
    <row r="3947" spans="1:4">
      <c r="A3947" s="68">
        <v>37621</v>
      </c>
      <c r="B3947" s="6">
        <v>1.1400462962962999E-2</v>
      </c>
      <c r="C3947" s="5">
        <v>79</v>
      </c>
    </row>
    <row r="3948" spans="1:4">
      <c r="A3948" s="68">
        <v>37621</v>
      </c>
      <c r="B3948" s="6">
        <v>1.14583333333333E-2</v>
      </c>
      <c r="C3948" s="5">
        <v>78</v>
      </c>
    </row>
    <row r="3949" spans="1:4">
      <c r="A3949" s="68">
        <v>37621</v>
      </c>
      <c r="B3949" s="6">
        <v>1.15162037037037E-2</v>
      </c>
      <c r="C3949" s="5">
        <v>75</v>
      </c>
    </row>
    <row r="3950" spans="1:4">
      <c r="A3950" s="68">
        <v>37621</v>
      </c>
      <c r="B3950" s="6">
        <v>1.1574074074074099E-2</v>
      </c>
      <c r="C3950" s="5">
        <v>75</v>
      </c>
    </row>
    <row r="3951" spans="1:4">
      <c r="A3951" s="68">
        <v>37621</v>
      </c>
      <c r="B3951" s="6">
        <v>1.16319444444444E-2</v>
      </c>
      <c r="C3951" s="5">
        <v>84</v>
      </c>
      <c r="D3951" s="4" t="s">
        <v>185</v>
      </c>
    </row>
    <row r="3952" spans="1:4">
      <c r="A3952" s="68">
        <v>37621</v>
      </c>
      <c r="B3952" s="6">
        <v>1.16898148148148E-2</v>
      </c>
      <c r="C3952" s="5">
        <v>96</v>
      </c>
    </row>
    <row r="3953" spans="1:3">
      <c r="A3953" s="68">
        <v>37621</v>
      </c>
      <c r="B3953" s="6">
        <v>1.17476851851852E-2</v>
      </c>
      <c r="C3953" s="5">
        <v>101</v>
      </c>
    </row>
    <row r="3954" spans="1:3">
      <c r="A3954" s="68">
        <v>37621</v>
      </c>
      <c r="B3954" s="6">
        <v>1.18055555555556E-2</v>
      </c>
      <c r="C3954" s="5">
        <v>103</v>
      </c>
    </row>
    <row r="3955" spans="1:3">
      <c r="A3955" s="68">
        <v>37621</v>
      </c>
      <c r="B3955" s="6">
        <v>1.1863425925925901E-2</v>
      </c>
      <c r="C3955" s="5">
        <v>105</v>
      </c>
    </row>
    <row r="3956" spans="1:3">
      <c r="A3956" s="68">
        <v>37621</v>
      </c>
      <c r="B3956" s="6">
        <v>1.19212962962963E-2</v>
      </c>
      <c r="C3956" s="5">
        <v>105</v>
      </c>
    </row>
    <row r="3957" spans="1:3">
      <c r="A3957" s="68">
        <v>37621</v>
      </c>
      <c r="B3957" s="6">
        <v>1.19791666666667E-2</v>
      </c>
      <c r="C3957" s="5">
        <v>115</v>
      </c>
    </row>
    <row r="3958" spans="1:3">
      <c r="A3958" s="68">
        <v>37621</v>
      </c>
      <c r="B3958" s="6">
        <v>1.2037037037037001E-2</v>
      </c>
      <c r="C3958" s="5">
        <v>117</v>
      </c>
    </row>
    <row r="3959" spans="1:3">
      <c r="A3959" s="68">
        <v>37621</v>
      </c>
      <c r="B3959" s="6">
        <v>1.20949074074074E-2</v>
      </c>
      <c r="C3959" s="5">
        <v>117</v>
      </c>
    </row>
    <row r="3960" spans="1:3">
      <c r="A3960" s="68">
        <v>37621</v>
      </c>
      <c r="B3960" s="6">
        <v>1.2152777777777801E-2</v>
      </c>
      <c r="C3960" s="5">
        <v>120</v>
      </c>
    </row>
    <row r="3961" spans="1:3">
      <c r="A3961" s="68">
        <v>37621</v>
      </c>
      <c r="B3961" s="6">
        <v>1.2210648148148101E-2</v>
      </c>
      <c r="C3961" s="5">
        <v>121</v>
      </c>
    </row>
    <row r="3962" spans="1:3">
      <c r="A3962" s="68">
        <v>37621</v>
      </c>
      <c r="B3962" s="6">
        <v>1.22685185185185E-2</v>
      </c>
      <c r="C3962" s="5">
        <v>120</v>
      </c>
    </row>
    <row r="3963" spans="1:3">
      <c r="A3963" s="68">
        <v>37621</v>
      </c>
      <c r="B3963" s="6">
        <v>1.2326388888888901E-2</v>
      </c>
      <c r="C3963" s="5">
        <v>120</v>
      </c>
    </row>
    <row r="3964" spans="1:3">
      <c r="A3964" s="68">
        <v>37621</v>
      </c>
      <c r="B3964" s="6">
        <v>1.23842592592593E-2</v>
      </c>
      <c r="C3964" s="5">
        <v>121</v>
      </c>
    </row>
    <row r="3965" spans="1:3">
      <c r="A3965" s="68">
        <v>37621</v>
      </c>
      <c r="B3965" s="6">
        <v>1.24421296296296E-2</v>
      </c>
      <c r="C3965" s="5">
        <v>120</v>
      </c>
    </row>
    <row r="3966" spans="1:3">
      <c r="A3966" s="68">
        <v>37621</v>
      </c>
      <c r="B3966" s="6">
        <v>1.2500000000000001E-2</v>
      </c>
      <c r="C3966" s="5">
        <v>121</v>
      </c>
    </row>
    <row r="3967" spans="1:3">
      <c r="A3967" s="68">
        <v>37621</v>
      </c>
      <c r="B3967" s="6">
        <v>1.25578703703704E-2</v>
      </c>
      <c r="C3967" s="5">
        <v>121</v>
      </c>
    </row>
    <row r="3968" spans="1:3">
      <c r="A3968" s="68">
        <v>37621</v>
      </c>
      <c r="B3968" s="6">
        <v>1.26157407407407E-2</v>
      </c>
      <c r="C3968" s="5">
        <v>120</v>
      </c>
    </row>
    <row r="3969" spans="1:3">
      <c r="A3969" s="68">
        <v>37621</v>
      </c>
      <c r="B3969" s="6">
        <v>1.2673611111111101E-2</v>
      </c>
      <c r="C3969" s="5">
        <v>121</v>
      </c>
    </row>
    <row r="3970" spans="1:3">
      <c r="A3970" s="68">
        <v>37621</v>
      </c>
      <c r="B3970" s="6">
        <v>1.27314814814815E-2</v>
      </c>
      <c r="C3970" s="5">
        <v>120</v>
      </c>
    </row>
    <row r="3971" spans="1:3">
      <c r="A3971" s="68">
        <v>37621</v>
      </c>
      <c r="B3971" s="6">
        <v>1.2789351851851901E-2</v>
      </c>
      <c r="C3971" s="5">
        <v>122</v>
      </c>
    </row>
    <row r="3972" spans="1:3">
      <c r="A3972" s="68">
        <v>37621</v>
      </c>
      <c r="B3972" s="6">
        <v>1.2847222222222201E-2</v>
      </c>
      <c r="C3972" s="5">
        <v>126</v>
      </c>
    </row>
    <row r="3973" spans="1:3">
      <c r="A3973" s="68">
        <v>37621</v>
      </c>
      <c r="B3973" s="6">
        <v>1.29050925925926E-2</v>
      </c>
      <c r="C3973" s="5">
        <v>127</v>
      </c>
    </row>
    <row r="3974" spans="1:3">
      <c r="A3974" s="68">
        <v>37621</v>
      </c>
      <c r="B3974" s="6">
        <v>1.2962962962963001E-2</v>
      </c>
      <c r="C3974" s="5">
        <v>126</v>
      </c>
    </row>
    <row r="3975" spans="1:3">
      <c r="A3975" s="68">
        <v>37621</v>
      </c>
      <c r="B3975" s="6">
        <v>1.3020833333333299E-2</v>
      </c>
      <c r="C3975" s="5">
        <v>128</v>
      </c>
    </row>
    <row r="3976" spans="1:3">
      <c r="A3976" s="68">
        <v>37621</v>
      </c>
      <c r="B3976" s="6">
        <v>1.30787037037037E-2</v>
      </c>
      <c r="C3976" s="5">
        <v>127</v>
      </c>
    </row>
    <row r="3977" spans="1:3">
      <c r="A3977" s="68">
        <v>37621</v>
      </c>
      <c r="B3977" s="6">
        <v>1.3136574074074101E-2</v>
      </c>
      <c r="C3977" s="5">
        <v>127</v>
      </c>
    </row>
    <row r="3978" spans="1:3">
      <c r="A3978" s="68">
        <v>37621</v>
      </c>
      <c r="B3978" s="6">
        <v>1.3194444444444399E-2</v>
      </c>
      <c r="C3978" s="5">
        <v>127</v>
      </c>
    </row>
    <row r="3979" spans="1:3">
      <c r="A3979" s="68">
        <v>37621</v>
      </c>
      <c r="B3979" s="6">
        <v>1.32523148148148E-2</v>
      </c>
      <c r="C3979" s="5">
        <v>125</v>
      </c>
    </row>
    <row r="3980" spans="1:3">
      <c r="A3980" s="68">
        <v>37621</v>
      </c>
      <c r="B3980" s="6">
        <v>1.3310185185185199E-2</v>
      </c>
      <c r="C3980" s="5">
        <v>124</v>
      </c>
    </row>
    <row r="3981" spans="1:3">
      <c r="A3981" s="68">
        <v>37621</v>
      </c>
      <c r="B3981" s="6">
        <v>1.33680555555556E-2</v>
      </c>
      <c r="C3981" s="5">
        <v>125</v>
      </c>
    </row>
    <row r="3982" spans="1:3">
      <c r="A3982" s="68">
        <v>37621</v>
      </c>
      <c r="B3982" s="6">
        <v>1.34259259259259E-2</v>
      </c>
      <c r="C3982" s="5">
        <v>122</v>
      </c>
    </row>
    <row r="3983" spans="1:3">
      <c r="A3983" s="68">
        <v>37621</v>
      </c>
      <c r="B3983" s="6">
        <v>1.3483796296296299E-2</v>
      </c>
      <c r="C3983" s="5">
        <v>123</v>
      </c>
    </row>
    <row r="3984" spans="1:3">
      <c r="A3984" s="68">
        <v>37621</v>
      </c>
      <c r="B3984" s="6">
        <v>1.35416666666667E-2</v>
      </c>
      <c r="C3984" s="5">
        <v>123</v>
      </c>
    </row>
    <row r="3985" spans="1:4">
      <c r="A3985" s="68">
        <v>37621</v>
      </c>
      <c r="B3985" s="6">
        <v>1.3599537037037E-2</v>
      </c>
      <c r="C3985" s="5">
        <v>124</v>
      </c>
    </row>
    <row r="3986" spans="1:4">
      <c r="A3986" s="68">
        <v>37621</v>
      </c>
      <c r="B3986" s="6">
        <v>1.3657407407407399E-2</v>
      </c>
      <c r="C3986" s="5">
        <v>124</v>
      </c>
    </row>
    <row r="3987" spans="1:4">
      <c r="A3987" s="68">
        <v>37621</v>
      </c>
      <c r="B3987" s="6">
        <v>1.37152777777778E-2</v>
      </c>
      <c r="C3987" s="5">
        <v>125</v>
      </c>
    </row>
    <row r="3988" spans="1:4">
      <c r="A3988" s="68">
        <v>37621</v>
      </c>
      <c r="B3988" s="6">
        <v>1.37731481481481E-2</v>
      </c>
      <c r="C3988" s="5">
        <v>125</v>
      </c>
    </row>
    <row r="3989" spans="1:4">
      <c r="A3989" s="68">
        <v>37621</v>
      </c>
      <c r="B3989" s="6">
        <v>1.3831018518518499E-2</v>
      </c>
      <c r="C3989" s="5">
        <v>123</v>
      </c>
    </row>
    <row r="3990" spans="1:4">
      <c r="A3990" s="68">
        <v>37621</v>
      </c>
      <c r="B3990" s="6">
        <v>1.38888888888889E-2</v>
      </c>
      <c r="C3990" s="5">
        <v>123</v>
      </c>
    </row>
    <row r="3991" spans="1:4">
      <c r="A3991" s="68">
        <v>37621</v>
      </c>
      <c r="B3991" s="6">
        <v>1.3946759259259299E-2</v>
      </c>
      <c r="C3991" s="5">
        <v>122</v>
      </c>
    </row>
    <row r="3992" spans="1:4">
      <c r="A3992" s="68">
        <v>37621</v>
      </c>
      <c r="B3992" s="6">
        <v>1.40046296296296E-2</v>
      </c>
      <c r="C3992" s="5">
        <v>122</v>
      </c>
    </row>
    <row r="3993" spans="1:4">
      <c r="A3993" s="68">
        <v>37621</v>
      </c>
      <c r="B3993" s="6">
        <v>1.40625E-2</v>
      </c>
      <c r="C3993" s="5">
        <v>121</v>
      </c>
    </row>
    <row r="3994" spans="1:4">
      <c r="A3994" s="68">
        <v>37621</v>
      </c>
      <c r="B3994" s="6">
        <v>1.4120370370370399E-2</v>
      </c>
      <c r="C3994" s="5">
        <v>123</v>
      </c>
    </row>
    <row r="3995" spans="1:4">
      <c r="A3995" s="68">
        <v>37621</v>
      </c>
      <c r="B3995" s="6">
        <v>1.41782407407407E-2</v>
      </c>
      <c r="C3995" s="5">
        <v>123</v>
      </c>
    </row>
    <row r="3996" spans="1:4">
      <c r="A3996" s="68">
        <v>37621</v>
      </c>
      <c r="B3996" s="6">
        <v>1.42361111111111E-2</v>
      </c>
      <c r="C3996" s="5">
        <v>123</v>
      </c>
      <c r="D3996" s="4" t="s">
        <v>186</v>
      </c>
    </row>
    <row r="3997" spans="1:4">
      <c r="A3997" s="68">
        <v>37621</v>
      </c>
      <c r="B3997" s="6">
        <v>1.42939814814815E-2</v>
      </c>
      <c r="C3997" s="5">
        <v>122</v>
      </c>
    </row>
    <row r="3998" spans="1:4">
      <c r="A3998" s="68">
        <v>37621</v>
      </c>
      <c r="B3998" s="6">
        <v>1.43518518518519E-2</v>
      </c>
      <c r="C3998" s="5">
        <v>119</v>
      </c>
    </row>
    <row r="3999" spans="1:4">
      <c r="A3999" s="68">
        <v>37621</v>
      </c>
      <c r="B3999" s="6">
        <v>1.4409722222222201E-2</v>
      </c>
      <c r="C3999" s="5">
        <v>117</v>
      </c>
    </row>
    <row r="4000" spans="1:4">
      <c r="A4000" s="68">
        <v>37621</v>
      </c>
      <c r="B4000" s="6">
        <v>1.44675925925926E-2</v>
      </c>
      <c r="C4000" s="5">
        <v>107</v>
      </c>
    </row>
    <row r="4001" spans="1:4">
      <c r="A4001" s="68">
        <v>37621</v>
      </c>
      <c r="B4001" s="6">
        <v>1.4525462962963E-2</v>
      </c>
      <c r="C4001" s="5">
        <v>98</v>
      </c>
    </row>
    <row r="4002" spans="1:4">
      <c r="A4002" s="68">
        <v>37621</v>
      </c>
      <c r="B4002" s="6">
        <v>1.4583333333333301E-2</v>
      </c>
      <c r="C4002" s="5">
        <v>85</v>
      </c>
    </row>
    <row r="4003" spans="1:4">
      <c r="A4003" s="68">
        <v>37621</v>
      </c>
      <c r="B4003" s="6">
        <v>1.46412037037037E-2</v>
      </c>
      <c r="C4003" s="5">
        <v>80</v>
      </c>
    </row>
    <row r="4004" spans="1:4">
      <c r="A4004" s="68">
        <v>37621</v>
      </c>
      <c r="B4004" s="6">
        <v>1.46990740740741E-2</v>
      </c>
      <c r="C4004" s="5">
        <v>80</v>
      </c>
    </row>
    <row r="4005" spans="1:4">
      <c r="A4005" s="68">
        <v>37621</v>
      </c>
      <c r="B4005" s="6">
        <v>1.4756944444444401E-2</v>
      </c>
      <c r="C4005" s="5">
        <v>82</v>
      </c>
    </row>
    <row r="4006" spans="1:4">
      <c r="A4006" s="68">
        <v>37621</v>
      </c>
      <c r="B4006" s="6">
        <v>1.48148148148148E-2</v>
      </c>
      <c r="C4006" s="5">
        <v>82</v>
      </c>
    </row>
    <row r="4007" spans="1:4">
      <c r="A4007" s="68">
        <v>37621</v>
      </c>
      <c r="B4007" s="6">
        <v>1.4872685185185201E-2</v>
      </c>
      <c r="C4007" s="5">
        <v>81</v>
      </c>
    </row>
    <row r="4008" spans="1:4">
      <c r="A4008" s="68">
        <v>37621</v>
      </c>
      <c r="B4008" s="6">
        <v>1.49305555555556E-2</v>
      </c>
      <c r="C4008" s="5">
        <v>83</v>
      </c>
      <c r="D4008" s="4" t="s">
        <v>187</v>
      </c>
    </row>
    <row r="4009" spans="1:4">
      <c r="A4009" s="68">
        <v>37621</v>
      </c>
      <c r="B4009" s="6">
        <v>1.49884259259259E-2</v>
      </c>
      <c r="C4009" s="5">
        <v>83</v>
      </c>
    </row>
    <row r="4010" spans="1:4">
      <c r="A4010" s="68">
        <v>37621</v>
      </c>
      <c r="B4010" s="6">
        <v>1.5046296296296301E-2</v>
      </c>
      <c r="C4010" s="5">
        <v>103</v>
      </c>
    </row>
    <row r="4011" spans="1:4">
      <c r="A4011" s="68">
        <v>37621</v>
      </c>
      <c r="B4011" s="6">
        <v>1.51041666666667E-2</v>
      </c>
      <c r="C4011" s="5">
        <v>109</v>
      </c>
    </row>
    <row r="4012" spans="1:4">
      <c r="A4012" s="68">
        <v>37621</v>
      </c>
      <c r="B4012" s="6">
        <v>1.5162037037037E-2</v>
      </c>
      <c r="C4012" s="5">
        <v>109</v>
      </c>
    </row>
    <row r="4013" spans="1:4">
      <c r="A4013" s="68">
        <v>37621</v>
      </c>
      <c r="B4013" s="6">
        <v>1.5219907407407401E-2</v>
      </c>
      <c r="C4013" s="5">
        <v>115</v>
      </c>
    </row>
    <row r="4014" spans="1:4">
      <c r="A4014" s="68">
        <v>37621</v>
      </c>
      <c r="B4014" s="6">
        <v>1.52777777777778E-2</v>
      </c>
      <c r="C4014" s="5">
        <v>117</v>
      </c>
    </row>
    <row r="4015" spans="1:4">
      <c r="A4015" s="68">
        <v>37621</v>
      </c>
      <c r="B4015" s="6">
        <v>1.53356481481481E-2</v>
      </c>
      <c r="C4015" s="5">
        <v>123</v>
      </c>
    </row>
    <row r="4016" spans="1:4">
      <c r="A4016" s="68">
        <v>37621</v>
      </c>
      <c r="B4016" s="6">
        <v>1.5393518518518501E-2</v>
      </c>
      <c r="C4016" s="5">
        <v>124</v>
      </c>
    </row>
    <row r="4017" spans="1:3">
      <c r="A4017" s="68">
        <v>37621</v>
      </c>
      <c r="B4017" s="6">
        <v>1.54513888888889E-2</v>
      </c>
      <c r="C4017" s="5">
        <v>123</v>
      </c>
    </row>
    <row r="4018" spans="1:3">
      <c r="A4018" s="68">
        <v>37621</v>
      </c>
      <c r="B4018" s="6">
        <v>1.5509259259259301E-2</v>
      </c>
      <c r="C4018" s="5">
        <v>123</v>
      </c>
    </row>
    <row r="4019" spans="1:3">
      <c r="A4019" s="68">
        <v>37621</v>
      </c>
      <c r="B4019" s="6">
        <v>1.5567129629629599E-2</v>
      </c>
      <c r="C4019" s="5">
        <v>125</v>
      </c>
    </row>
    <row r="4020" spans="1:3">
      <c r="A4020" s="68">
        <v>37621</v>
      </c>
      <c r="B4020" s="6">
        <v>1.5625E-2</v>
      </c>
      <c r="C4020" s="5">
        <v>125</v>
      </c>
    </row>
    <row r="4021" spans="1:3">
      <c r="A4021" s="68">
        <v>37621</v>
      </c>
      <c r="B4021" s="6">
        <v>1.5682870370370399E-2</v>
      </c>
      <c r="C4021" s="5">
        <v>128</v>
      </c>
    </row>
    <row r="4022" spans="1:3">
      <c r="A4022" s="68">
        <v>37621</v>
      </c>
      <c r="B4022" s="6">
        <v>1.5740740740740701E-2</v>
      </c>
      <c r="C4022" s="5">
        <v>128</v>
      </c>
    </row>
    <row r="4023" spans="1:3">
      <c r="A4023" s="68">
        <v>37621</v>
      </c>
      <c r="B4023" s="6">
        <v>1.57986111111111E-2</v>
      </c>
      <c r="C4023" s="5">
        <v>128</v>
      </c>
    </row>
    <row r="4024" spans="1:3">
      <c r="A4024" s="68">
        <v>37621</v>
      </c>
      <c r="B4024" s="6">
        <v>1.5856481481481499E-2</v>
      </c>
      <c r="C4024" s="5">
        <v>128</v>
      </c>
    </row>
    <row r="4025" spans="1:3">
      <c r="A4025" s="68">
        <v>37621</v>
      </c>
      <c r="B4025" s="6">
        <v>1.5914351851851801E-2</v>
      </c>
      <c r="C4025" s="5">
        <v>128</v>
      </c>
    </row>
    <row r="4026" spans="1:3">
      <c r="A4026" s="68">
        <v>37621</v>
      </c>
      <c r="B4026" s="6">
        <v>1.59722222222222E-2</v>
      </c>
      <c r="C4026" s="5">
        <v>128</v>
      </c>
    </row>
    <row r="4027" spans="1:3">
      <c r="A4027" s="68">
        <v>37621</v>
      </c>
      <c r="B4027" s="6">
        <v>1.6030092592592599E-2</v>
      </c>
      <c r="C4027" s="5">
        <v>127</v>
      </c>
    </row>
    <row r="4028" spans="1:3">
      <c r="A4028" s="68">
        <v>37621</v>
      </c>
      <c r="B4028" s="6">
        <v>1.6087962962962998E-2</v>
      </c>
      <c r="C4028" s="5">
        <v>128</v>
      </c>
    </row>
    <row r="4029" spans="1:3">
      <c r="A4029" s="68">
        <v>37621</v>
      </c>
      <c r="B4029" s="6">
        <v>1.61458333333333E-2</v>
      </c>
      <c r="C4029" s="5">
        <v>130</v>
      </c>
    </row>
    <row r="4030" spans="1:3">
      <c r="A4030" s="68">
        <v>37621</v>
      </c>
      <c r="B4030" s="6">
        <v>1.6203703703703699E-2</v>
      </c>
      <c r="C4030" s="5">
        <v>131</v>
      </c>
    </row>
    <row r="4031" spans="1:3">
      <c r="A4031" s="68">
        <v>37621</v>
      </c>
      <c r="B4031" s="6">
        <v>1.6261574074074098E-2</v>
      </c>
      <c r="C4031" s="5">
        <v>131</v>
      </c>
    </row>
    <row r="4032" spans="1:3">
      <c r="A4032" s="68">
        <v>37621</v>
      </c>
      <c r="B4032" s="6">
        <v>1.63194444444444E-2</v>
      </c>
      <c r="C4032" s="5">
        <v>129</v>
      </c>
    </row>
    <row r="4033" spans="1:3">
      <c r="A4033" s="68">
        <v>37621</v>
      </c>
      <c r="B4033" s="6">
        <v>1.6377314814814799E-2</v>
      </c>
      <c r="C4033" s="5">
        <v>129</v>
      </c>
    </row>
    <row r="4034" spans="1:3">
      <c r="A4034" s="68">
        <v>37621</v>
      </c>
      <c r="B4034" s="6">
        <v>1.6435185185185198E-2</v>
      </c>
      <c r="C4034" s="5">
        <v>128</v>
      </c>
    </row>
    <row r="4035" spans="1:3">
      <c r="A4035" s="68">
        <v>37621</v>
      </c>
      <c r="B4035" s="6">
        <v>1.6493055555555601E-2</v>
      </c>
      <c r="C4035" s="5">
        <v>129</v>
      </c>
    </row>
    <row r="4036" spans="1:3">
      <c r="A4036" s="68">
        <v>37621</v>
      </c>
      <c r="B4036" s="6">
        <v>1.65509259259259E-2</v>
      </c>
      <c r="C4036" s="5">
        <v>129</v>
      </c>
    </row>
    <row r="4037" spans="1:3">
      <c r="A4037" s="68">
        <v>37621</v>
      </c>
      <c r="B4037" s="6">
        <v>1.6608796296296299E-2</v>
      </c>
      <c r="C4037" s="5">
        <v>131</v>
      </c>
    </row>
    <row r="4038" spans="1:3">
      <c r="A4038" s="68">
        <v>37621</v>
      </c>
      <c r="B4038" s="6">
        <v>1.6666666666666701E-2</v>
      </c>
      <c r="C4038" s="5">
        <v>132</v>
      </c>
    </row>
    <row r="4039" spans="1:3">
      <c r="A4039" s="68">
        <v>37621</v>
      </c>
      <c r="B4039" s="6">
        <v>1.6724537037037E-2</v>
      </c>
      <c r="C4039" s="5">
        <v>133</v>
      </c>
    </row>
    <row r="4040" spans="1:3">
      <c r="A4040" s="68">
        <v>37621</v>
      </c>
      <c r="B4040" s="6">
        <v>1.6782407407407399E-2</v>
      </c>
      <c r="C4040" s="5">
        <v>133</v>
      </c>
    </row>
    <row r="4041" spans="1:3">
      <c r="A4041" s="68">
        <v>37621</v>
      </c>
      <c r="B4041" s="6">
        <v>1.6840277777777801E-2</v>
      </c>
      <c r="C4041" s="5">
        <v>133</v>
      </c>
    </row>
    <row r="4042" spans="1:3">
      <c r="A4042" s="68">
        <v>37621</v>
      </c>
      <c r="B4042" s="6">
        <v>1.68981481481481E-2</v>
      </c>
      <c r="C4042" s="5">
        <v>130</v>
      </c>
    </row>
    <row r="4043" spans="1:3">
      <c r="A4043" s="68">
        <v>37621</v>
      </c>
      <c r="B4043" s="6">
        <v>1.6956018518518499E-2</v>
      </c>
      <c r="C4043" s="5">
        <v>130</v>
      </c>
    </row>
    <row r="4044" spans="1:3">
      <c r="A4044" s="68">
        <v>37621</v>
      </c>
      <c r="B4044" s="6">
        <v>1.7013888888888901E-2</v>
      </c>
      <c r="C4044" s="5">
        <v>130</v>
      </c>
    </row>
    <row r="4045" spans="1:3">
      <c r="A4045" s="68">
        <v>37621</v>
      </c>
      <c r="B4045" s="6">
        <v>1.70717592592593E-2</v>
      </c>
      <c r="C4045" s="5">
        <v>129</v>
      </c>
    </row>
    <row r="4046" spans="1:3">
      <c r="A4046" s="68">
        <v>37621</v>
      </c>
      <c r="B4046" s="6">
        <v>1.7129629629629599E-2</v>
      </c>
      <c r="C4046" s="5">
        <v>129</v>
      </c>
    </row>
    <row r="4047" spans="1:3">
      <c r="A4047" s="68">
        <v>37621</v>
      </c>
      <c r="B4047" s="6">
        <v>1.7187500000000001E-2</v>
      </c>
      <c r="C4047" s="5">
        <v>128</v>
      </c>
    </row>
    <row r="4048" spans="1:3">
      <c r="A4048" s="68">
        <v>37621</v>
      </c>
      <c r="B4048" s="6">
        <v>1.72453703703704E-2</v>
      </c>
      <c r="C4048" s="5">
        <v>130</v>
      </c>
    </row>
    <row r="4049" spans="1:3">
      <c r="A4049" s="68">
        <v>37621</v>
      </c>
      <c r="B4049" s="6">
        <v>1.7303240740740699E-2</v>
      </c>
      <c r="C4049" s="5">
        <v>131</v>
      </c>
    </row>
    <row r="4050" spans="1:3">
      <c r="A4050" s="68">
        <v>37621</v>
      </c>
      <c r="B4050" s="6">
        <v>1.7361111111111101E-2</v>
      </c>
      <c r="C4050" s="5">
        <v>131</v>
      </c>
    </row>
    <row r="4051" spans="1:3">
      <c r="A4051" s="68">
        <v>37621</v>
      </c>
      <c r="B4051" s="6">
        <v>1.7418981481481501E-2</v>
      </c>
      <c r="C4051" s="5">
        <v>130</v>
      </c>
    </row>
    <row r="4052" spans="1:3">
      <c r="A4052" s="68">
        <v>37621</v>
      </c>
      <c r="B4052" s="6">
        <v>1.74768518518519E-2</v>
      </c>
      <c r="C4052" s="5">
        <v>129</v>
      </c>
    </row>
    <row r="4053" spans="1:3">
      <c r="A4053" s="68">
        <v>37621</v>
      </c>
      <c r="B4053" s="6">
        <v>1.7534722222222202E-2</v>
      </c>
      <c r="C4053" s="5">
        <v>130</v>
      </c>
    </row>
    <row r="4054" spans="1:3">
      <c r="A4054" s="68">
        <v>37621</v>
      </c>
      <c r="B4054" s="6">
        <v>1.7592592592592601E-2</v>
      </c>
      <c r="C4054" s="5">
        <v>131</v>
      </c>
    </row>
    <row r="4055" spans="1:3">
      <c r="A4055" s="68">
        <v>37621</v>
      </c>
      <c r="B4055" s="6">
        <v>1.7650462962963E-2</v>
      </c>
      <c r="C4055" s="5">
        <v>134</v>
      </c>
    </row>
    <row r="4056" spans="1:3">
      <c r="A4056" s="68">
        <v>37621</v>
      </c>
      <c r="B4056" s="6">
        <v>1.7708333333333302E-2</v>
      </c>
      <c r="C4056" s="5">
        <v>133</v>
      </c>
    </row>
    <row r="4057" spans="1:3">
      <c r="A4057" s="68">
        <v>37621</v>
      </c>
      <c r="B4057" s="6">
        <v>1.7766203703703701E-2</v>
      </c>
      <c r="C4057" s="5">
        <v>133</v>
      </c>
    </row>
    <row r="4058" spans="1:3">
      <c r="A4058" s="68">
        <v>37621</v>
      </c>
      <c r="B4058" s="6">
        <v>1.78240740740741E-2</v>
      </c>
      <c r="C4058" s="5">
        <v>134</v>
      </c>
    </row>
    <row r="4059" spans="1:3">
      <c r="A4059" s="68">
        <v>37621</v>
      </c>
      <c r="B4059" s="6">
        <v>1.7881944444444402E-2</v>
      </c>
      <c r="C4059" s="5">
        <v>134</v>
      </c>
    </row>
    <row r="4060" spans="1:3">
      <c r="A4060" s="68">
        <v>37621</v>
      </c>
      <c r="B4060" s="6">
        <v>1.7939814814814801E-2</v>
      </c>
      <c r="C4060" s="5">
        <v>131</v>
      </c>
    </row>
    <row r="4061" spans="1:3">
      <c r="A4061" s="68">
        <v>37621</v>
      </c>
      <c r="B4061" s="6">
        <v>1.79976851851852E-2</v>
      </c>
      <c r="C4061" s="5">
        <v>130</v>
      </c>
    </row>
    <row r="4062" spans="1:3">
      <c r="A4062" s="68">
        <v>37621</v>
      </c>
      <c r="B4062" s="6">
        <v>1.8055555555555599E-2</v>
      </c>
      <c r="C4062" s="5">
        <v>130</v>
      </c>
    </row>
    <row r="4063" spans="1:3">
      <c r="A4063" s="68">
        <v>37621</v>
      </c>
      <c r="B4063" s="6">
        <v>1.8113425925925901E-2</v>
      </c>
      <c r="C4063" s="5">
        <v>130</v>
      </c>
    </row>
    <row r="4064" spans="1:3">
      <c r="A4064" s="68">
        <v>37621</v>
      </c>
      <c r="B4064" s="6">
        <v>1.81712962962963E-2</v>
      </c>
      <c r="C4064" s="5">
        <v>130</v>
      </c>
    </row>
    <row r="4065" spans="1:7">
      <c r="A4065" s="68">
        <v>37621</v>
      </c>
      <c r="B4065" s="6">
        <v>1.8229166666666699E-2</v>
      </c>
      <c r="C4065" s="5">
        <v>131</v>
      </c>
    </row>
    <row r="4066" spans="1:7">
      <c r="A4066" s="68">
        <v>37621</v>
      </c>
      <c r="B4066" s="6">
        <v>1.8287037037037001E-2</v>
      </c>
      <c r="C4066" s="5">
        <v>132</v>
      </c>
    </row>
    <row r="4067" spans="1:7">
      <c r="A4067" s="68">
        <v>37621</v>
      </c>
      <c r="B4067" s="6">
        <v>1.83449074074074E-2</v>
      </c>
      <c r="C4067" s="5">
        <v>132</v>
      </c>
    </row>
    <row r="4068" spans="1:7">
      <c r="A4068" s="68">
        <v>37621</v>
      </c>
      <c r="B4068" s="6">
        <v>1.8402777777777799E-2</v>
      </c>
      <c r="C4068" s="5">
        <v>130</v>
      </c>
    </row>
    <row r="4069" spans="1:7">
      <c r="A4069" s="68">
        <v>37621</v>
      </c>
      <c r="B4069" s="6">
        <v>1.8460648148148101E-2</v>
      </c>
      <c r="C4069" s="5">
        <v>130</v>
      </c>
    </row>
    <row r="4070" spans="1:7">
      <c r="A4070" s="68">
        <v>37621</v>
      </c>
      <c r="B4070" s="6">
        <v>1.85185185185185E-2</v>
      </c>
      <c r="C4070" s="5">
        <v>130</v>
      </c>
    </row>
    <row r="4071" spans="1:7">
      <c r="A4071" s="68">
        <v>37621</v>
      </c>
      <c r="B4071" s="6">
        <v>1.8576388888888899E-2</v>
      </c>
      <c r="C4071" s="5">
        <v>130</v>
      </c>
    </row>
    <row r="4072" spans="1:7">
      <c r="A4072" s="68">
        <v>37621</v>
      </c>
      <c r="B4072" s="6">
        <v>1.8634259259259298E-2</v>
      </c>
      <c r="C4072" s="5">
        <v>130</v>
      </c>
      <c r="D4072" s="4" t="s">
        <v>190</v>
      </c>
      <c r="G4072" s="4">
        <f>AVERAGE(C4009:C4072)</f>
        <v>127.375</v>
      </c>
    </row>
    <row r="4073" spans="1:7">
      <c r="A4073" s="68">
        <v>37621</v>
      </c>
      <c r="B4073" s="6">
        <v>1.86921296296296E-2</v>
      </c>
      <c r="C4073" s="5">
        <v>131</v>
      </c>
    </row>
    <row r="4074" spans="1:7">
      <c r="A4074" s="68">
        <v>37621</v>
      </c>
      <c r="B4074" s="6">
        <v>1.8749999999999999E-2</v>
      </c>
      <c r="C4074" s="5">
        <v>129</v>
      </c>
    </row>
    <row r="4075" spans="1:7">
      <c r="A4075" s="68">
        <v>37621</v>
      </c>
      <c r="B4075" s="6">
        <v>1.8807870370370398E-2</v>
      </c>
      <c r="C4075" s="5">
        <v>125</v>
      </c>
    </row>
    <row r="4076" spans="1:7">
      <c r="A4076" s="68">
        <v>37621</v>
      </c>
      <c r="B4076" s="6">
        <v>1.88657407407407E-2</v>
      </c>
      <c r="C4076" s="5">
        <v>123</v>
      </c>
    </row>
    <row r="4077" spans="1:7">
      <c r="A4077" s="68">
        <v>37621</v>
      </c>
      <c r="B4077" s="6">
        <v>1.8923611111111099E-2</v>
      </c>
      <c r="C4077" s="5">
        <v>118</v>
      </c>
    </row>
    <row r="4078" spans="1:7">
      <c r="A4078" s="68">
        <v>37621</v>
      </c>
      <c r="B4078" s="6">
        <v>1.8981481481481498E-2</v>
      </c>
      <c r="C4078" s="5">
        <v>107</v>
      </c>
    </row>
    <row r="4079" spans="1:7">
      <c r="A4079" s="68">
        <v>37621</v>
      </c>
      <c r="B4079" s="6">
        <v>1.90393518518518E-2</v>
      </c>
      <c r="C4079" s="5">
        <v>116</v>
      </c>
    </row>
    <row r="4080" spans="1:7">
      <c r="A4080" s="68">
        <v>37621</v>
      </c>
      <c r="B4080" s="6">
        <v>1.9097222222222199E-2</v>
      </c>
      <c r="C4080" s="5">
        <v>119</v>
      </c>
    </row>
    <row r="4081" spans="1:4">
      <c r="A4081" s="68">
        <v>37621</v>
      </c>
      <c r="B4081" s="6">
        <v>1.9155092592592599E-2</v>
      </c>
      <c r="C4081" s="5">
        <v>96</v>
      </c>
    </row>
    <row r="4082" spans="1:4">
      <c r="A4082" s="68">
        <v>37621</v>
      </c>
      <c r="B4082" s="6">
        <v>1.9212962962963001E-2</v>
      </c>
      <c r="C4082" s="5">
        <v>97</v>
      </c>
    </row>
    <row r="4083" spans="1:4">
      <c r="A4083" s="68">
        <v>37621</v>
      </c>
      <c r="B4083" s="6">
        <v>1.92708333333333E-2</v>
      </c>
      <c r="C4083" s="5">
        <v>84</v>
      </c>
    </row>
    <row r="4084" spans="1:4">
      <c r="A4084" s="68">
        <v>37621</v>
      </c>
      <c r="B4084" s="6">
        <v>1.9328703703703699E-2</v>
      </c>
      <c r="C4084" s="5">
        <v>84</v>
      </c>
      <c r="D4084" s="4" t="s">
        <v>192</v>
      </c>
    </row>
    <row r="4085" spans="1:4">
      <c r="A4085" s="68">
        <v>37621</v>
      </c>
      <c r="B4085" s="6">
        <v>1.9386574074074101E-2</v>
      </c>
      <c r="C4085" s="5">
        <v>85</v>
      </c>
    </row>
    <row r="4086" spans="1:4">
      <c r="A4086" s="68">
        <v>37621</v>
      </c>
      <c r="B4086" s="6">
        <v>1.94444444444444E-2</v>
      </c>
      <c r="C4086" s="5">
        <v>103</v>
      </c>
    </row>
    <row r="4087" spans="1:4">
      <c r="A4087" s="68">
        <v>37621</v>
      </c>
      <c r="B4087" s="6">
        <v>1.9502314814814799E-2</v>
      </c>
      <c r="C4087" s="5">
        <v>103</v>
      </c>
    </row>
    <row r="4088" spans="1:4">
      <c r="A4088" s="68">
        <v>37621</v>
      </c>
      <c r="B4088" s="6">
        <v>1.9560185185185201E-2</v>
      </c>
      <c r="C4088" s="5">
        <v>122</v>
      </c>
    </row>
    <row r="4089" spans="1:4">
      <c r="A4089" s="68">
        <v>37621</v>
      </c>
      <c r="B4089" s="6">
        <v>1.96180555555556E-2</v>
      </c>
      <c r="C4089" s="5">
        <v>122</v>
      </c>
    </row>
    <row r="4090" spans="1:4">
      <c r="A4090" s="68">
        <v>37621</v>
      </c>
      <c r="B4090" s="6">
        <v>1.9675925925925899E-2</v>
      </c>
      <c r="C4090" s="5">
        <v>123</v>
      </c>
    </row>
    <row r="4091" spans="1:4">
      <c r="A4091" s="68">
        <v>37621</v>
      </c>
      <c r="B4091" s="6">
        <v>1.9733796296296301E-2</v>
      </c>
      <c r="C4091" s="5">
        <v>128</v>
      </c>
    </row>
    <row r="4092" spans="1:4">
      <c r="A4092" s="68">
        <v>37621</v>
      </c>
      <c r="B4092" s="6">
        <v>1.97916666666667E-2</v>
      </c>
      <c r="C4092" s="5">
        <v>128</v>
      </c>
    </row>
    <row r="4093" spans="1:4">
      <c r="A4093" s="68">
        <v>37621</v>
      </c>
      <c r="B4093" s="6">
        <v>1.9849537037036999E-2</v>
      </c>
      <c r="C4093" s="5">
        <v>126</v>
      </c>
    </row>
    <row r="4094" spans="1:4">
      <c r="A4094" s="68">
        <v>37621</v>
      </c>
      <c r="B4094" s="6">
        <v>1.9907407407407401E-2</v>
      </c>
      <c r="C4094" s="5">
        <v>126</v>
      </c>
    </row>
    <row r="4095" spans="1:4">
      <c r="A4095" s="68">
        <v>37621</v>
      </c>
      <c r="B4095" s="6">
        <v>1.9965277777777801E-2</v>
      </c>
      <c r="C4095" s="5">
        <v>130</v>
      </c>
    </row>
    <row r="4096" spans="1:4">
      <c r="A4096" s="68">
        <v>37621</v>
      </c>
      <c r="B4096" s="6">
        <v>2.0023148148148099E-2</v>
      </c>
      <c r="C4096" s="5">
        <v>133</v>
      </c>
    </row>
    <row r="4097" spans="1:3">
      <c r="A4097" s="68">
        <v>37621</v>
      </c>
      <c r="B4097" s="6">
        <v>2.0081018518518502E-2</v>
      </c>
      <c r="C4097" s="5">
        <v>135</v>
      </c>
    </row>
    <row r="4098" spans="1:3">
      <c r="A4098" s="68">
        <v>37621</v>
      </c>
      <c r="B4098" s="6">
        <v>2.0138888888888901E-2</v>
      </c>
      <c r="C4098" s="5">
        <v>138</v>
      </c>
    </row>
    <row r="4099" spans="1:3">
      <c r="A4099" s="68">
        <v>37621</v>
      </c>
      <c r="B4099" s="6">
        <v>2.01967592592593E-2</v>
      </c>
      <c r="C4099" s="5">
        <v>136</v>
      </c>
    </row>
    <row r="4100" spans="1:3">
      <c r="A4100" s="68">
        <v>37621</v>
      </c>
      <c r="B4100" s="6">
        <v>2.0254629629629602E-2</v>
      </c>
      <c r="C4100" s="5">
        <v>137</v>
      </c>
    </row>
    <row r="4101" spans="1:3">
      <c r="A4101" s="68">
        <v>37621</v>
      </c>
      <c r="B4101" s="6">
        <v>2.0312500000000001E-2</v>
      </c>
      <c r="C4101" s="5">
        <v>136</v>
      </c>
    </row>
    <row r="4102" spans="1:3">
      <c r="A4102" s="68">
        <v>37621</v>
      </c>
      <c r="B4102" s="6">
        <v>2.03703703703704E-2</v>
      </c>
      <c r="C4102" s="5">
        <v>136</v>
      </c>
    </row>
    <row r="4103" spans="1:3">
      <c r="A4103" s="68">
        <v>37621</v>
      </c>
      <c r="B4103" s="6">
        <v>2.0428240740740702E-2</v>
      </c>
      <c r="C4103" s="5">
        <v>137</v>
      </c>
    </row>
    <row r="4104" spans="1:3">
      <c r="A4104" s="68">
        <v>37621</v>
      </c>
      <c r="B4104" s="6">
        <v>2.0486111111111101E-2</v>
      </c>
      <c r="C4104" s="5">
        <v>138</v>
      </c>
    </row>
    <row r="4105" spans="1:3">
      <c r="A4105" s="68">
        <v>37621</v>
      </c>
      <c r="B4105" s="6">
        <v>2.05439814814815E-2</v>
      </c>
      <c r="C4105" s="5">
        <v>137</v>
      </c>
    </row>
    <row r="4106" spans="1:3">
      <c r="A4106" s="68">
        <v>37621</v>
      </c>
      <c r="B4106" s="6">
        <v>2.0601851851851899E-2</v>
      </c>
      <c r="C4106" s="5">
        <v>138</v>
      </c>
    </row>
    <row r="4107" spans="1:3">
      <c r="A4107" s="68">
        <v>37621</v>
      </c>
      <c r="B4107" s="6">
        <v>2.0659722222222201E-2</v>
      </c>
      <c r="C4107" s="5">
        <v>140</v>
      </c>
    </row>
    <row r="4108" spans="1:3">
      <c r="A4108" s="68">
        <v>37621</v>
      </c>
      <c r="B4108" s="6">
        <v>2.07175925925926E-2</v>
      </c>
      <c r="C4108" s="5">
        <v>140</v>
      </c>
    </row>
    <row r="4109" spans="1:3">
      <c r="A4109" s="68">
        <v>37621</v>
      </c>
      <c r="B4109" s="6">
        <v>2.0775462962962999E-2</v>
      </c>
      <c r="C4109" s="5">
        <v>139</v>
      </c>
    </row>
    <row r="4110" spans="1:3">
      <c r="A4110" s="68">
        <v>37621</v>
      </c>
      <c r="B4110" s="6">
        <v>2.0833333333333301E-2</v>
      </c>
      <c r="C4110" s="5">
        <v>139</v>
      </c>
    </row>
    <row r="4111" spans="1:3">
      <c r="A4111" s="68">
        <v>37621</v>
      </c>
      <c r="B4111" s="6">
        <v>2.08912037037037E-2</v>
      </c>
      <c r="C4111" s="5">
        <v>137</v>
      </c>
    </row>
    <row r="4112" spans="1:3">
      <c r="A4112" s="68">
        <v>37621</v>
      </c>
      <c r="B4112" s="6">
        <v>2.0949074074074099E-2</v>
      </c>
      <c r="C4112" s="5">
        <v>136</v>
      </c>
    </row>
    <row r="4113" spans="1:3">
      <c r="A4113" s="68">
        <v>37621</v>
      </c>
      <c r="B4113" s="6">
        <v>2.1006944444444401E-2</v>
      </c>
      <c r="C4113" s="5">
        <v>136</v>
      </c>
    </row>
    <row r="4114" spans="1:3">
      <c r="A4114" s="68">
        <v>37621</v>
      </c>
      <c r="B4114" s="6">
        <v>2.10648148148148E-2</v>
      </c>
      <c r="C4114" s="5">
        <v>138</v>
      </c>
    </row>
    <row r="4115" spans="1:3">
      <c r="A4115" s="68">
        <v>37621</v>
      </c>
      <c r="B4115" s="6">
        <v>2.1122685185185199E-2</v>
      </c>
      <c r="C4115" s="5">
        <v>138</v>
      </c>
    </row>
    <row r="4116" spans="1:3">
      <c r="A4116" s="68">
        <v>37621</v>
      </c>
      <c r="B4116" s="6">
        <v>2.1180555555555598E-2</v>
      </c>
      <c r="C4116" s="5">
        <v>138</v>
      </c>
    </row>
    <row r="4117" spans="1:3">
      <c r="A4117" s="68">
        <v>37621</v>
      </c>
      <c r="B4117" s="6">
        <v>2.12384259259259E-2</v>
      </c>
      <c r="C4117" s="5">
        <v>140</v>
      </c>
    </row>
    <row r="4118" spans="1:3">
      <c r="A4118" s="68">
        <v>37621</v>
      </c>
      <c r="B4118" s="6">
        <v>2.1296296296296299E-2</v>
      </c>
      <c r="C4118" s="5">
        <v>139</v>
      </c>
    </row>
    <row r="4119" spans="1:3">
      <c r="A4119" s="68">
        <v>37621</v>
      </c>
      <c r="B4119" s="6">
        <v>2.1354166666666698E-2</v>
      </c>
      <c r="C4119" s="5">
        <v>138</v>
      </c>
    </row>
    <row r="4120" spans="1:3">
      <c r="A4120" s="68">
        <v>37621</v>
      </c>
      <c r="B4120" s="6">
        <v>2.1412037037037E-2</v>
      </c>
      <c r="C4120" s="5">
        <v>139</v>
      </c>
    </row>
    <row r="4121" spans="1:3">
      <c r="A4121" s="68">
        <v>37621</v>
      </c>
      <c r="B4121" s="6">
        <v>2.1469907407407399E-2</v>
      </c>
      <c r="C4121" s="5">
        <v>140</v>
      </c>
    </row>
    <row r="4122" spans="1:3">
      <c r="A4122" s="68">
        <v>37621</v>
      </c>
      <c r="B4122" s="6">
        <v>2.1527777777777798E-2</v>
      </c>
      <c r="C4122" s="5">
        <v>139</v>
      </c>
    </row>
    <row r="4123" spans="1:3">
      <c r="A4123" s="68">
        <v>37621</v>
      </c>
      <c r="B4123" s="6">
        <v>2.15856481481481E-2</v>
      </c>
      <c r="C4123" s="5">
        <v>140</v>
      </c>
    </row>
    <row r="4124" spans="1:3">
      <c r="A4124" s="68">
        <v>37621</v>
      </c>
      <c r="B4124" s="6">
        <v>2.1643518518518499E-2</v>
      </c>
      <c r="C4124" s="5">
        <v>138</v>
      </c>
    </row>
    <row r="4125" spans="1:3">
      <c r="A4125" s="68">
        <v>37621</v>
      </c>
      <c r="B4125" s="6">
        <v>2.1701388888888899E-2</v>
      </c>
      <c r="C4125" s="5">
        <v>138</v>
      </c>
    </row>
    <row r="4126" spans="1:3">
      <c r="A4126" s="68">
        <v>37621</v>
      </c>
      <c r="B4126" s="6">
        <v>2.1759259259259301E-2</v>
      </c>
      <c r="C4126" s="5">
        <v>136</v>
      </c>
    </row>
    <row r="4127" spans="1:3">
      <c r="A4127" s="68">
        <v>37621</v>
      </c>
      <c r="B4127" s="6">
        <v>2.18171296296296E-2</v>
      </c>
      <c r="C4127" s="5">
        <v>139</v>
      </c>
    </row>
    <row r="4128" spans="1:3">
      <c r="A4128" s="68">
        <v>37621</v>
      </c>
      <c r="B4128" s="6">
        <v>2.1874999999999999E-2</v>
      </c>
      <c r="C4128" s="5">
        <v>139</v>
      </c>
    </row>
    <row r="4129" spans="1:3">
      <c r="A4129" s="68">
        <v>37621</v>
      </c>
      <c r="B4129" s="6">
        <v>2.1932870370370401E-2</v>
      </c>
      <c r="C4129" s="5">
        <v>138</v>
      </c>
    </row>
    <row r="4130" spans="1:3">
      <c r="A4130" s="68">
        <v>37621</v>
      </c>
      <c r="B4130" s="6">
        <v>2.19907407407407E-2</v>
      </c>
      <c r="C4130" s="5">
        <v>138</v>
      </c>
    </row>
    <row r="4131" spans="1:3">
      <c r="A4131" s="68">
        <v>37621</v>
      </c>
      <c r="B4131" s="6">
        <v>2.2048611111111099E-2</v>
      </c>
      <c r="C4131" s="5">
        <v>137</v>
      </c>
    </row>
    <row r="4132" spans="1:3">
      <c r="A4132" s="68">
        <v>37621</v>
      </c>
      <c r="B4132" s="6">
        <v>2.2106481481481501E-2</v>
      </c>
      <c r="C4132" s="5">
        <v>139</v>
      </c>
    </row>
    <row r="4133" spans="1:3">
      <c r="A4133" s="68">
        <v>37621</v>
      </c>
      <c r="B4133" s="6">
        <v>2.21643518518519E-2</v>
      </c>
      <c r="C4133" s="5">
        <v>138</v>
      </c>
    </row>
    <row r="4134" spans="1:3">
      <c r="A4134" s="68">
        <v>37621</v>
      </c>
      <c r="B4134" s="6">
        <v>2.2222222222222199E-2</v>
      </c>
      <c r="C4134" s="5">
        <v>138</v>
      </c>
    </row>
    <row r="4135" spans="1:3">
      <c r="A4135" s="68">
        <v>37621</v>
      </c>
      <c r="B4135" s="6">
        <v>2.2280092592592601E-2</v>
      </c>
      <c r="C4135" s="5">
        <v>136</v>
      </c>
    </row>
    <row r="4136" spans="1:3">
      <c r="A4136" s="68">
        <v>37621</v>
      </c>
      <c r="B4136" s="6">
        <v>2.2337962962963E-2</v>
      </c>
      <c r="C4136" s="5">
        <v>136</v>
      </c>
    </row>
    <row r="4137" spans="1:3">
      <c r="A4137" s="68">
        <v>37621</v>
      </c>
      <c r="B4137" s="6">
        <v>2.2395833333333299E-2</v>
      </c>
      <c r="C4137" s="5">
        <v>136</v>
      </c>
    </row>
    <row r="4138" spans="1:3">
      <c r="A4138" s="68">
        <v>37621</v>
      </c>
      <c r="B4138" s="6">
        <v>2.2453703703703701E-2</v>
      </c>
      <c r="C4138" s="5">
        <v>136</v>
      </c>
    </row>
    <row r="4139" spans="1:3">
      <c r="A4139" s="68">
        <v>37621</v>
      </c>
      <c r="B4139" s="6">
        <v>2.25115740740741E-2</v>
      </c>
      <c r="C4139" s="5">
        <v>136</v>
      </c>
    </row>
    <row r="4140" spans="1:3">
      <c r="A4140" s="68">
        <v>37621</v>
      </c>
      <c r="B4140" s="6">
        <v>2.2569444444444399E-2</v>
      </c>
      <c r="C4140" s="5">
        <v>136</v>
      </c>
    </row>
    <row r="4141" spans="1:3">
      <c r="A4141" s="68">
        <v>37621</v>
      </c>
      <c r="B4141" s="6">
        <v>2.2627314814814802E-2</v>
      </c>
      <c r="C4141" s="5">
        <v>135</v>
      </c>
    </row>
    <row r="4142" spans="1:3">
      <c r="A4142" s="68">
        <v>37621</v>
      </c>
      <c r="B4142" s="6">
        <v>2.2685185185185201E-2</v>
      </c>
      <c r="C4142" s="5">
        <v>135</v>
      </c>
    </row>
    <row r="4143" spans="1:3">
      <c r="A4143" s="68">
        <v>37621</v>
      </c>
      <c r="B4143" s="6">
        <v>2.27430555555556E-2</v>
      </c>
      <c r="C4143" s="5">
        <v>137</v>
      </c>
    </row>
    <row r="4144" spans="1:3">
      <c r="A4144" s="68">
        <v>37621</v>
      </c>
      <c r="B4144" s="6">
        <v>2.2800925925925902E-2</v>
      </c>
      <c r="C4144" s="5">
        <v>137</v>
      </c>
    </row>
    <row r="4145" spans="1:7">
      <c r="A4145" s="68">
        <v>37621</v>
      </c>
      <c r="B4145" s="6">
        <v>2.2858796296296301E-2</v>
      </c>
      <c r="C4145" s="5">
        <v>138</v>
      </c>
      <c r="D4145" s="4" t="s">
        <v>194</v>
      </c>
      <c r="G4145" s="4">
        <f>AVERAGE(C4085:C4145)</f>
        <v>133.91803278688525</v>
      </c>
    </row>
    <row r="4146" spans="1:7">
      <c r="A4146" s="68">
        <v>37621</v>
      </c>
      <c r="B4146" s="6">
        <v>2.29166666666667E-2</v>
      </c>
      <c r="C4146" s="5">
        <v>136</v>
      </c>
    </row>
    <row r="4147" spans="1:7">
      <c r="A4147" s="68">
        <v>37621</v>
      </c>
      <c r="B4147" s="6">
        <v>2.2974537037037002E-2</v>
      </c>
      <c r="C4147" s="5">
        <v>134</v>
      </c>
    </row>
    <row r="4148" spans="1:7">
      <c r="A4148" s="68">
        <v>37621</v>
      </c>
      <c r="B4148" s="6">
        <v>2.3032407407407401E-2</v>
      </c>
      <c r="C4148" s="5">
        <v>128</v>
      </c>
    </row>
    <row r="4149" spans="1:7">
      <c r="A4149" s="68">
        <v>37621</v>
      </c>
      <c r="B4149" s="6">
        <v>2.30902777777778E-2</v>
      </c>
      <c r="C4149" s="5">
        <v>121</v>
      </c>
    </row>
    <row r="4150" spans="1:7">
      <c r="A4150" s="68">
        <v>37621</v>
      </c>
      <c r="B4150" s="6">
        <v>2.3148148148148098E-2</v>
      </c>
      <c r="C4150" s="5">
        <v>113</v>
      </c>
    </row>
    <row r="4151" spans="1:7">
      <c r="A4151" s="68">
        <v>37621</v>
      </c>
      <c r="B4151" s="6">
        <v>2.3206018518518501E-2</v>
      </c>
      <c r="C4151" s="5">
        <v>112</v>
      </c>
    </row>
    <row r="4152" spans="1:7">
      <c r="A4152" s="68">
        <v>37621</v>
      </c>
      <c r="B4152" s="6">
        <v>2.32638888888889E-2</v>
      </c>
      <c r="C4152" s="5">
        <v>112</v>
      </c>
    </row>
    <row r="4153" spans="1:7">
      <c r="A4153" s="68">
        <v>37621</v>
      </c>
      <c r="B4153" s="6">
        <v>2.3321759259259299E-2</v>
      </c>
      <c r="C4153" s="5">
        <v>112</v>
      </c>
    </row>
    <row r="4154" spans="1:7">
      <c r="A4154" s="68">
        <v>37621</v>
      </c>
      <c r="B4154" s="6">
        <v>2.3379629629629601E-2</v>
      </c>
      <c r="C4154" s="5">
        <v>104</v>
      </c>
    </row>
    <row r="4155" spans="1:7">
      <c r="A4155" s="68">
        <v>37621</v>
      </c>
      <c r="B4155" s="6">
        <v>2.34375E-2</v>
      </c>
      <c r="C4155" s="5">
        <v>95</v>
      </c>
    </row>
    <row r="4156" spans="1:7">
      <c r="A4156" s="68">
        <v>37621</v>
      </c>
      <c r="B4156" s="6">
        <v>2.3495370370370399E-2</v>
      </c>
      <c r="C4156" s="5">
        <v>90</v>
      </c>
    </row>
    <row r="4157" spans="1:7">
      <c r="A4157" s="68">
        <v>37621</v>
      </c>
      <c r="B4157" s="6">
        <v>2.3553240740740701E-2</v>
      </c>
      <c r="C4157" s="5">
        <v>90</v>
      </c>
      <c r="D4157" s="4" t="s">
        <v>195</v>
      </c>
    </row>
    <row r="4158" spans="1:7">
      <c r="A4158" s="68">
        <v>37621</v>
      </c>
      <c r="B4158" s="6">
        <v>2.36111111111111E-2</v>
      </c>
      <c r="C4158" s="5">
        <v>104</v>
      </c>
    </row>
    <row r="4159" spans="1:7">
      <c r="A4159" s="68">
        <v>37621</v>
      </c>
      <c r="B4159" s="6">
        <v>2.3668981481481499E-2</v>
      </c>
      <c r="C4159" s="5">
        <v>104</v>
      </c>
    </row>
    <row r="4160" spans="1:7">
      <c r="A4160" s="68">
        <v>37621</v>
      </c>
      <c r="B4160" s="6">
        <v>2.3726851851851801E-2</v>
      </c>
      <c r="C4160" s="5">
        <v>125</v>
      </c>
    </row>
    <row r="4161" spans="1:3">
      <c r="A4161" s="68">
        <v>37621</v>
      </c>
      <c r="B4161" s="6">
        <v>2.37847222222222E-2</v>
      </c>
      <c r="C4161" s="5">
        <v>126</v>
      </c>
    </row>
    <row r="4162" spans="1:3">
      <c r="A4162" s="68">
        <v>37621</v>
      </c>
      <c r="B4162" s="6">
        <v>2.3842592592592599E-2</v>
      </c>
      <c r="C4162" s="5">
        <v>126</v>
      </c>
    </row>
    <row r="4163" spans="1:3">
      <c r="A4163" s="68">
        <v>37621</v>
      </c>
      <c r="B4163" s="6">
        <v>2.3900462962962998E-2</v>
      </c>
      <c r="C4163" s="5">
        <v>133</v>
      </c>
    </row>
    <row r="4164" spans="1:3">
      <c r="A4164" s="68">
        <v>37621</v>
      </c>
      <c r="B4164" s="6">
        <v>2.39583333333333E-2</v>
      </c>
      <c r="C4164" s="5">
        <v>131</v>
      </c>
    </row>
    <row r="4165" spans="1:3">
      <c r="A4165" s="68">
        <v>37621</v>
      </c>
      <c r="B4165" s="6">
        <v>2.4016203703703699E-2</v>
      </c>
      <c r="C4165" s="5">
        <v>132</v>
      </c>
    </row>
    <row r="4166" spans="1:3">
      <c r="A4166" s="68">
        <v>37621</v>
      </c>
      <c r="B4166" s="6">
        <v>2.4074074074074098E-2</v>
      </c>
      <c r="C4166" s="5">
        <v>134</v>
      </c>
    </row>
    <row r="4167" spans="1:3">
      <c r="A4167" s="68">
        <v>37621</v>
      </c>
      <c r="B4167" s="6">
        <v>2.41319444444444E-2</v>
      </c>
      <c r="C4167" s="5">
        <v>136</v>
      </c>
    </row>
    <row r="4168" spans="1:3">
      <c r="A4168" s="68">
        <v>37621</v>
      </c>
      <c r="B4168" s="6">
        <v>2.4189814814814799E-2</v>
      </c>
      <c r="C4168" s="5">
        <v>138</v>
      </c>
    </row>
    <row r="4169" spans="1:3">
      <c r="A4169" s="68">
        <v>37621</v>
      </c>
      <c r="B4169" s="6">
        <v>2.4247685185185198E-2</v>
      </c>
      <c r="C4169" s="5">
        <v>140</v>
      </c>
    </row>
    <row r="4170" spans="1:3">
      <c r="A4170" s="68">
        <v>37621</v>
      </c>
      <c r="B4170" s="6">
        <v>2.4305555555555601E-2</v>
      </c>
      <c r="C4170" s="5">
        <v>140</v>
      </c>
    </row>
    <row r="4171" spans="1:3">
      <c r="A4171" s="68">
        <v>37621</v>
      </c>
      <c r="B4171" s="6">
        <v>2.43634259259259E-2</v>
      </c>
      <c r="C4171" s="5">
        <v>138</v>
      </c>
    </row>
    <row r="4172" spans="1:3">
      <c r="A4172" s="68">
        <v>37621</v>
      </c>
      <c r="B4172" s="6">
        <v>2.4421296296296299E-2</v>
      </c>
      <c r="C4172" s="5">
        <v>135</v>
      </c>
    </row>
    <row r="4173" spans="1:3">
      <c r="A4173" s="68">
        <v>37621</v>
      </c>
      <c r="B4173" s="6">
        <v>2.4479166666666701E-2</v>
      </c>
      <c r="C4173" s="5">
        <v>135</v>
      </c>
    </row>
    <row r="4174" spans="1:3">
      <c r="A4174" s="68">
        <v>37621</v>
      </c>
      <c r="B4174" s="6">
        <v>2.4537037037037E-2</v>
      </c>
      <c r="C4174" s="5">
        <v>137</v>
      </c>
    </row>
    <row r="4175" spans="1:3">
      <c r="A4175" s="68">
        <v>37621</v>
      </c>
      <c r="B4175" s="6">
        <v>2.4594907407407399E-2</v>
      </c>
      <c r="C4175" s="5">
        <v>138</v>
      </c>
    </row>
    <row r="4176" spans="1:3">
      <c r="A4176" s="68">
        <v>37621</v>
      </c>
      <c r="B4176" s="6">
        <v>2.4652777777777801E-2</v>
      </c>
      <c r="C4176" s="5">
        <v>139</v>
      </c>
    </row>
    <row r="4177" spans="1:3">
      <c r="A4177" s="68">
        <v>37621</v>
      </c>
      <c r="B4177" s="6">
        <v>2.47106481481481E-2</v>
      </c>
      <c r="C4177" s="5">
        <v>140</v>
      </c>
    </row>
    <row r="4178" spans="1:3">
      <c r="A4178" s="68">
        <v>37621</v>
      </c>
      <c r="B4178" s="6">
        <v>2.4768518518518499E-2</v>
      </c>
      <c r="C4178" s="5">
        <v>142</v>
      </c>
    </row>
    <row r="4179" spans="1:3">
      <c r="A4179" s="68">
        <v>37621</v>
      </c>
      <c r="B4179" s="6">
        <v>2.4826388888888901E-2</v>
      </c>
      <c r="C4179" s="5">
        <v>143</v>
      </c>
    </row>
    <row r="4180" spans="1:3">
      <c r="A4180" s="68">
        <v>37621</v>
      </c>
      <c r="B4180" s="6">
        <v>2.48842592592593E-2</v>
      </c>
      <c r="C4180" s="5">
        <v>143</v>
      </c>
    </row>
    <row r="4181" spans="1:3">
      <c r="A4181" s="68">
        <v>37621</v>
      </c>
      <c r="B4181" s="6">
        <v>2.4942129629629599E-2</v>
      </c>
      <c r="C4181" s="5">
        <v>142</v>
      </c>
    </row>
    <row r="4182" spans="1:3">
      <c r="A4182" s="68">
        <v>37621</v>
      </c>
      <c r="B4182" s="6">
        <v>2.5000000000000001E-2</v>
      </c>
      <c r="C4182" s="5">
        <v>141</v>
      </c>
    </row>
    <row r="4183" spans="1:3">
      <c r="A4183" s="68">
        <v>37621</v>
      </c>
      <c r="B4183" s="6">
        <v>2.50578703703704E-2</v>
      </c>
      <c r="C4183" s="5">
        <v>139</v>
      </c>
    </row>
    <row r="4184" spans="1:3">
      <c r="A4184" s="68">
        <v>37621</v>
      </c>
      <c r="B4184" s="6">
        <v>2.5115740740740699E-2</v>
      </c>
      <c r="C4184" s="5">
        <v>140</v>
      </c>
    </row>
    <row r="4185" spans="1:3">
      <c r="A4185" s="68">
        <v>37621</v>
      </c>
      <c r="B4185" s="6">
        <v>2.5173611111111101E-2</v>
      </c>
      <c r="C4185" s="5">
        <v>140</v>
      </c>
    </row>
    <row r="4186" spans="1:3">
      <c r="A4186" s="68">
        <v>37621</v>
      </c>
      <c r="B4186" s="6">
        <v>2.5231481481481501E-2</v>
      </c>
      <c r="C4186" s="5">
        <v>142</v>
      </c>
    </row>
    <row r="4187" spans="1:3">
      <c r="A4187" s="68">
        <v>37621</v>
      </c>
      <c r="B4187" s="6">
        <v>2.52893518518519E-2</v>
      </c>
      <c r="C4187" s="5">
        <v>142</v>
      </c>
    </row>
    <row r="4188" spans="1:3">
      <c r="A4188" s="68">
        <v>37621</v>
      </c>
      <c r="B4188" s="6">
        <v>2.5347222222222202E-2</v>
      </c>
      <c r="C4188" s="5">
        <v>144</v>
      </c>
    </row>
    <row r="4189" spans="1:3">
      <c r="A4189" s="68">
        <v>37621</v>
      </c>
      <c r="B4189" s="6">
        <v>2.5405092592592601E-2</v>
      </c>
      <c r="C4189" s="5">
        <v>144</v>
      </c>
    </row>
    <row r="4190" spans="1:3">
      <c r="A4190" s="68">
        <v>37621</v>
      </c>
      <c r="B4190" s="6">
        <v>2.5462962962963E-2</v>
      </c>
      <c r="C4190" s="5">
        <v>144</v>
      </c>
    </row>
    <row r="4191" spans="1:3">
      <c r="A4191" s="68">
        <v>37621</v>
      </c>
      <c r="B4191" s="6">
        <v>2.5520833333333302E-2</v>
      </c>
      <c r="C4191" s="5">
        <v>143</v>
      </c>
    </row>
    <row r="4192" spans="1:3">
      <c r="A4192" s="68">
        <v>37621</v>
      </c>
      <c r="B4192" s="6">
        <v>2.5578703703703701E-2</v>
      </c>
      <c r="C4192" s="5">
        <v>144</v>
      </c>
    </row>
    <row r="4193" spans="1:3">
      <c r="A4193" s="68">
        <v>37621</v>
      </c>
      <c r="B4193" s="6">
        <v>2.56365740740741E-2</v>
      </c>
      <c r="C4193" s="5">
        <v>144</v>
      </c>
    </row>
    <row r="4194" spans="1:3">
      <c r="A4194" s="68">
        <v>37621</v>
      </c>
      <c r="B4194" s="6">
        <v>2.5694444444444402E-2</v>
      </c>
      <c r="C4194" s="5">
        <v>147</v>
      </c>
    </row>
    <row r="4195" spans="1:3">
      <c r="A4195" s="68">
        <v>37621</v>
      </c>
      <c r="B4195" s="6">
        <v>2.5752314814814801E-2</v>
      </c>
      <c r="C4195" s="5">
        <v>147</v>
      </c>
    </row>
    <row r="4196" spans="1:3">
      <c r="A4196" s="68">
        <v>37621</v>
      </c>
      <c r="B4196" s="6">
        <v>2.58101851851852E-2</v>
      </c>
      <c r="C4196" s="5">
        <v>147</v>
      </c>
    </row>
    <row r="4197" spans="1:3">
      <c r="A4197" s="68">
        <v>37621</v>
      </c>
      <c r="B4197" s="6">
        <v>2.5868055555555599E-2</v>
      </c>
      <c r="C4197" s="5">
        <v>146</v>
      </c>
    </row>
    <row r="4198" spans="1:3">
      <c r="A4198" s="68">
        <v>37621</v>
      </c>
      <c r="B4198" s="6">
        <v>2.5925925925925901E-2</v>
      </c>
      <c r="C4198" s="5">
        <v>146</v>
      </c>
    </row>
    <row r="4199" spans="1:3">
      <c r="A4199" s="68">
        <v>37621</v>
      </c>
      <c r="B4199" s="6">
        <v>2.59837962962963E-2</v>
      </c>
      <c r="C4199" s="5">
        <v>143</v>
      </c>
    </row>
    <row r="4200" spans="1:3">
      <c r="A4200" s="68">
        <v>37621</v>
      </c>
      <c r="B4200" s="6">
        <v>2.6041666666666699E-2</v>
      </c>
      <c r="C4200" s="5">
        <v>142</v>
      </c>
    </row>
    <row r="4201" spans="1:3">
      <c r="A4201" s="68">
        <v>37621</v>
      </c>
      <c r="B4201" s="6">
        <v>2.6099537037037001E-2</v>
      </c>
      <c r="C4201" s="5">
        <v>141</v>
      </c>
    </row>
    <row r="4202" spans="1:3">
      <c r="A4202" s="68">
        <v>37621</v>
      </c>
      <c r="B4202" s="6">
        <v>2.61574074074074E-2</v>
      </c>
      <c r="C4202" s="5">
        <v>141</v>
      </c>
    </row>
    <row r="4203" spans="1:3">
      <c r="A4203" s="68">
        <v>37621</v>
      </c>
      <c r="B4203" s="6">
        <v>2.6215277777777799E-2</v>
      </c>
      <c r="C4203" s="5">
        <v>141</v>
      </c>
    </row>
    <row r="4204" spans="1:3">
      <c r="A4204" s="68">
        <v>37621</v>
      </c>
      <c r="B4204" s="6">
        <v>2.6273148148148101E-2</v>
      </c>
      <c r="C4204" s="5">
        <v>143</v>
      </c>
    </row>
    <row r="4205" spans="1:3">
      <c r="A4205" s="68">
        <v>37621</v>
      </c>
      <c r="B4205" s="6">
        <v>2.63310185185185E-2</v>
      </c>
      <c r="C4205" s="5">
        <v>143</v>
      </c>
    </row>
    <row r="4206" spans="1:3">
      <c r="A4206" s="68">
        <v>37621</v>
      </c>
      <c r="B4206" s="6">
        <v>2.6388888888888899E-2</v>
      </c>
      <c r="C4206" s="5">
        <v>144</v>
      </c>
    </row>
    <row r="4207" spans="1:3">
      <c r="A4207" s="68">
        <v>37621</v>
      </c>
      <c r="B4207" s="6">
        <v>2.6446759259259298E-2</v>
      </c>
      <c r="C4207" s="5">
        <v>143</v>
      </c>
    </row>
    <row r="4208" spans="1:3">
      <c r="A4208" s="68">
        <v>37621</v>
      </c>
      <c r="B4208" s="6">
        <v>2.65046296296296E-2</v>
      </c>
      <c r="C4208" s="5">
        <v>141</v>
      </c>
    </row>
    <row r="4209" spans="1:7">
      <c r="A4209" s="68">
        <v>37621</v>
      </c>
      <c r="B4209" s="6">
        <v>2.6562499999999999E-2</v>
      </c>
      <c r="C4209" s="5">
        <v>140</v>
      </c>
    </row>
    <row r="4210" spans="1:7">
      <c r="A4210" s="68">
        <v>37621</v>
      </c>
      <c r="B4210" s="6">
        <v>2.6620370370370398E-2</v>
      </c>
      <c r="C4210" s="5">
        <v>139</v>
      </c>
    </row>
    <row r="4211" spans="1:7">
      <c r="A4211" s="68">
        <v>37621</v>
      </c>
      <c r="B4211" s="6">
        <v>2.66782407407407E-2</v>
      </c>
      <c r="C4211" s="5">
        <v>139</v>
      </c>
    </row>
    <row r="4212" spans="1:7">
      <c r="A4212" s="68">
        <v>37621</v>
      </c>
      <c r="B4212" s="6">
        <v>2.6736111111111099E-2</v>
      </c>
      <c r="C4212" s="5">
        <v>139</v>
      </c>
    </row>
    <row r="4213" spans="1:7">
      <c r="A4213" s="68">
        <v>37621</v>
      </c>
      <c r="B4213" s="6">
        <v>2.6793981481481498E-2</v>
      </c>
      <c r="C4213" s="5">
        <v>143</v>
      </c>
      <c r="D4213" s="4" t="s">
        <v>197</v>
      </c>
      <c r="G4213" s="4">
        <f>AVERAGE(C4158:C4213)</f>
        <v>138.625</v>
      </c>
    </row>
    <row r="4214" spans="1:7">
      <c r="A4214" s="68">
        <v>37621</v>
      </c>
      <c r="B4214" s="6">
        <v>2.68518518518518E-2</v>
      </c>
      <c r="C4214" s="5">
        <v>144</v>
      </c>
    </row>
    <row r="4215" spans="1:7">
      <c r="A4215" s="68">
        <v>37621</v>
      </c>
      <c r="B4215" s="6">
        <v>2.6909722222222199E-2</v>
      </c>
      <c r="C4215" s="5">
        <v>145</v>
      </c>
    </row>
    <row r="4216" spans="1:7">
      <c r="A4216" s="68">
        <v>37621</v>
      </c>
      <c r="B4216" s="6">
        <v>2.6967592592592599E-2</v>
      </c>
      <c r="C4216" s="5">
        <v>145</v>
      </c>
    </row>
    <row r="4217" spans="1:7">
      <c r="A4217" s="68">
        <v>37621</v>
      </c>
      <c r="B4217" s="6">
        <v>2.7025462962963001E-2</v>
      </c>
      <c r="C4217" s="5">
        <v>139</v>
      </c>
    </row>
    <row r="4218" spans="1:7">
      <c r="A4218" s="68">
        <v>37621</v>
      </c>
      <c r="B4218" s="6">
        <v>2.70833333333333E-2</v>
      </c>
      <c r="C4218" s="5">
        <v>135</v>
      </c>
    </row>
    <row r="4219" spans="1:7">
      <c r="A4219" s="68">
        <v>37621</v>
      </c>
      <c r="B4219" s="6">
        <v>2.7141203703703699E-2</v>
      </c>
      <c r="C4219" s="5">
        <v>131</v>
      </c>
    </row>
    <row r="4220" spans="1:7">
      <c r="A4220" s="68">
        <v>37621</v>
      </c>
      <c r="B4220" s="6">
        <v>2.7199074074074101E-2</v>
      </c>
      <c r="C4220" s="5">
        <v>123</v>
      </c>
    </row>
    <row r="4221" spans="1:7">
      <c r="A4221" s="68">
        <v>37621</v>
      </c>
      <c r="B4221" s="6">
        <v>2.72569444444444E-2</v>
      </c>
      <c r="C4221" s="5">
        <v>124</v>
      </c>
    </row>
    <row r="4222" spans="1:7">
      <c r="A4222" s="68">
        <v>37621</v>
      </c>
      <c r="B4222" s="6">
        <v>2.7314814814814799E-2</v>
      </c>
      <c r="C4222" s="5">
        <v>117</v>
      </c>
    </row>
    <row r="4223" spans="1:7">
      <c r="A4223" s="68">
        <v>37621</v>
      </c>
      <c r="B4223" s="6">
        <v>2.7372685185185201E-2</v>
      </c>
      <c r="C4223" s="5">
        <v>116</v>
      </c>
    </row>
    <row r="4224" spans="1:7">
      <c r="A4224" s="68">
        <v>37621</v>
      </c>
      <c r="B4224" s="6">
        <v>2.74305555555556E-2</v>
      </c>
      <c r="C4224" s="5">
        <v>100</v>
      </c>
    </row>
    <row r="4225" spans="1:4">
      <c r="A4225" s="68">
        <v>37621</v>
      </c>
      <c r="B4225" s="6">
        <v>2.7488425925925899E-2</v>
      </c>
      <c r="C4225" s="5">
        <v>93</v>
      </c>
    </row>
    <row r="4226" spans="1:4">
      <c r="A4226" s="68">
        <v>37621</v>
      </c>
      <c r="B4226" s="6">
        <v>2.7546296296296301E-2</v>
      </c>
      <c r="C4226" s="5">
        <v>89</v>
      </c>
      <c r="D4226" s="4" t="s">
        <v>198</v>
      </c>
    </row>
    <row r="4227" spans="1:4">
      <c r="A4227" s="68">
        <v>37621</v>
      </c>
      <c r="B4227" s="6">
        <v>2.76041666666667E-2</v>
      </c>
      <c r="C4227" s="5">
        <v>101</v>
      </c>
    </row>
    <row r="4228" spans="1:4">
      <c r="A4228" s="68">
        <v>37621</v>
      </c>
      <c r="B4228" s="6">
        <v>2.7662037037036999E-2</v>
      </c>
      <c r="C4228" s="5">
        <v>118</v>
      </c>
    </row>
    <row r="4229" spans="1:4">
      <c r="A4229" s="68">
        <v>37621</v>
      </c>
      <c r="B4229" s="6">
        <v>2.7719907407407401E-2</v>
      </c>
      <c r="C4229" s="5">
        <v>125</v>
      </c>
    </row>
    <row r="4230" spans="1:4">
      <c r="A4230" s="68">
        <v>37621</v>
      </c>
      <c r="B4230" s="6">
        <v>2.7777777777777801E-2</v>
      </c>
      <c r="C4230" s="5">
        <v>131</v>
      </c>
    </row>
    <row r="4231" spans="1:4">
      <c r="A4231" s="68">
        <v>37621</v>
      </c>
      <c r="B4231" s="6">
        <v>2.7835648148148099E-2</v>
      </c>
      <c r="C4231" s="5">
        <v>137</v>
      </c>
    </row>
    <row r="4232" spans="1:4">
      <c r="A4232" s="68">
        <v>37621</v>
      </c>
      <c r="B4232" s="6">
        <v>2.7893518518518502E-2</v>
      </c>
      <c r="C4232" s="5">
        <v>141</v>
      </c>
    </row>
    <row r="4233" spans="1:4">
      <c r="A4233" s="68">
        <v>37621</v>
      </c>
      <c r="B4233" s="6">
        <v>2.7951388888888901E-2</v>
      </c>
      <c r="C4233" s="5">
        <v>143</v>
      </c>
    </row>
    <row r="4234" spans="1:4">
      <c r="A4234" s="68">
        <v>37621</v>
      </c>
      <c r="B4234" s="6">
        <v>2.80092592592593E-2</v>
      </c>
      <c r="C4234" s="5">
        <v>145</v>
      </c>
    </row>
    <row r="4235" spans="1:4">
      <c r="A4235" s="68">
        <v>37621</v>
      </c>
      <c r="B4235" s="6">
        <v>2.8067129629629602E-2</v>
      </c>
      <c r="C4235" s="5">
        <v>146</v>
      </c>
    </row>
    <row r="4236" spans="1:4">
      <c r="A4236" s="68">
        <v>37621</v>
      </c>
      <c r="B4236" s="6">
        <v>2.8125000000000001E-2</v>
      </c>
      <c r="C4236" s="5">
        <v>146</v>
      </c>
    </row>
    <row r="4237" spans="1:4">
      <c r="A4237" s="68">
        <v>37621</v>
      </c>
      <c r="B4237" s="6">
        <v>2.81828703703704E-2</v>
      </c>
      <c r="C4237" s="5">
        <v>148</v>
      </c>
    </row>
    <row r="4238" spans="1:4">
      <c r="A4238" s="68">
        <v>37621</v>
      </c>
      <c r="B4238" s="6">
        <v>2.8240740740740702E-2</v>
      </c>
      <c r="C4238" s="5">
        <v>147</v>
      </c>
    </row>
    <row r="4239" spans="1:4">
      <c r="A4239" s="68">
        <v>37621</v>
      </c>
      <c r="B4239" s="6">
        <v>2.8298611111111101E-2</v>
      </c>
      <c r="C4239" s="5">
        <v>147</v>
      </c>
    </row>
    <row r="4240" spans="1:4">
      <c r="A4240" s="68">
        <v>37621</v>
      </c>
      <c r="B4240" s="6">
        <v>2.83564814814815E-2</v>
      </c>
      <c r="C4240" s="5">
        <v>148</v>
      </c>
    </row>
    <row r="4241" spans="1:3">
      <c r="A4241" s="68">
        <v>37621</v>
      </c>
      <c r="B4241" s="6">
        <v>2.8414351851851899E-2</v>
      </c>
      <c r="C4241" s="5">
        <v>149</v>
      </c>
    </row>
    <row r="4242" spans="1:3">
      <c r="A4242" s="68">
        <v>37621</v>
      </c>
      <c r="B4242" s="6">
        <v>2.8472222222222201E-2</v>
      </c>
      <c r="C4242" s="5">
        <v>149</v>
      </c>
    </row>
    <row r="4243" spans="1:3">
      <c r="A4243" s="68">
        <v>37621</v>
      </c>
      <c r="B4243" s="6">
        <v>2.85300925925926E-2</v>
      </c>
      <c r="C4243" s="5">
        <v>150</v>
      </c>
    </row>
    <row r="4244" spans="1:3">
      <c r="A4244" s="68">
        <v>37621</v>
      </c>
      <c r="B4244" s="6">
        <v>2.8587962962962999E-2</v>
      </c>
      <c r="C4244" s="5">
        <v>150</v>
      </c>
    </row>
    <row r="4245" spans="1:3">
      <c r="A4245" s="68">
        <v>37621</v>
      </c>
      <c r="B4245" s="6">
        <v>2.8645833333333301E-2</v>
      </c>
      <c r="C4245" s="5">
        <v>150</v>
      </c>
    </row>
    <row r="4246" spans="1:3">
      <c r="A4246" s="68">
        <v>37621</v>
      </c>
      <c r="B4246" s="6">
        <v>2.87037037037037E-2</v>
      </c>
      <c r="C4246" s="5">
        <v>150</v>
      </c>
    </row>
    <row r="4247" spans="1:3">
      <c r="A4247" s="68">
        <v>37621</v>
      </c>
      <c r="B4247" s="6">
        <v>2.8761574074074099E-2</v>
      </c>
      <c r="C4247" s="5">
        <v>152</v>
      </c>
    </row>
    <row r="4248" spans="1:3">
      <c r="A4248" s="68">
        <v>37621</v>
      </c>
      <c r="B4248" s="6">
        <v>2.8819444444444401E-2</v>
      </c>
      <c r="C4248" s="5">
        <v>151</v>
      </c>
    </row>
    <row r="4249" spans="1:3">
      <c r="A4249" s="68">
        <v>37621</v>
      </c>
      <c r="B4249" s="6">
        <v>2.88773148148148E-2</v>
      </c>
      <c r="C4249" s="5">
        <v>150</v>
      </c>
    </row>
    <row r="4250" spans="1:3">
      <c r="A4250" s="68">
        <v>37621</v>
      </c>
      <c r="B4250" s="6">
        <v>2.8935185185185199E-2</v>
      </c>
      <c r="C4250" s="5">
        <v>149</v>
      </c>
    </row>
    <row r="4251" spans="1:3">
      <c r="A4251" s="68">
        <v>37621</v>
      </c>
      <c r="B4251" s="6">
        <v>2.8993055555555598E-2</v>
      </c>
      <c r="C4251" s="5">
        <v>147</v>
      </c>
    </row>
    <row r="4252" spans="1:3">
      <c r="A4252" s="68">
        <v>37621</v>
      </c>
      <c r="B4252" s="6">
        <v>2.90509259259259E-2</v>
      </c>
      <c r="C4252" s="5">
        <v>147</v>
      </c>
    </row>
    <row r="4253" spans="1:3">
      <c r="A4253" s="68">
        <v>37621</v>
      </c>
      <c r="B4253" s="6">
        <v>2.9108796296296299E-2</v>
      </c>
      <c r="C4253" s="5">
        <v>148</v>
      </c>
    </row>
    <row r="4254" spans="1:3">
      <c r="A4254" s="68">
        <v>37621</v>
      </c>
      <c r="B4254" s="6">
        <v>2.9166666666666698E-2</v>
      </c>
      <c r="C4254" s="5">
        <v>148</v>
      </c>
    </row>
    <row r="4255" spans="1:3">
      <c r="A4255" s="68">
        <v>37621</v>
      </c>
      <c r="B4255" s="6">
        <v>2.9224537037037E-2</v>
      </c>
      <c r="C4255" s="5">
        <v>148</v>
      </c>
    </row>
    <row r="4256" spans="1:3">
      <c r="A4256" s="68">
        <v>37621</v>
      </c>
      <c r="B4256" s="6">
        <v>2.9282407407407399E-2</v>
      </c>
      <c r="C4256" s="5">
        <v>147</v>
      </c>
    </row>
    <row r="4257" spans="1:3">
      <c r="A4257" s="68">
        <v>37621</v>
      </c>
      <c r="B4257" s="6">
        <v>2.9340277777777798E-2</v>
      </c>
      <c r="C4257" s="5">
        <v>146</v>
      </c>
    </row>
    <row r="4258" spans="1:3">
      <c r="A4258" s="68">
        <v>37621</v>
      </c>
      <c r="B4258" s="6">
        <v>2.93981481481481E-2</v>
      </c>
      <c r="C4258" s="5">
        <v>146</v>
      </c>
    </row>
    <row r="4259" spans="1:3">
      <c r="A4259" s="68">
        <v>37621</v>
      </c>
      <c r="B4259" s="6">
        <v>2.9456018518518499E-2</v>
      </c>
      <c r="C4259" s="5">
        <v>146</v>
      </c>
    </row>
    <row r="4260" spans="1:3">
      <c r="A4260" s="68">
        <v>37621</v>
      </c>
      <c r="B4260" s="6">
        <v>2.9513888888888899E-2</v>
      </c>
      <c r="C4260" s="5">
        <v>147</v>
      </c>
    </row>
    <row r="4261" spans="1:3">
      <c r="A4261" s="68">
        <v>37621</v>
      </c>
      <c r="B4261" s="6">
        <v>2.9571759259259301E-2</v>
      </c>
      <c r="C4261" s="5">
        <v>148</v>
      </c>
    </row>
    <row r="4262" spans="1:3">
      <c r="A4262" s="68">
        <v>37621</v>
      </c>
      <c r="B4262" s="6">
        <v>2.96296296296296E-2</v>
      </c>
      <c r="C4262" s="5">
        <v>147</v>
      </c>
    </row>
    <row r="4263" spans="1:3">
      <c r="A4263" s="68">
        <v>37621</v>
      </c>
      <c r="B4263" s="6">
        <v>2.9687499999999999E-2</v>
      </c>
      <c r="C4263" s="5">
        <v>147</v>
      </c>
    </row>
    <row r="4264" spans="1:3">
      <c r="A4264" s="68">
        <v>37621</v>
      </c>
      <c r="B4264" s="6">
        <v>2.9745370370370401E-2</v>
      </c>
      <c r="C4264" s="5">
        <v>148</v>
      </c>
    </row>
    <row r="4265" spans="1:3">
      <c r="A4265" s="68">
        <v>37621</v>
      </c>
      <c r="B4265" s="6">
        <v>2.98032407407407E-2</v>
      </c>
      <c r="C4265" s="5">
        <v>149</v>
      </c>
    </row>
    <row r="4266" spans="1:3">
      <c r="A4266" s="68">
        <v>37621</v>
      </c>
      <c r="B4266" s="6">
        <v>2.9861111111111099E-2</v>
      </c>
      <c r="C4266" s="5">
        <v>149</v>
      </c>
    </row>
    <row r="4267" spans="1:3">
      <c r="A4267" s="68">
        <v>37621</v>
      </c>
      <c r="B4267" s="6">
        <v>2.9918981481481501E-2</v>
      </c>
      <c r="C4267" s="5">
        <v>149</v>
      </c>
    </row>
    <row r="4268" spans="1:3">
      <c r="A4268" s="68">
        <v>37621</v>
      </c>
      <c r="B4268" s="6">
        <v>2.99768518518518E-2</v>
      </c>
      <c r="C4268" s="5">
        <v>151</v>
      </c>
    </row>
    <row r="4269" spans="1:3">
      <c r="A4269" s="68">
        <v>37621</v>
      </c>
      <c r="B4269" s="6">
        <v>3.0034722222222199E-2</v>
      </c>
      <c r="C4269" s="5">
        <v>150</v>
      </c>
    </row>
    <row r="4270" spans="1:3">
      <c r="A4270" s="68">
        <v>37621</v>
      </c>
      <c r="B4270" s="6">
        <v>3.0092592592592601E-2</v>
      </c>
      <c r="C4270" s="5">
        <v>148</v>
      </c>
    </row>
    <row r="4271" spans="1:3">
      <c r="A4271" s="68">
        <v>37621</v>
      </c>
      <c r="B4271" s="6">
        <v>3.0150462962963E-2</v>
      </c>
      <c r="C4271" s="5">
        <v>147</v>
      </c>
    </row>
    <row r="4272" spans="1:3">
      <c r="A4272" s="68">
        <v>37621</v>
      </c>
      <c r="B4272" s="6">
        <v>3.0208333333333299E-2</v>
      </c>
      <c r="C4272" s="5">
        <v>146</v>
      </c>
    </row>
    <row r="4273" spans="1:7">
      <c r="A4273" s="68">
        <v>37621</v>
      </c>
      <c r="B4273" s="6">
        <v>3.0266203703703701E-2</v>
      </c>
      <c r="C4273" s="5">
        <v>147</v>
      </c>
    </row>
    <row r="4274" spans="1:7">
      <c r="A4274" s="68">
        <v>37621</v>
      </c>
      <c r="B4274" s="6">
        <v>3.03240740740741E-2</v>
      </c>
      <c r="C4274" s="5">
        <v>146</v>
      </c>
    </row>
    <row r="4275" spans="1:7">
      <c r="A4275" s="68">
        <v>37621</v>
      </c>
      <c r="B4275" s="6">
        <v>3.0381944444444399E-2</v>
      </c>
      <c r="C4275" s="5">
        <v>146</v>
      </c>
    </row>
    <row r="4276" spans="1:7">
      <c r="A4276" s="68">
        <v>37621</v>
      </c>
      <c r="B4276" s="6">
        <v>3.0439814814814802E-2</v>
      </c>
      <c r="C4276" s="5">
        <v>148</v>
      </c>
    </row>
    <row r="4277" spans="1:7">
      <c r="A4277" s="68">
        <v>37621</v>
      </c>
      <c r="B4277" s="6">
        <v>3.0497685185185201E-2</v>
      </c>
      <c r="C4277" s="5">
        <v>149</v>
      </c>
    </row>
    <row r="4278" spans="1:7">
      <c r="A4278" s="68">
        <v>37621</v>
      </c>
      <c r="B4278" s="6">
        <v>3.05555555555556E-2</v>
      </c>
      <c r="C4278" s="5">
        <v>150</v>
      </c>
    </row>
    <row r="4279" spans="1:7">
      <c r="A4279" s="68">
        <v>37621</v>
      </c>
      <c r="B4279" s="6">
        <v>3.0613425925925902E-2</v>
      </c>
      <c r="C4279" s="5">
        <v>149</v>
      </c>
    </row>
    <row r="4280" spans="1:7">
      <c r="A4280" s="68">
        <v>37621</v>
      </c>
      <c r="B4280" s="6">
        <v>3.0671296296296301E-2</v>
      </c>
      <c r="C4280" s="5">
        <v>149</v>
      </c>
      <c r="D4280" s="4" t="s">
        <v>200</v>
      </c>
      <c r="G4280" s="4">
        <f>AVERAGE(C4227:C4280)</f>
        <v>145.4814814814815</v>
      </c>
    </row>
    <row r="4281" spans="1:7">
      <c r="A4281" s="68">
        <v>37621</v>
      </c>
      <c r="B4281" s="6">
        <v>3.07291666666667E-2</v>
      </c>
      <c r="C4281" s="5">
        <v>146</v>
      </c>
    </row>
    <row r="4282" spans="1:7">
      <c r="A4282" s="68">
        <v>37621</v>
      </c>
      <c r="B4282" s="6">
        <v>3.0787037037037002E-2</v>
      </c>
      <c r="C4282" s="5">
        <v>142</v>
      </c>
    </row>
    <row r="4283" spans="1:7">
      <c r="A4283" s="68">
        <v>37621</v>
      </c>
      <c r="B4283" s="6">
        <v>3.0844907407407401E-2</v>
      </c>
      <c r="C4283" s="5">
        <v>140</v>
      </c>
    </row>
    <row r="4284" spans="1:7">
      <c r="A4284" s="68">
        <v>37621</v>
      </c>
      <c r="B4284" s="6">
        <v>3.09027777777778E-2</v>
      </c>
      <c r="C4284" s="5">
        <v>135</v>
      </c>
    </row>
    <row r="4285" spans="1:7">
      <c r="A4285" s="68">
        <v>37621</v>
      </c>
      <c r="B4285" s="6">
        <v>3.0960648148148098E-2</v>
      </c>
      <c r="C4285" s="5">
        <v>134</v>
      </c>
    </row>
    <row r="4286" spans="1:7">
      <c r="A4286" s="68">
        <v>37621</v>
      </c>
      <c r="B4286" s="6">
        <v>3.1018518518518501E-2</v>
      </c>
      <c r="C4286" s="5">
        <v>126</v>
      </c>
    </row>
    <row r="4287" spans="1:7">
      <c r="A4287" s="68">
        <v>37621</v>
      </c>
      <c r="B4287" s="6">
        <v>3.10763888888889E-2</v>
      </c>
      <c r="C4287" s="5">
        <v>121</v>
      </c>
    </row>
    <row r="4288" spans="1:7">
      <c r="A4288" s="68">
        <v>37621</v>
      </c>
      <c r="B4288" s="6">
        <v>3.1134259259259299E-2</v>
      </c>
      <c r="C4288" s="5">
        <v>118</v>
      </c>
    </row>
    <row r="4289" spans="1:4">
      <c r="A4289" s="68">
        <v>37621</v>
      </c>
      <c r="B4289" s="6">
        <v>3.1192129629629601E-2</v>
      </c>
      <c r="C4289" s="5">
        <v>105</v>
      </c>
    </row>
    <row r="4290" spans="1:4">
      <c r="A4290" s="68">
        <v>37621</v>
      </c>
      <c r="B4290" s="6">
        <v>3.125E-2</v>
      </c>
      <c r="C4290" s="5">
        <v>98</v>
      </c>
    </row>
    <row r="4291" spans="1:4">
      <c r="A4291" s="68">
        <v>37621</v>
      </c>
      <c r="B4291" s="6">
        <v>3.1307870370370403E-2</v>
      </c>
      <c r="C4291" s="5">
        <v>95</v>
      </c>
    </row>
    <row r="4292" spans="1:4">
      <c r="A4292" s="68">
        <v>37621</v>
      </c>
      <c r="B4292" s="6">
        <v>3.1365740740740701E-2</v>
      </c>
      <c r="C4292" s="5">
        <v>94</v>
      </c>
      <c r="D4292" s="4" t="s">
        <v>201</v>
      </c>
    </row>
    <row r="4293" spans="1:4">
      <c r="A4293" s="68">
        <v>37621</v>
      </c>
      <c r="B4293" s="6">
        <v>3.1423611111111097E-2</v>
      </c>
      <c r="C4293" s="5">
        <v>112</v>
      </c>
    </row>
    <row r="4294" spans="1:4">
      <c r="A4294" s="68">
        <v>37621</v>
      </c>
      <c r="B4294" s="6">
        <v>3.1481481481481499E-2</v>
      </c>
      <c r="C4294" s="5">
        <v>123</v>
      </c>
    </row>
    <row r="4295" spans="1:4">
      <c r="A4295" s="68">
        <v>37621</v>
      </c>
      <c r="B4295" s="6">
        <v>3.1539351851851798E-2</v>
      </c>
      <c r="C4295" s="5">
        <v>127</v>
      </c>
    </row>
    <row r="4296" spans="1:4">
      <c r="A4296" s="68">
        <v>37621</v>
      </c>
      <c r="B4296" s="6">
        <v>3.15972222222222E-2</v>
      </c>
      <c r="C4296" s="5">
        <v>128</v>
      </c>
    </row>
    <row r="4297" spans="1:4">
      <c r="A4297" s="68">
        <v>37621</v>
      </c>
      <c r="B4297" s="6">
        <v>3.1655092592592603E-2</v>
      </c>
      <c r="C4297" s="5">
        <v>133</v>
      </c>
    </row>
    <row r="4298" spans="1:4">
      <c r="A4298" s="68">
        <v>37621</v>
      </c>
      <c r="B4298" s="6">
        <v>3.1712962962962998E-2</v>
      </c>
      <c r="C4298" s="5">
        <v>136</v>
      </c>
    </row>
    <row r="4299" spans="1:4">
      <c r="A4299" s="68">
        <v>37621</v>
      </c>
      <c r="B4299" s="6">
        <v>3.1770833333333297E-2</v>
      </c>
      <c r="C4299" s="5">
        <v>139</v>
      </c>
    </row>
    <row r="4300" spans="1:4">
      <c r="A4300" s="68">
        <v>37621</v>
      </c>
      <c r="B4300" s="6">
        <v>3.1828703703703699E-2</v>
      </c>
      <c r="C4300" s="5">
        <v>141</v>
      </c>
    </row>
    <row r="4301" spans="1:4">
      <c r="A4301" s="68">
        <v>37621</v>
      </c>
      <c r="B4301" s="6">
        <v>3.1886574074074102E-2</v>
      </c>
      <c r="C4301" s="5">
        <v>143</v>
      </c>
    </row>
    <row r="4302" spans="1:4">
      <c r="A4302" s="68">
        <v>37621</v>
      </c>
      <c r="B4302" s="6">
        <v>3.19444444444444E-2</v>
      </c>
      <c r="C4302" s="5">
        <v>144</v>
      </c>
    </row>
    <row r="4303" spans="1:4">
      <c r="A4303" s="68">
        <v>37621</v>
      </c>
      <c r="B4303" s="6">
        <v>3.2002314814814803E-2</v>
      </c>
      <c r="C4303" s="5">
        <v>143</v>
      </c>
    </row>
    <row r="4304" spans="1:4">
      <c r="A4304" s="68">
        <v>37621</v>
      </c>
      <c r="B4304" s="6">
        <v>3.2060185185185198E-2</v>
      </c>
      <c r="C4304" s="5">
        <v>144</v>
      </c>
    </row>
    <row r="4305" spans="1:3">
      <c r="A4305" s="68">
        <v>37621</v>
      </c>
      <c r="B4305" s="6">
        <v>3.2118055555555601E-2</v>
      </c>
      <c r="C4305" s="5">
        <v>145</v>
      </c>
    </row>
    <row r="4306" spans="1:3">
      <c r="A4306" s="68">
        <v>37621</v>
      </c>
      <c r="B4306" s="6">
        <v>3.21759259259259E-2</v>
      </c>
      <c r="C4306" s="5">
        <v>146</v>
      </c>
    </row>
    <row r="4307" spans="1:3">
      <c r="A4307" s="68">
        <v>37621</v>
      </c>
      <c r="B4307" s="6">
        <v>3.2233796296296302E-2</v>
      </c>
      <c r="C4307" s="5">
        <v>147</v>
      </c>
    </row>
    <row r="4308" spans="1:3">
      <c r="A4308" s="68">
        <v>37621</v>
      </c>
      <c r="B4308" s="6">
        <v>3.2291666666666698E-2</v>
      </c>
      <c r="C4308" s="5">
        <v>148</v>
      </c>
    </row>
    <row r="4309" spans="1:3">
      <c r="A4309" s="68">
        <v>37621</v>
      </c>
      <c r="B4309" s="6">
        <v>3.2349537037037003E-2</v>
      </c>
      <c r="C4309" s="5">
        <v>151</v>
      </c>
    </row>
    <row r="4310" spans="1:3">
      <c r="A4310" s="68">
        <v>37621</v>
      </c>
      <c r="B4310" s="6">
        <v>3.2407407407407399E-2</v>
      </c>
      <c r="C4310" s="5">
        <v>153</v>
      </c>
    </row>
    <row r="4311" spans="1:3">
      <c r="A4311" s="68">
        <v>37621</v>
      </c>
      <c r="B4311" s="6">
        <v>3.2465277777777801E-2</v>
      </c>
      <c r="C4311" s="5">
        <v>154</v>
      </c>
    </row>
    <row r="4312" spans="1:3">
      <c r="A4312" s="68">
        <v>37621</v>
      </c>
      <c r="B4312" s="6">
        <v>3.25231481481481E-2</v>
      </c>
      <c r="C4312" s="5">
        <v>155</v>
      </c>
    </row>
    <row r="4313" spans="1:3">
      <c r="A4313" s="68">
        <v>37621</v>
      </c>
      <c r="B4313" s="6">
        <v>3.2581018518518502E-2</v>
      </c>
      <c r="C4313" s="5">
        <v>156</v>
      </c>
    </row>
    <row r="4314" spans="1:3">
      <c r="A4314" s="68">
        <v>37621</v>
      </c>
      <c r="B4314" s="6">
        <v>3.2638888888888898E-2</v>
      </c>
      <c r="C4314" s="5">
        <v>156</v>
      </c>
    </row>
    <row r="4315" spans="1:3">
      <c r="A4315" s="68">
        <v>37621</v>
      </c>
      <c r="B4315" s="6">
        <v>3.26967592592593E-2</v>
      </c>
      <c r="C4315" s="5">
        <v>157</v>
      </c>
    </row>
    <row r="4316" spans="1:3">
      <c r="A4316" s="68">
        <v>37621</v>
      </c>
      <c r="B4316" s="6">
        <v>3.2754629629629599E-2</v>
      </c>
      <c r="C4316" s="5">
        <v>157</v>
      </c>
    </row>
    <row r="4317" spans="1:3">
      <c r="A4317" s="68">
        <v>37621</v>
      </c>
      <c r="B4317" s="6">
        <v>3.2812500000000001E-2</v>
      </c>
      <c r="C4317" s="5">
        <v>156</v>
      </c>
    </row>
    <row r="4318" spans="1:3">
      <c r="A4318" s="68">
        <v>37621</v>
      </c>
      <c r="B4318" s="6">
        <v>3.2870370370370397E-2</v>
      </c>
      <c r="C4318" s="5">
        <v>156</v>
      </c>
    </row>
    <row r="4319" spans="1:3">
      <c r="A4319" s="68">
        <v>37621</v>
      </c>
      <c r="B4319" s="6">
        <v>3.2928240740740702E-2</v>
      </c>
      <c r="C4319" s="5">
        <v>155</v>
      </c>
    </row>
    <row r="4320" spans="1:3">
      <c r="A4320" s="68">
        <v>37621</v>
      </c>
      <c r="B4320" s="6">
        <v>3.2986111111111098E-2</v>
      </c>
      <c r="C4320" s="5">
        <v>154</v>
      </c>
    </row>
    <row r="4321" spans="1:3">
      <c r="A4321" s="68">
        <v>37621</v>
      </c>
      <c r="B4321" s="6">
        <v>3.3043981481481501E-2</v>
      </c>
      <c r="C4321" s="5">
        <v>153</v>
      </c>
    </row>
    <row r="4322" spans="1:3">
      <c r="A4322" s="68">
        <v>37621</v>
      </c>
      <c r="B4322" s="6">
        <v>3.3101851851851799E-2</v>
      </c>
      <c r="C4322" s="5">
        <v>153</v>
      </c>
    </row>
    <row r="4323" spans="1:3">
      <c r="A4323" s="68">
        <v>37621</v>
      </c>
      <c r="B4323" s="6">
        <v>3.3159722222222202E-2</v>
      </c>
      <c r="C4323" s="5">
        <v>153</v>
      </c>
    </row>
    <row r="4324" spans="1:3">
      <c r="A4324" s="68">
        <v>37621</v>
      </c>
      <c r="B4324" s="6">
        <v>3.3217592592592597E-2</v>
      </c>
      <c r="C4324" s="5">
        <v>153</v>
      </c>
    </row>
    <row r="4325" spans="1:3">
      <c r="A4325" s="68">
        <v>37621</v>
      </c>
      <c r="B4325" s="6">
        <v>3.3275462962963E-2</v>
      </c>
      <c r="C4325" s="5">
        <v>153</v>
      </c>
    </row>
    <row r="4326" spans="1:3">
      <c r="A4326" s="68">
        <v>37621</v>
      </c>
      <c r="B4326" s="6">
        <v>3.3333333333333298E-2</v>
      </c>
      <c r="C4326" s="5">
        <v>153</v>
      </c>
    </row>
    <row r="4327" spans="1:3">
      <c r="A4327" s="68">
        <v>37621</v>
      </c>
      <c r="B4327" s="6">
        <v>3.3391203703703701E-2</v>
      </c>
      <c r="C4327" s="5">
        <v>154</v>
      </c>
    </row>
    <row r="4328" spans="1:3">
      <c r="A4328" s="68">
        <v>37621</v>
      </c>
      <c r="B4328" s="6">
        <v>3.3449074074074103E-2</v>
      </c>
      <c r="C4328" s="5">
        <v>154</v>
      </c>
    </row>
    <row r="4329" spans="1:3">
      <c r="A4329" s="68">
        <v>37621</v>
      </c>
      <c r="B4329" s="6">
        <v>3.3506944444444402E-2</v>
      </c>
      <c r="C4329" s="5">
        <v>153</v>
      </c>
    </row>
    <row r="4330" spans="1:3">
      <c r="A4330" s="68">
        <v>37621</v>
      </c>
      <c r="B4330" s="6">
        <v>3.3564814814814797E-2</v>
      </c>
      <c r="C4330" s="5">
        <v>152</v>
      </c>
    </row>
    <row r="4331" spans="1:3">
      <c r="A4331" s="68">
        <v>37621</v>
      </c>
      <c r="B4331" s="6">
        <v>3.36226851851852E-2</v>
      </c>
      <c r="C4331" s="5">
        <v>152</v>
      </c>
    </row>
    <row r="4332" spans="1:3">
      <c r="A4332" s="68">
        <v>37621</v>
      </c>
      <c r="B4332" s="6">
        <v>3.3680555555555602E-2</v>
      </c>
      <c r="C4332" s="5">
        <v>152</v>
      </c>
    </row>
    <row r="4333" spans="1:3">
      <c r="A4333" s="68">
        <v>37621</v>
      </c>
      <c r="B4333" s="6">
        <v>3.3738425925925901E-2</v>
      </c>
      <c r="C4333" s="5">
        <v>153</v>
      </c>
    </row>
    <row r="4334" spans="1:3">
      <c r="A4334" s="68">
        <v>37621</v>
      </c>
      <c r="B4334" s="6">
        <v>3.3796296296296303E-2</v>
      </c>
      <c r="C4334" s="5">
        <v>154</v>
      </c>
    </row>
    <row r="4335" spans="1:3">
      <c r="A4335" s="68">
        <v>37621</v>
      </c>
      <c r="B4335" s="6">
        <v>3.3854166666666699E-2</v>
      </c>
      <c r="C4335" s="5">
        <v>152</v>
      </c>
    </row>
    <row r="4336" spans="1:3">
      <c r="A4336" s="68">
        <v>37621</v>
      </c>
      <c r="B4336" s="6">
        <v>3.3912037037036998E-2</v>
      </c>
      <c r="C4336" s="5">
        <v>151</v>
      </c>
    </row>
    <row r="4337" spans="1:7">
      <c r="A4337" s="68">
        <v>37621</v>
      </c>
      <c r="B4337" s="6">
        <v>3.39699074074074E-2</v>
      </c>
      <c r="C4337" s="5">
        <v>151</v>
      </c>
    </row>
    <row r="4338" spans="1:7">
      <c r="A4338" s="68">
        <v>37621</v>
      </c>
      <c r="B4338" s="6">
        <v>3.4027777777777803E-2</v>
      </c>
      <c r="C4338" s="5">
        <v>151</v>
      </c>
    </row>
    <row r="4339" spans="1:7">
      <c r="A4339" s="68">
        <v>37621</v>
      </c>
      <c r="B4339" s="6">
        <v>3.4085648148148101E-2</v>
      </c>
      <c r="C4339" s="5">
        <v>150</v>
      </c>
    </row>
    <row r="4340" spans="1:7">
      <c r="A4340" s="68">
        <v>37621</v>
      </c>
      <c r="B4340" s="6">
        <v>3.4143518518518497E-2</v>
      </c>
      <c r="C4340" s="5">
        <v>151</v>
      </c>
    </row>
    <row r="4341" spans="1:7">
      <c r="A4341" s="68">
        <v>37621</v>
      </c>
      <c r="B4341" s="6">
        <v>3.4201388888888899E-2</v>
      </c>
      <c r="C4341" s="5">
        <v>151</v>
      </c>
    </row>
    <row r="4342" spans="1:7">
      <c r="A4342" s="68">
        <v>37621</v>
      </c>
      <c r="B4342" s="6">
        <v>3.4259259259259302E-2</v>
      </c>
      <c r="C4342" s="5">
        <v>153</v>
      </c>
    </row>
    <row r="4343" spans="1:7">
      <c r="A4343" s="68">
        <v>37621</v>
      </c>
      <c r="B4343" s="6">
        <v>3.43171296296296E-2</v>
      </c>
      <c r="C4343" s="5">
        <v>153</v>
      </c>
      <c r="D4343" s="4" t="s">
        <v>203</v>
      </c>
      <c r="G4343" s="4">
        <f>AVERAGE(C4293:C4343)</f>
        <v>148.31372549019608</v>
      </c>
    </row>
    <row r="4344" spans="1:7">
      <c r="A4344" s="68">
        <v>37621</v>
      </c>
      <c r="B4344" s="6">
        <v>3.4375000000000003E-2</v>
      </c>
      <c r="C4344" s="5">
        <v>151</v>
      </c>
    </row>
    <row r="4345" spans="1:7">
      <c r="A4345" s="68">
        <v>37621</v>
      </c>
      <c r="B4345" s="6">
        <v>3.4432870370370398E-2</v>
      </c>
      <c r="C4345" s="5">
        <v>148</v>
      </c>
    </row>
    <row r="4346" spans="1:7">
      <c r="A4346" s="68">
        <v>37621</v>
      </c>
      <c r="B4346" s="6">
        <v>3.4490740740740697E-2</v>
      </c>
      <c r="C4346" s="5">
        <v>148</v>
      </c>
    </row>
    <row r="4347" spans="1:7">
      <c r="A4347" s="68">
        <v>37621</v>
      </c>
      <c r="B4347" s="6">
        <v>3.4548611111111099E-2</v>
      </c>
      <c r="C4347" s="5">
        <v>146</v>
      </c>
    </row>
    <row r="4348" spans="1:7">
      <c r="A4348" s="68">
        <v>37621</v>
      </c>
      <c r="B4348" s="6">
        <v>3.4606481481481502E-2</v>
      </c>
      <c r="C4348" s="5">
        <v>140</v>
      </c>
    </row>
    <row r="4349" spans="1:7">
      <c r="A4349" s="68">
        <v>37621</v>
      </c>
      <c r="B4349" s="6">
        <v>3.46643518518518E-2</v>
      </c>
      <c r="C4349" s="5">
        <v>132</v>
      </c>
    </row>
    <row r="4350" spans="1:7">
      <c r="A4350" s="68">
        <v>37621</v>
      </c>
      <c r="B4350" s="6">
        <v>3.4722222222222203E-2</v>
      </c>
      <c r="C4350" s="5">
        <v>123</v>
      </c>
    </row>
    <row r="4351" spans="1:7">
      <c r="A4351" s="68">
        <v>37621</v>
      </c>
      <c r="B4351" s="6">
        <v>3.4780092592592599E-2</v>
      </c>
      <c r="C4351" s="5">
        <v>114</v>
      </c>
    </row>
    <row r="4352" spans="1:7">
      <c r="A4352" s="68">
        <v>37621</v>
      </c>
      <c r="B4352" s="6">
        <v>3.4837962962963001E-2</v>
      </c>
      <c r="C4352" s="5">
        <v>117</v>
      </c>
    </row>
    <row r="4353" spans="1:4">
      <c r="A4353" s="68">
        <v>37621</v>
      </c>
      <c r="B4353" s="6">
        <v>3.48958333333333E-2</v>
      </c>
      <c r="C4353" s="5">
        <v>122</v>
      </c>
    </row>
    <row r="4354" spans="1:4">
      <c r="A4354" s="68">
        <v>37621</v>
      </c>
      <c r="B4354" s="6">
        <v>3.4953703703703702E-2</v>
      </c>
      <c r="C4354" s="5">
        <v>107</v>
      </c>
    </row>
    <row r="4355" spans="1:4">
      <c r="A4355" s="68">
        <v>37621</v>
      </c>
      <c r="B4355" s="6">
        <v>3.5011574074074098E-2</v>
      </c>
      <c r="C4355" s="5">
        <v>104</v>
      </c>
      <c r="D4355" s="4" t="s">
        <v>205</v>
      </c>
    </row>
    <row r="4356" spans="1:4">
      <c r="A4356" s="68">
        <v>37621</v>
      </c>
      <c r="B4356" s="6">
        <v>3.5069444444444403E-2</v>
      </c>
      <c r="C4356" s="5">
        <v>113</v>
      </c>
    </row>
    <row r="4357" spans="1:4">
      <c r="A4357" s="68">
        <v>37621</v>
      </c>
      <c r="B4357" s="6">
        <v>3.5127314814814799E-2</v>
      </c>
      <c r="C4357" s="5">
        <v>127</v>
      </c>
    </row>
    <row r="4358" spans="1:4">
      <c r="A4358" s="68">
        <v>37621</v>
      </c>
      <c r="B4358" s="6">
        <v>3.5185185185185201E-2</v>
      </c>
      <c r="C4358" s="5">
        <v>130</v>
      </c>
    </row>
    <row r="4359" spans="1:4">
      <c r="A4359" s="68">
        <v>37621</v>
      </c>
      <c r="B4359" s="6">
        <v>3.5243055555555597E-2</v>
      </c>
      <c r="C4359" s="5">
        <v>135</v>
      </c>
    </row>
    <row r="4360" spans="1:4">
      <c r="A4360" s="68">
        <v>37621</v>
      </c>
      <c r="B4360" s="6">
        <v>3.5300925925925902E-2</v>
      </c>
      <c r="C4360" s="5">
        <v>138</v>
      </c>
    </row>
    <row r="4361" spans="1:4">
      <c r="A4361" s="68">
        <v>37621</v>
      </c>
      <c r="B4361" s="6">
        <v>3.5358796296296298E-2</v>
      </c>
      <c r="C4361" s="5">
        <v>141</v>
      </c>
    </row>
    <row r="4362" spans="1:4">
      <c r="A4362" s="68">
        <v>37621</v>
      </c>
      <c r="B4362" s="6">
        <v>3.54166666666667E-2</v>
      </c>
      <c r="C4362" s="5">
        <v>143</v>
      </c>
    </row>
    <row r="4363" spans="1:4">
      <c r="A4363" s="68">
        <v>37621</v>
      </c>
      <c r="B4363" s="6">
        <v>3.5474537037036999E-2</v>
      </c>
      <c r="C4363" s="5">
        <v>142</v>
      </c>
    </row>
    <row r="4364" spans="1:4">
      <c r="A4364" s="68">
        <v>37621</v>
      </c>
      <c r="B4364" s="6">
        <v>3.5532407407407401E-2</v>
      </c>
      <c r="C4364" s="5">
        <v>143</v>
      </c>
    </row>
    <row r="4365" spans="1:4">
      <c r="A4365" s="68">
        <v>37621</v>
      </c>
      <c r="B4365" s="6">
        <v>3.5590277777777797E-2</v>
      </c>
      <c r="C4365" s="5">
        <v>146</v>
      </c>
    </row>
    <row r="4366" spans="1:4">
      <c r="A4366" s="68">
        <v>37621</v>
      </c>
      <c r="B4366" s="6">
        <v>3.5648148148148102E-2</v>
      </c>
      <c r="C4366" s="5">
        <v>150</v>
      </c>
    </row>
    <row r="4367" spans="1:4">
      <c r="A4367" s="68">
        <v>37621</v>
      </c>
      <c r="B4367" s="6">
        <v>3.5706018518518498E-2</v>
      </c>
      <c r="C4367" s="5">
        <v>152</v>
      </c>
    </row>
    <row r="4368" spans="1:4">
      <c r="A4368" s="68">
        <v>37621</v>
      </c>
      <c r="B4368" s="6">
        <v>3.5763888888888901E-2</v>
      </c>
      <c r="C4368" s="5">
        <v>153</v>
      </c>
    </row>
    <row r="4369" spans="1:3">
      <c r="A4369" s="68">
        <v>37621</v>
      </c>
      <c r="B4369" s="6">
        <v>3.5821759259259303E-2</v>
      </c>
      <c r="C4369" s="5">
        <v>154</v>
      </c>
    </row>
    <row r="4370" spans="1:3">
      <c r="A4370" s="68">
        <v>37621</v>
      </c>
      <c r="B4370" s="6">
        <v>3.5879629629629602E-2</v>
      </c>
      <c r="C4370" s="5">
        <v>155</v>
      </c>
    </row>
    <row r="4371" spans="1:3">
      <c r="A4371" s="68">
        <v>37621</v>
      </c>
      <c r="B4371" s="6">
        <v>3.5937499999999997E-2</v>
      </c>
      <c r="C4371" s="5">
        <v>156</v>
      </c>
    </row>
    <row r="4372" spans="1:3">
      <c r="A4372" s="68">
        <v>37621</v>
      </c>
      <c r="B4372" s="6">
        <v>3.59953703703704E-2</v>
      </c>
      <c r="C4372" s="5">
        <v>157</v>
      </c>
    </row>
    <row r="4373" spans="1:3">
      <c r="A4373" s="68">
        <v>37621</v>
      </c>
      <c r="B4373" s="6">
        <v>3.6053240740740698E-2</v>
      </c>
      <c r="C4373" s="5">
        <v>158</v>
      </c>
    </row>
    <row r="4374" spans="1:3">
      <c r="A4374" s="68">
        <v>37621</v>
      </c>
      <c r="B4374" s="6">
        <v>3.6111111111111101E-2</v>
      </c>
      <c r="C4374" s="5">
        <v>159</v>
      </c>
    </row>
    <row r="4375" spans="1:3">
      <c r="A4375" s="68">
        <v>37621</v>
      </c>
      <c r="B4375" s="6">
        <v>3.6168981481481503E-2</v>
      </c>
      <c r="C4375" s="5">
        <v>158</v>
      </c>
    </row>
    <row r="4376" spans="1:3">
      <c r="A4376" s="68">
        <v>37621</v>
      </c>
      <c r="B4376" s="6">
        <v>3.6226851851851899E-2</v>
      </c>
      <c r="C4376" s="5">
        <v>158</v>
      </c>
    </row>
    <row r="4377" spans="1:3">
      <c r="A4377" s="68">
        <v>37621</v>
      </c>
      <c r="B4377" s="6">
        <v>3.6284722222222197E-2</v>
      </c>
      <c r="C4377" s="5">
        <v>156</v>
      </c>
    </row>
    <row r="4378" spans="1:3">
      <c r="A4378" s="68">
        <v>37621</v>
      </c>
      <c r="B4378" s="6">
        <v>3.63425925925926E-2</v>
      </c>
      <c r="C4378" s="5">
        <v>156</v>
      </c>
    </row>
    <row r="4379" spans="1:3">
      <c r="A4379" s="68">
        <v>37621</v>
      </c>
      <c r="B4379" s="6">
        <v>3.6400462962963002E-2</v>
      </c>
      <c r="C4379" s="5">
        <v>157</v>
      </c>
    </row>
    <row r="4380" spans="1:3">
      <c r="A4380" s="68">
        <v>37621</v>
      </c>
      <c r="B4380" s="6">
        <v>3.6458333333333301E-2</v>
      </c>
      <c r="C4380" s="5">
        <v>158</v>
      </c>
    </row>
    <row r="4381" spans="1:3">
      <c r="A4381" s="68">
        <v>37621</v>
      </c>
      <c r="B4381" s="6">
        <v>3.6516203703703697E-2</v>
      </c>
      <c r="C4381" s="5">
        <v>159</v>
      </c>
    </row>
    <row r="4382" spans="1:3">
      <c r="A4382" s="68">
        <v>37621</v>
      </c>
      <c r="B4382" s="6">
        <v>3.6574074074074099E-2</v>
      </c>
      <c r="C4382" s="5">
        <v>160</v>
      </c>
    </row>
    <row r="4383" spans="1:3">
      <c r="A4383" s="68">
        <v>37621</v>
      </c>
      <c r="B4383" s="6">
        <v>3.6631944444444398E-2</v>
      </c>
      <c r="C4383" s="5">
        <v>156</v>
      </c>
    </row>
    <row r="4384" spans="1:3">
      <c r="A4384" s="68">
        <v>37621</v>
      </c>
      <c r="B4384" s="6">
        <v>3.66898148148148E-2</v>
      </c>
      <c r="C4384" s="5">
        <v>157</v>
      </c>
    </row>
    <row r="4385" spans="1:3">
      <c r="A4385" s="68">
        <v>37621</v>
      </c>
      <c r="B4385" s="6">
        <v>3.6747685185185203E-2</v>
      </c>
      <c r="C4385" s="5">
        <v>156</v>
      </c>
    </row>
    <row r="4386" spans="1:3">
      <c r="A4386" s="68">
        <v>37621</v>
      </c>
      <c r="B4386" s="6">
        <v>3.6805555555555501E-2</v>
      </c>
      <c r="C4386" s="5">
        <v>157</v>
      </c>
    </row>
    <row r="4387" spans="1:3">
      <c r="A4387" s="68">
        <v>37621</v>
      </c>
      <c r="B4387" s="6">
        <v>3.6863425925925897E-2</v>
      </c>
      <c r="C4387" s="5">
        <v>158</v>
      </c>
    </row>
    <row r="4388" spans="1:3">
      <c r="A4388" s="68">
        <v>37621</v>
      </c>
      <c r="B4388" s="6">
        <v>3.6921296296296299E-2</v>
      </c>
      <c r="C4388" s="5">
        <v>159</v>
      </c>
    </row>
    <row r="4389" spans="1:3">
      <c r="A4389" s="68">
        <v>37621</v>
      </c>
      <c r="B4389" s="6">
        <v>3.6979166666666702E-2</v>
      </c>
      <c r="C4389" s="5">
        <v>158</v>
      </c>
    </row>
    <row r="4390" spans="1:3">
      <c r="A4390" s="68">
        <v>37621</v>
      </c>
      <c r="B4390" s="6">
        <v>3.7037037037037E-2</v>
      </c>
      <c r="C4390" s="5">
        <v>157</v>
      </c>
    </row>
    <row r="4391" spans="1:3">
      <c r="A4391" s="68">
        <v>37621</v>
      </c>
      <c r="B4391" s="6">
        <v>3.7094907407407403E-2</v>
      </c>
      <c r="C4391" s="5">
        <v>158</v>
      </c>
    </row>
    <row r="4392" spans="1:3">
      <c r="A4392" s="68">
        <v>37621</v>
      </c>
      <c r="B4392" s="6">
        <v>3.7152777777777798E-2</v>
      </c>
      <c r="C4392" s="5">
        <v>157</v>
      </c>
    </row>
    <row r="4393" spans="1:3">
      <c r="A4393" s="68">
        <v>37621</v>
      </c>
      <c r="B4393" s="6">
        <v>3.7210648148148097E-2</v>
      </c>
      <c r="C4393" s="5">
        <v>157</v>
      </c>
    </row>
    <row r="4394" spans="1:3">
      <c r="A4394" s="68">
        <v>37621</v>
      </c>
      <c r="B4394" s="6">
        <v>3.7268518518518499E-2</v>
      </c>
      <c r="C4394" s="5">
        <v>157</v>
      </c>
    </row>
    <row r="4395" spans="1:3">
      <c r="A4395" s="68">
        <v>37621</v>
      </c>
      <c r="B4395" s="6">
        <v>3.7326388888888902E-2</v>
      </c>
      <c r="C4395" s="5">
        <v>158</v>
      </c>
    </row>
    <row r="4396" spans="1:3">
      <c r="A4396" s="68">
        <v>37621</v>
      </c>
      <c r="B4396" s="6">
        <v>3.7384259259259298E-2</v>
      </c>
      <c r="C4396" s="5">
        <v>157</v>
      </c>
    </row>
    <row r="4397" spans="1:3">
      <c r="A4397" s="68">
        <v>37621</v>
      </c>
      <c r="B4397" s="6">
        <v>3.7442129629629603E-2</v>
      </c>
      <c r="C4397" s="5">
        <v>157</v>
      </c>
    </row>
    <row r="4398" spans="1:3">
      <c r="A4398" s="68">
        <v>37621</v>
      </c>
      <c r="B4398" s="6">
        <v>3.7499999999999999E-2</v>
      </c>
      <c r="C4398" s="5">
        <v>158</v>
      </c>
    </row>
    <row r="4399" spans="1:3">
      <c r="A4399" s="68">
        <v>37621</v>
      </c>
      <c r="B4399" s="6">
        <v>3.7557870370370401E-2</v>
      </c>
      <c r="C4399" s="5">
        <v>158</v>
      </c>
    </row>
    <row r="4400" spans="1:3">
      <c r="A4400" s="68">
        <v>37621</v>
      </c>
      <c r="B4400" s="6">
        <v>3.76157407407407E-2</v>
      </c>
      <c r="C4400" s="5">
        <v>159</v>
      </c>
    </row>
    <row r="4401" spans="1:7">
      <c r="A4401" s="68">
        <v>37621</v>
      </c>
      <c r="B4401" s="6">
        <v>3.7673611111111102E-2</v>
      </c>
      <c r="C4401" s="5">
        <v>160</v>
      </c>
    </row>
    <row r="4402" spans="1:7">
      <c r="A4402" s="68">
        <v>37621</v>
      </c>
      <c r="B4402" s="6">
        <v>3.7731481481481498E-2</v>
      </c>
      <c r="C4402" s="5">
        <v>159</v>
      </c>
    </row>
    <row r="4403" spans="1:7">
      <c r="A4403" s="68">
        <v>37621</v>
      </c>
      <c r="B4403" s="6">
        <v>3.77893518518519E-2</v>
      </c>
      <c r="C4403" s="5">
        <v>159</v>
      </c>
      <c r="D4403" s="4" t="s">
        <v>206</v>
      </c>
      <c r="G4403" s="4">
        <f>AVERAGE(C4356:C4403)</f>
        <v>152.625</v>
      </c>
    </row>
    <row r="4404" spans="1:7">
      <c r="A4404" s="68">
        <v>37621</v>
      </c>
      <c r="B4404" s="6">
        <v>3.7847222222222199E-2</v>
      </c>
      <c r="C4404" s="5">
        <v>158</v>
      </c>
    </row>
    <row r="4405" spans="1:7">
      <c r="A4405" s="68">
        <v>37621</v>
      </c>
      <c r="B4405" s="6">
        <v>3.7905092592592601E-2</v>
      </c>
      <c r="C4405" s="5">
        <v>157</v>
      </c>
    </row>
    <row r="4406" spans="1:7">
      <c r="A4406" s="68">
        <v>37621</v>
      </c>
      <c r="B4406" s="6">
        <v>3.7962962962962997E-2</v>
      </c>
      <c r="C4406" s="5">
        <v>156</v>
      </c>
    </row>
    <row r="4407" spans="1:7">
      <c r="A4407" s="68">
        <v>37621</v>
      </c>
      <c r="B4407" s="6">
        <v>3.8020833333333302E-2</v>
      </c>
      <c r="C4407" s="5">
        <v>148</v>
      </c>
    </row>
    <row r="4408" spans="1:7">
      <c r="A4408" s="68">
        <v>37621</v>
      </c>
      <c r="B4408" s="6">
        <v>3.8078703703703698E-2</v>
      </c>
      <c r="C4408" s="5">
        <v>143</v>
      </c>
    </row>
    <row r="4409" spans="1:7">
      <c r="A4409" s="68">
        <v>37621</v>
      </c>
      <c r="B4409" s="6">
        <v>3.81365740740741E-2</v>
      </c>
      <c r="C4409" s="5">
        <v>139</v>
      </c>
    </row>
    <row r="4410" spans="1:7">
      <c r="A4410" s="68">
        <v>37621</v>
      </c>
      <c r="B4410" s="6">
        <v>3.8194444444444399E-2</v>
      </c>
      <c r="C4410" s="5">
        <v>131</v>
      </c>
    </row>
    <row r="4411" spans="1:7">
      <c r="A4411" s="68">
        <v>37621</v>
      </c>
      <c r="B4411" s="6">
        <v>3.8252314814814802E-2</v>
      </c>
      <c r="C4411" s="5">
        <v>126</v>
      </c>
    </row>
    <row r="4412" spans="1:7">
      <c r="A4412" s="68">
        <v>37621</v>
      </c>
      <c r="B4412" s="6">
        <v>3.8310185185185197E-2</v>
      </c>
      <c r="C4412" s="5">
        <v>117</v>
      </c>
    </row>
    <row r="4413" spans="1:7">
      <c r="A4413" s="68">
        <v>37621</v>
      </c>
      <c r="B4413" s="6">
        <v>3.83680555555556E-2</v>
      </c>
      <c r="C4413" s="5">
        <v>121</v>
      </c>
    </row>
    <row r="4414" spans="1:7">
      <c r="A4414" s="68">
        <v>37621</v>
      </c>
      <c r="B4414" s="6">
        <v>3.8425925925925898E-2</v>
      </c>
      <c r="C4414" s="5">
        <v>120</v>
      </c>
    </row>
    <row r="4415" spans="1:7">
      <c r="A4415" s="68">
        <v>37621</v>
      </c>
      <c r="B4415" s="6">
        <v>3.8483796296296301E-2</v>
      </c>
      <c r="C4415" s="5">
        <v>115</v>
      </c>
      <c r="D4415" s="4" t="s">
        <v>208</v>
      </c>
    </row>
    <row r="4416" spans="1:7">
      <c r="A4416" s="68">
        <v>37621</v>
      </c>
      <c r="B4416" s="6">
        <v>3.8541666666666703E-2</v>
      </c>
      <c r="C4416" s="5">
        <v>110</v>
      </c>
    </row>
    <row r="4417" spans="1:3">
      <c r="A4417" s="68">
        <v>37621</v>
      </c>
      <c r="B4417" s="6">
        <v>3.8599537037037002E-2</v>
      </c>
      <c r="C4417" s="5">
        <v>122</v>
      </c>
    </row>
    <row r="4418" spans="1:3">
      <c r="A4418" s="68">
        <v>37621</v>
      </c>
      <c r="B4418" s="6">
        <v>3.8657407407407397E-2</v>
      </c>
      <c r="C4418" s="5">
        <v>131</v>
      </c>
    </row>
    <row r="4419" spans="1:3">
      <c r="A4419" s="68">
        <v>37621</v>
      </c>
      <c r="B4419" s="6">
        <v>3.87152777777778E-2</v>
      </c>
      <c r="C4419" s="5">
        <v>135</v>
      </c>
    </row>
    <row r="4420" spans="1:3">
      <c r="A4420" s="68">
        <v>37621</v>
      </c>
      <c r="B4420" s="6">
        <v>3.8773148148148098E-2</v>
      </c>
      <c r="C4420" s="5">
        <v>138</v>
      </c>
    </row>
    <row r="4421" spans="1:3">
      <c r="A4421" s="68">
        <v>37621</v>
      </c>
      <c r="B4421" s="6">
        <v>3.8831018518518501E-2</v>
      </c>
      <c r="C4421" s="5">
        <v>141</v>
      </c>
    </row>
    <row r="4422" spans="1:3">
      <c r="A4422" s="68">
        <v>37621</v>
      </c>
      <c r="B4422" s="6">
        <v>3.8888888888888903E-2</v>
      </c>
      <c r="C4422" s="5">
        <v>143</v>
      </c>
    </row>
    <row r="4423" spans="1:3">
      <c r="A4423" s="68">
        <v>37621</v>
      </c>
      <c r="B4423" s="6">
        <v>3.8946759259259299E-2</v>
      </c>
      <c r="C4423" s="5">
        <v>145</v>
      </c>
    </row>
    <row r="4424" spans="1:3">
      <c r="A4424" s="68">
        <v>37621</v>
      </c>
      <c r="B4424" s="6">
        <v>3.9004629629629597E-2</v>
      </c>
      <c r="C4424" s="5">
        <v>146</v>
      </c>
    </row>
    <row r="4425" spans="1:3">
      <c r="A4425" s="68">
        <v>37621</v>
      </c>
      <c r="B4425" s="6">
        <v>3.90625E-2</v>
      </c>
      <c r="C4425" s="5">
        <v>150</v>
      </c>
    </row>
    <row r="4426" spans="1:3">
      <c r="A4426" s="68">
        <v>37621</v>
      </c>
      <c r="B4426" s="6">
        <v>3.9120370370370403E-2</v>
      </c>
      <c r="C4426" s="5">
        <v>152</v>
      </c>
    </row>
    <row r="4427" spans="1:3">
      <c r="A4427" s="68">
        <v>37621</v>
      </c>
      <c r="B4427" s="6">
        <v>3.9178240740740701E-2</v>
      </c>
      <c r="C4427" s="5">
        <v>155</v>
      </c>
    </row>
    <row r="4428" spans="1:3">
      <c r="A4428" s="68">
        <v>37621</v>
      </c>
      <c r="B4428" s="6">
        <v>3.9236111111111097E-2</v>
      </c>
      <c r="C4428" s="5">
        <v>157</v>
      </c>
    </row>
    <row r="4429" spans="1:3">
      <c r="A4429" s="68">
        <v>37621</v>
      </c>
      <c r="B4429" s="6">
        <v>3.9293981481481499E-2</v>
      </c>
      <c r="C4429" s="5">
        <v>159</v>
      </c>
    </row>
    <row r="4430" spans="1:3">
      <c r="A4430" s="68">
        <v>37621</v>
      </c>
      <c r="B4430" s="6">
        <v>3.9351851851851798E-2</v>
      </c>
      <c r="C4430" s="5">
        <v>160</v>
      </c>
    </row>
    <row r="4431" spans="1:3">
      <c r="A4431" s="68">
        <v>37621</v>
      </c>
      <c r="B4431" s="6">
        <v>3.94097222222222E-2</v>
      </c>
      <c r="C4431" s="5">
        <v>160</v>
      </c>
    </row>
    <row r="4432" spans="1:3">
      <c r="A4432" s="68">
        <v>37621</v>
      </c>
      <c r="B4432" s="6">
        <v>3.9467592592592603E-2</v>
      </c>
      <c r="C4432" s="5">
        <v>159</v>
      </c>
    </row>
    <row r="4433" spans="1:3">
      <c r="A4433" s="68">
        <v>37621</v>
      </c>
      <c r="B4433" s="6">
        <v>3.9525462962962998E-2</v>
      </c>
      <c r="C4433" s="5">
        <v>160</v>
      </c>
    </row>
    <row r="4434" spans="1:3">
      <c r="A4434" s="68">
        <v>37621</v>
      </c>
      <c r="B4434" s="6">
        <v>3.9583333333333297E-2</v>
      </c>
      <c r="C4434" s="5">
        <v>160</v>
      </c>
    </row>
    <row r="4435" spans="1:3">
      <c r="A4435" s="68">
        <v>37621</v>
      </c>
      <c r="B4435" s="6">
        <v>3.9641203703703699E-2</v>
      </c>
      <c r="C4435" s="5">
        <v>161</v>
      </c>
    </row>
    <row r="4436" spans="1:3">
      <c r="A4436" s="68">
        <v>37621</v>
      </c>
      <c r="B4436" s="6">
        <v>3.9699074074074102E-2</v>
      </c>
      <c r="C4436" s="5">
        <v>163</v>
      </c>
    </row>
    <row r="4437" spans="1:3">
      <c r="A4437" s="68">
        <v>37621</v>
      </c>
      <c r="B4437" s="6">
        <v>3.97569444444444E-2</v>
      </c>
      <c r="C4437" s="5">
        <v>163</v>
      </c>
    </row>
    <row r="4438" spans="1:3">
      <c r="A4438" s="68">
        <v>37621</v>
      </c>
      <c r="B4438" s="6">
        <v>3.9814814814814803E-2</v>
      </c>
      <c r="C4438" s="5">
        <v>163</v>
      </c>
    </row>
    <row r="4439" spans="1:3">
      <c r="A4439" s="68">
        <v>37621</v>
      </c>
      <c r="B4439" s="6">
        <v>3.9872685185185198E-2</v>
      </c>
      <c r="C4439" s="5">
        <v>163</v>
      </c>
    </row>
    <row r="4440" spans="1:3">
      <c r="A4440" s="68">
        <v>37621</v>
      </c>
      <c r="B4440" s="6">
        <v>3.9930555555555601E-2</v>
      </c>
      <c r="C4440" s="5">
        <v>162</v>
      </c>
    </row>
    <row r="4441" spans="1:3">
      <c r="A4441" s="68">
        <v>37621</v>
      </c>
      <c r="B4441" s="6">
        <v>3.99884259259259E-2</v>
      </c>
      <c r="C4441" s="5">
        <v>162</v>
      </c>
    </row>
    <row r="4442" spans="1:3">
      <c r="A4442" s="68">
        <v>37621</v>
      </c>
      <c r="B4442" s="6">
        <v>4.0046296296296302E-2</v>
      </c>
      <c r="C4442" s="5">
        <v>162</v>
      </c>
    </row>
    <row r="4443" spans="1:3">
      <c r="A4443" s="68">
        <v>37621</v>
      </c>
      <c r="B4443" s="6">
        <v>4.0104166666666698E-2</v>
      </c>
      <c r="C4443" s="5">
        <v>164</v>
      </c>
    </row>
    <row r="4444" spans="1:3">
      <c r="A4444" s="68">
        <v>37621</v>
      </c>
      <c r="B4444" s="6">
        <v>4.0162037037037003E-2</v>
      </c>
      <c r="C4444" s="5">
        <v>165</v>
      </c>
    </row>
    <row r="4445" spans="1:3">
      <c r="A4445" s="68">
        <v>37621</v>
      </c>
      <c r="B4445" s="6">
        <v>4.0219907407407399E-2</v>
      </c>
      <c r="C4445" s="5">
        <v>164</v>
      </c>
    </row>
    <row r="4446" spans="1:3">
      <c r="A4446" s="68">
        <v>37621</v>
      </c>
      <c r="B4446" s="6">
        <v>4.0277777777777801E-2</v>
      </c>
      <c r="C4446" s="5">
        <v>164</v>
      </c>
    </row>
    <row r="4447" spans="1:3">
      <c r="A4447" s="68">
        <v>37621</v>
      </c>
      <c r="B4447" s="6">
        <v>4.03356481481481E-2</v>
      </c>
      <c r="C4447" s="5">
        <v>163</v>
      </c>
    </row>
    <row r="4448" spans="1:3">
      <c r="A4448" s="68">
        <v>37621</v>
      </c>
      <c r="B4448" s="6">
        <v>4.0393518518518502E-2</v>
      </c>
      <c r="C4448" s="5">
        <v>163</v>
      </c>
    </row>
    <row r="4449" spans="1:7">
      <c r="A4449" s="68">
        <v>37621</v>
      </c>
      <c r="B4449" s="6">
        <v>4.0451388888888898E-2</v>
      </c>
      <c r="C4449" s="5">
        <v>164</v>
      </c>
    </row>
    <row r="4450" spans="1:7">
      <c r="A4450" s="68">
        <v>37621</v>
      </c>
      <c r="B4450" s="6">
        <v>4.05092592592593E-2</v>
      </c>
      <c r="C4450" s="5">
        <v>163</v>
      </c>
    </row>
    <row r="4451" spans="1:7">
      <c r="A4451" s="68">
        <v>37621</v>
      </c>
      <c r="B4451" s="6">
        <v>4.0567129629629599E-2</v>
      </c>
      <c r="C4451" s="5">
        <v>164</v>
      </c>
    </row>
    <row r="4452" spans="1:7">
      <c r="A4452" s="68">
        <v>37621</v>
      </c>
      <c r="B4452" s="6">
        <v>4.0625000000000001E-2</v>
      </c>
      <c r="C4452" s="5">
        <v>165</v>
      </c>
    </row>
    <row r="4453" spans="1:7">
      <c r="A4453" s="68">
        <v>37621</v>
      </c>
      <c r="B4453" s="6">
        <v>4.0682870370370397E-2</v>
      </c>
      <c r="C4453" s="5">
        <v>166</v>
      </c>
    </row>
    <row r="4454" spans="1:7">
      <c r="A4454" s="68">
        <v>37621</v>
      </c>
      <c r="B4454" s="6">
        <v>4.0740740740740702E-2</v>
      </c>
      <c r="C4454" s="5">
        <v>165</v>
      </c>
    </row>
    <row r="4455" spans="1:7">
      <c r="A4455" s="68">
        <v>37621</v>
      </c>
      <c r="B4455" s="6">
        <v>4.0798611111111098E-2</v>
      </c>
      <c r="C4455" s="5">
        <v>165</v>
      </c>
    </row>
    <row r="4456" spans="1:7">
      <c r="A4456" s="68">
        <v>37621</v>
      </c>
      <c r="B4456" s="6">
        <v>4.0856481481481501E-2</v>
      </c>
      <c r="C4456" s="5">
        <v>165</v>
      </c>
    </row>
    <row r="4457" spans="1:7">
      <c r="A4457" s="68">
        <v>37621</v>
      </c>
      <c r="B4457" s="6">
        <v>4.0914351851851799E-2</v>
      </c>
      <c r="C4457" s="5">
        <v>166</v>
      </c>
    </row>
    <row r="4458" spans="1:7">
      <c r="A4458" s="68">
        <v>37621</v>
      </c>
      <c r="B4458" s="6">
        <v>4.0972222222222202E-2</v>
      </c>
      <c r="C4458" s="5">
        <v>164</v>
      </c>
    </row>
    <row r="4459" spans="1:7">
      <c r="A4459" s="68">
        <v>37621</v>
      </c>
      <c r="B4459" s="6">
        <v>4.1030092592592597E-2</v>
      </c>
      <c r="C4459" s="5">
        <v>164</v>
      </c>
    </row>
    <row r="4460" spans="1:7">
      <c r="A4460" s="68">
        <v>37621</v>
      </c>
      <c r="B4460" s="6">
        <v>4.1087962962963E-2</v>
      </c>
      <c r="C4460" s="5">
        <v>164</v>
      </c>
    </row>
    <row r="4461" spans="1:7">
      <c r="A4461" s="68">
        <v>37621</v>
      </c>
      <c r="B4461" s="6">
        <v>4.1145833333333298E-2</v>
      </c>
      <c r="C4461" s="5">
        <v>165</v>
      </c>
    </row>
    <row r="4462" spans="1:7">
      <c r="A4462" s="68">
        <v>37621</v>
      </c>
      <c r="B4462" s="6">
        <v>4.1203703703703701E-2</v>
      </c>
      <c r="C4462" s="5">
        <v>166</v>
      </c>
      <c r="D4462" s="4" t="s">
        <v>209</v>
      </c>
      <c r="G4462" s="4">
        <f>AVERAGE(C4416:C4462)</f>
        <v>156.82978723404256</v>
      </c>
    </row>
    <row r="4463" spans="1:7">
      <c r="A4463" s="68">
        <v>37621</v>
      </c>
      <c r="B4463" s="6">
        <v>4.1261574074074103E-2</v>
      </c>
      <c r="C4463" s="5">
        <v>165</v>
      </c>
    </row>
    <row r="4464" spans="1:7">
      <c r="A4464" s="68">
        <v>37621</v>
      </c>
      <c r="B4464" s="6">
        <v>4.1319444444444402E-2</v>
      </c>
      <c r="C4464" s="5">
        <v>159</v>
      </c>
    </row>
    <row r="4465" spans="1:4">
      <c r="A4465" s="68">
        <v>37621</v>
      </c>
      <c r="B4465" s="6">
        <v>4.1377314814814797E-2</v>
      </c>
      <c r="C4465" s="5">
        <v>150</v>
      </c>
    </row>
    <row r="4466" spans="1:4">
      <c r="A4466" s="68">
        <v>37621</v>
      </c>
      <c r="B4466" s="6">
        <v>4.14351851851852E-2</v>
      </c>
      <c r="C4466" s="5">
        <v>144</v>
      </c>
    </row>
    <row r="4467" spans="1:4">
      <c r="A4467" s="68">
        <v>37621</v>
      </c>
      <c r="B4467" s="6">
        <v>4.1493055555555602E-2</v>
      </c>
      <c r="C4467" s="5">
        <v>139</v>
      </c>
    </row>
    <row r="4468" spans="1:4">
      <c r="A4468" s="68">
        <v>37621</v>
      </c>
      <c r="B4468" s="6">
        <v>4.1550925925925901E-2</v>
      </c>
      <c r="C4468" s="5">
        <v>137</v>
      </c>
    </row>
    <row r="4469" spans="1:4">
      <c r="A4469" s="68">
        <v>37621</v>
      </c>
      <c r="B4469" s="6">
        <v>4.1608796296296303E-2</v>
      </c>
      <c r="C4469" s="5">
        <v>136</v>
      </c>
    </row>
    <row r="4470" spans="1:4">
      <c r="A4470" s="68">
        <v>37621</v>
      </c>
      <c r="B4470" s="6">
        <v>4.1666666666666699E-2</v>
      </c>
      <c r="C4470" s="5">
        <v>134</v>
      </c>
    </row>
    <row r="4471" spans="1:4">
      <c r="A4471" s="68">
        <v>37621</v>
      </c>
      <c r="B4471" s="6">
        <v>4.1724537037037102E-2</v>
      </c>
      <c r="C4471" s="5">
        <v>126</v>
      </c>
    </row>
    <row r="4472" spans="1:4">
      <c r="A4472" s="68">
        <v>37621</v>
      </c>
      <c r="B4472" s="6">
        <v>4.1782407407407497E-2</v>
      </c>
      <c r="C4472" s="5">
        <v>121</v>
      </c>
    </row>
    <row r="4473" spans="1:4">
      <c r="A4473" s="68">
        <v>37621</v>
      </c>
      <c r="B4473" s="6">
        <v>4.18402777777779E-2</v>
      </c>
      <c r="C4473" s="5">
        <v>119</v>
      </c>
    </row>
    <row r="4474" spans="1:4">
      <c r="A4474" s="68">
        <v>37621</v>
      </c>
      <c r="B4474" s="6">
        <v>4.1898148148148302E-2</v>
      </c>
      <c r="C4474" s="5">
        <v>120</v>
      </c>
      <c r="D4474" s="4" t="s">
        <v>210</v>
      </c>
    </row>
    <row r="4475" spans="1:4">
      <c r="A4475" s="68">
        <v>37710</v>
      </c>
      <c r="B4475" s="6">
        <v>0</v>
      </c>
      <c r="C4475" s="5">
        <v>78</v>
      </c>
    </row>
    <row r="4476" spans="1:4">
      <c r="A4476" s="68">
        <v>37710</v>
      </c>
      <c r="B4476" s="6">
        <v>6.9444444444444447E-4</v>
      </c>
      <c r="C4476" s="5">
        <v>172</v>
      </c>
    </row>
    <row r="4477" spans="1:4">
      <c r="A4477" s="68">
        <v>37710</v>
      </c>
      <c r="B4477" s="6">
        <v>1.38888888888889E-3</v>
      </c>
      <c r="C4477" s="5">
        <v>173</v>
      </c>
    </row>
    <row r="4478" spans="1:4">
      <c r="A4478" s="68">
        <v>37710</v>
      </c>
      <c r="B4478" s="6">
        <v>2.0833333333333298E-3</v>
      </c>
      <c r="C4478" s="5">
        <v>165</v>
      </c>
    </row>
    <row r="4479" spans="1:4">
      <c r="A4479" s="68">
        <v>37710</v>
      </c>
      <c r="B4479" s="6">
        <v>2.7777777777777801E-3</v>
      </c>
      <c r="C4479" s="5">
        <v>170</v>
      </c>
    </row>
    <row r="4480" spans="1:4">
      <c r="A4480" s="68">
        <v>37710</v>
      </c>
      <c r="B4480" s="6">
        <v>3.4722222222222199E-3</v>
      </c>
      <c r="C4480" s="5">
        <v>169</v>
      </c>
    </row>
    <row r="4481" spans="1:3">
      <c r="A4481" s="68">
        <v>37710</v>
      </c>
      <c r="B4481" s="6">
        <v>4.1666666666666701E-3</v>
      </c>
      <c r="C4481" s="5">
        <v>169</v>
      </c>
    </row>
    <row r="4482" spans="1:3">
      <c r="A4482" s="68">
        <v>37710</v>
      </c>
      <c r="B4482" s="6">
        <v>4.8611111111111103E-3</v>
      </c>
      <c r="C4482" s="5">
        <v>172</v>
      </c>
    </row>
    <row r="4483" spans="1:3">
      <c r="A4483" s="68">
        <v>37710</v>
      </c>
      <c r="B4483" s="6">
        <v>5.5555555555555601E-3</v>
      </c>
      <c r="C4483" s="5">
        <v>169</v>
      </c>
    </row>
    <row r="4484" spans="1:3">
      <c r="A4484" s="68">
        <v>37710</v>
      </c>
      <c r="B4484" s="6">
        <v>6.2500000000000003E-3</v>
      </c>
      <c r="C4484" s="5">
        <v>173</v>
      </c>
    </row>
    <row r="4485" spans="1:3">
      <c r="A4485" s="68">
        <v>37710</v>
      </c>
      <c r="B4485" s="6">
        <v>6.9444444444444397E-3</v>
      </c>
      <c r="C4485" s="5">
        <v>174</v>
      </c>
    </row>
    <row r="4486" spans="1:3">
      <c r="A4486" s="68">
        <v>37710</v>
      </c>
      <c r="B4486" s="6">
        <v>7.6388888888888904E-3</v>
      </c>
      <c r="C4486" s="5">
        <v>170</v>
      </c>
    </row>
    <row r="4487" spans="1:3">
      <c r="A4487" s="68">
        <v>37710</v>
      </c>
      <c r="B4487" s="6">
        <v>8.3333333333333297E-3</v>
      </c>
      <c r="C4487" s="5">
        <v>171</v>
      </c>
    </row>
    <row r="4488" spans="1:3">
      <c r="A4488" s="68">
        <v>37710</v>
      </c>
      <c r="B4488" s="6">
        <v>9.0277777777777804E-3</v>
      </c>
      <c r="C4488" s="5">
        <v>169</v>
      </c>
    </row>
    <row r="4489" spans="1:3">
      <c r="A4489" s="68">
        <v>37710</v>
      </c>
      <c r="B4489" s="6">
        <v>9.7222222222222206E-3</v>
      </c>
      <c r="C4489" s="5">
        <v>170</v>
      </c>
    </row>
    <row r="4490" spans="1:3">
      <c r="A4490" s="68">
        <v>37710</v>
      </c>
      <c r="B4490" s="6">
        <v>1.0416666666666701E-2</v>
      </c>
      <c r="C4490" s="5">
        <v>174</v>
      </c>
    </row>
    <row r="4491" spans="1:3">
      <c r="A4491" s="68">
        <v>37710</v>
      </c>
      <c r="B4491" s="6">
        <v>1.1111111111111099E-2</v>
      </c>
      <c r="C4491" s="5">
        <v>171</v>
      </c>
    </row>
    <row r="4492" spans="1:3">
      <c r="A4492" s="68">
        <v>37710</v>
      </c>
      <c r="B4492" s="6">
        <v>1.18055555555556E-2</v>
      </c>
      <c r="C4492" s="5">
        <v>178</v>
      </c>
    </row>
    <row r="4493" spans="1:3">
      <c r="A4493" s="68">
        <v>37710</v>
      </c>
      <c r="B4493" s="6">
        <v>1.2500000000000001E-2</v>
      </c>
      <c r="C4493" s="5">
        <v>171</v>
      </c>
    </row>
    <row r="4494" spans="1:3">
      <c r="A4494" s="68">
        <v>37710</v>
      </c>
      <c r="B4494" s="6">
        <v>1.3194444444444399E-2</v>
      </c>
      <c r="C4494" s="5">
        <v>173</v>
      </c>
    </row>
    <row r="4495" spans="1:3">
      <c r="A4495" s="68">
        <v>37710</v>
      </c>
      <c r="B4495" s="6">
        <v>1.38888888888889E-2</v>
      </c>
      <c r="C4495" s="5">
        <v>175</v>
      </c>
    </row>
    <row r="4496" spans="1:3">
      <c r="A4496" s="68">
        <v>37710</v>
      </c>
      <c r="B4496" s="6">
        <v>1.4583333333333301E-2</v>
      </c>
      <c r="C4496" s="5">
        <v>172</v>
      </c>
    </row>
    <row r="4497" spans="1:3">
      <c r="A4497" s="68">
        <v>37710</v>
      </c>
      <c r="B4497" s="6">
        <v>1.52777777777778E-2</v>
      </c>
      <c r="C4497" s="5">
        <v>173</v>
      </c>
    </row>
    <row r="4498" spans="1:3">
      <c r="A4498" s="68">
        <v>37710</v>
      </c>
      <c r="B4498" s="6">
        <v>1.59722222222222E-2</v>
      </c>
      <c r="C4498" s="5">
        <v>173</v>
      </c>
    </row>
    <row r="4499" spans="1:3">
      <c r="A4499" s="68">
        <v>37710</v>
      </c>
      <c r="B4499" s="6">
        <v>1.6666666666666701E-2</v>
      </c>
      <c r="C4499" s="5">
        <v>176</v>
      </c>
    </row>
    <row r="4500" spans="1:3">
      <c r="A4500" s="68">
        <v>37710</v>
      </c>
      <c r="B4500" s="6">
        <v>1.7361111111111101E-2</v>
      </c>
      <c r="C4500" s="5">
        <v>175</v>
      </c>
    </row>
    <row r="4501" spans="1:3">
      <c r="A4501" s="68">
        <v>37710</v>
      </c>
      <c r="B4501" s="6">
        <v>1.8055555555555599E-2</v>
      </c>
      <c r="C4501" s="5">
        <v>171</v>
      </c>
    </row>
    <row r="4502" spans="1:3">
      <c r="A4502" s="68">
        <v>37710</v>
      </c>
      <c r="B4502" s="6">
        <v>1.8749999999999999E-2</v>
      </c>
      <c r="C4502" s="5">
        <v>171</v>
      </c>
    </row>
    <row r="4503" spans="1:3">
      <c r="A4503" s="68">
        <v>37710</v>
      </c>
      <c r="B4503" s="6">
        <v>1.94444444444444E-2</v>
      </c>
      <c r="C4503" s="5">
        <v>170</v>
      </c>
    </row>
    <row r="4504" spans="1:3">
      <c r="A4504" s="68">
        <v>37710</v>
      </c>
      <c r="B4504" s="6">
        <v>2.0138888888888901E-2</v>
      </c>
      <c r="C4504" s="5">
        <v>174</v>
      </c>
    </row>
    <row r="4505" spans="1:3">
      <c r="A4505" s="68">
        <v>37710</v>
      </c>
      <c r="B4505" s="6">
        <v>2.0833333333333301E-2</v>
      </c>
      <c r="C4505" s="5">
        <v>173</v>
      </c>
    </row>
    <row r="4506" spans="1:3">
      <c r="A4506" s="68">
        <v>37710</v>
      </c>
      <c r="B4506" s="6">
        <v>2.1527777777777798E-2</v>
      </c>
      <c r="C4506" s="5">
        <v>171</v>
      </c>
    </row>
    <row r="4507" spans="1:3">
      <c r="A4507" s="68">
        <v>37710</v>
      </c>
      <c r="B4507" s="6">
        <v>2.2222222222222199E-2</v>
      </c>
      <c r="C4507" s="5">
        <v>172</v>
      </c>
    </row>
    <row r="4508" spans="1:3">
      <c r="A4508" s="68">
        <v>37710</v>
      </c>
      <c r="B4508" s="6">
        <v>2.29166666666667E-2</v>
      </c>
      <c r="C4508" s="5">
        <v>174</v>
      </c>
    </row>
    <row r="4509" spans="1:3">
      <c r="A4509" s="68">
        <v>37710</v>
      </c>
      <c r="B4509" s="6">
        <v>2.36111111111111E-2</v>
      </c>
      <c r="C4509" s="5">
        <v>174</v>
      </c>
    </row>
    <row r="4510" spans="1:3">
      <c r="A4510" s="68">
        <v>37710</v>
      </c>
      <c r="B4510" s="6">
        <v>2.4305555555555601E-2</v>
      </c>
      <c r="C4510" s="5">
        <v>176</v>
      </c>
    </row>
    <row r="4511" spans="1:3">
      <c r="A4511" s="68">
        <v>37710</v>
      </c>
      <c r="B4511" s="6">
        <v>2.5000000000000001E-2</v>
      </c>
      <c r="C4511" s="5">
        <v>176</v>
      </c>
    </row>
    <row r="4512" spans="1:3">
      <c r="A4512" s="68">
        <v>37710</v>
      </c>
      <c r="B4512" s="6">
        <v>2.5694444444444402E-2</v>
      </c>
      <c r="C4512" s="5">
        <v>174</v>
      </c>
    </row>
    <row r="4513" spans="1:3">
      <c r="A4513" s="68">
        <v>37710</v>
      </c>
      <c r="B4513" s="6">
        <v>2.6388888888888899E-2</v>
      </c>
      <c r="C4513" s="5">
        <v>173</v>
      </c>
    </row>
    <row r="4514" spans="1:3">
      <c r="A4514" s="68">
        <v>37710</v>
      </c>
      <c r="B4514" s="6">
        <v>2.70833333333333E-2</v>
      </c>
      <c r="C4514" s="5">
        <v>173</v>
      </c>
    </row>
    <row r="4515" spans="1:3">
      <c r="A4515" s="68">
        <v>37710</v>
      </c>
      <c r="B4515" s="6">
        <v>2.7777777777777801E-2</v>
      </c>
      <c r="C4515" s="5">
        <v>176</v>
      </c>
    </row>
    <row r="4516" spans="1:3">
      <c r="A4516" s="68">
        <v>37710</v>
      </c>
      <c r="B4516" s="6">
        <v>2.8472222222222201E-2</v>
      </c>
      <c r="C4516" s="5">
        <v>175</v>
      </c>
    </row>
    <row r="4517" spans="1:3">
      <c r="A4517" s="68">
        <v>37710</v>
      </c>
      <c r="B4517" s="6">
        <v>2.9166666666666698E-2</v>
      </c>
      <c r="C4517" s="5">
        <v>174</v>
      </c>
    </row>
    <row r="4518" spans="1:3">
      <c r="A4518" s="68">
        <v>37710</v>
      </c>
      <c r="B4518" s="6">
        <v>2.9861111111111099E-2</v>
      </c>
      <c r="C4518" s="5">
        <v>177</v>
      </c>
    </row>
    <row r="4519" spans="1:3">
      <c r="A4519" s="68">
        <v>37710</v>
      </c>
      <c r="B4519" s="6">
        <v>3.05555555555556E-2</v>
      </c>
      <c r="C4519" s="5">
        <v>176</v>
      </c>
    </row>
    <row r="4520" spans="1:3">
      <c r="A4520" s="68">
        <v>37710</v>
      </c>
      <c r="B4520" s="6">
        <v>3.125E-2</v>
      </c>
      <c r="C4520" s="5">
        <v>176</v>
      </c>
    </row>
    <row r="4521" spans="1:3">
      <c r="A4521" s="68">
        <v>37710</v>
      </c>
      <c r="B4521" s="6">
        <v>3.19444444444444E-2</v>
      </c>
      <c r="C4521" s="5">
        <v>175</v>
      </c>
    </row>
    <row r="4522" spans="1:3">
      <c r="A4522" s="68">
        <v>37710</v>
      </c>
      <c r="B4522" s="6">
        <v>3.2638888888888898E-2</v>
      </c>
      <c r="C4522" s="5">
        <v>174</v>
      </c>
    </row>
    <row r="4523" spans="1:3">
      <c r="A4523" s="68">
        <v>37710</v>
      </c>
      <c r="B4523" s="6">
        <v>3.3333333333333298E-2</v>
      </c>
      <c r="C4523" s="5">
        <v>174</v>
      </c>
    </row>
    <row r="4524" spans="1:3">
      <c r="A4524" s="68">
        <v>37710</v>
      </c>
      <c r="B4524" s="6">
        <v>3.4027777777777803E-2</v>
      </c>
      <c r="C4524" s="5">
        <v>177</v>
      </c>
    </row>
    <row r="4525" spans="1:3">
      <c r="A4525" s="68">
        <v>37710</v>
      </c>
      <c r="B4525" s="6">
        <v>3.4722222222222203E-2</v>
      </c>
      <c r="C4525" s="5">
        <v>175</v>
      </c>
    </row>
    <row r="4526" spans="1:3">
      <c r="A4526" s="68">
        <v>37710</v>
      </c>
      <c r="B4526" s="6">
        <v>3.54166666666667E-2</v>
      </c>
      <c r="C4526" s="5">
        <v>177</v>
      </c>
    </row>
    <row r="4527" spans="1:3">
      <c r="A4527" s="68">
        <v>37710</v>
      </c>
      <c r="B4527" s="6">
        <v>3.6111111111111101E-2</v>
      </c>
      <c r="C4527" s="5">
        <v>176</v>
      </c>
    </row>
    <row r="4528" spans="1:3">
      <c r="A4528" s="68">
        <v>37710</v>
      </c>
      <c r="B4528" s="6">
        <v>3.6805555555555598E-2</v>
      </c>
      <c r="C4528" s="5">
        <v>176</v>
      </c>
    </row>
    <row r="4529" spans="1:3">
      <c r="A4529" s="68">
        <v>37710</v>
      </c>
      <c r="B4529" s="6">
        <v>3.7499999999999999E-2</v>
      </c>
      <c r="C4529" s="5">
        <v>177</v>
      </c>
    </row>
    <row r="4530" spans="1:3">
      <c r="A4530" s="68">
        <v>37710</v>
      </c>
      <c r="B4530" s="6">
        <v>3.8194444444444399E-2</v>
      </c>
      <c r="C4530" s="5">
        <v>176</v>
      </c>
    </row>
    <row r="4531" spans="1:3">
      <c r="A4531" s="68">
        <v>37710</v>
      </c>
      <c r="B4531" s="6">
        <v>3.8888888888888903E-2</v>
      </c>
      <c r="C4531" s="5">
        <v>179</v>
      </c>
    </row>
    <row r="4532" spans="1:3">
      <c r="A4532" s="68">
        <v>37710</v>
      </c>
      <c r="B4532" s="6">
        <v>3.9583333333333297E-2</v>
      </c>
      <c r="C4532" s="5">
        <v>179</v>
      </c>
    </row>
    <row r="4533" spans="1:3">
      <c r="A4533" s="68">
        <v>37710</v>
      </c>
      <c r="B4533" s="6">
        <v>4.0277777777777801E-2</v>
      </c>
      <c r="C4533" s="5">
        <v>177</v>
      </c>
    </row>
    <row r="4534" spans="1:3">
      <c r="A4534" s="68">
        <v>37710</v>
      </c>
      <c r="B4534" s="6">
        <v>4.0972222222222202E-2</v>
      </c>
      <c r="C4534" s="5">
        <v>179</v>
      </c>
    </row>
    <row r="4535" spans="1:3">
      <c r="A4535" s="68">
        <v>37710</v>
      </c>
      <c r="B4535" s="6">
        <v>4.1666666666666699E-2</v>
      </c>
      <c r="C4535" s="5">
        <v>179</v>
      </c>
    </row>
    <row r="4536" spans="1:3">
      <c r="A4536" s="68">
        <v>37710</v>
      </c>
      <c r="B4536" s="6">
        <v>4.2361111111111099E-2</v>
      </c>
      <c r="C4536" s="5">
        <v>180</v>
      </c>
    </row>
    <row r="4537" spans="1:3">
      <c r="A4537" s="68">
        <v>37710</v>
      </c>
      <c r="B4537" s="6">
        <v>4.3055555555555597E-2</v>
      </c>
      <c r="C4537" s="5">
        <v>179</v>
      </c>
    </row>
    <row r="4538" spans="1:3">
      <c r="A4538" s="68">
        <v>37710</v>
      </c>
      <c r="B4538" s="6">
        <v>4.3749999999999997E-2</v>
      </c>
      <c r="C4538" s="5">
        <v>181</v>
      </c>
    </row>
    <row r="4539" spans="1:3">
      <c r="A4539" s="68">
        <v>37710</v>
      </c>
      <c r="B4539" s="6">
        <v>4.4444444444444398E-2</v>
      </c>
      <c r="C4539" s="5">
        <v>183</v>
      </c>
    </row>
    <row r="4540" spans="1:3">
      <c r="A4540" s="68">
        <v>37710</v>
      </c>
      <c r="B4540" s="6">
        <v>4.5138888888888902E-2</v>
      </c>
      <c r="C4540" s="5">
        <v>182</v>
      </c>
    </row>
    <row r="4541" spans="1:3">
      <c r="A4541" s="68">
        <v>37710</v>
      </c>
      <c r="B4541" s="6">
        <v>4.5833333333333302E-2</v>
      </c>
      <c r="C4541" s="5">
        <v>182</v>
      </c>
    </row>
    <row r="4542" spans="1:3">
      <c r="A4542" s="68">
        <v>37710</v>
      </c>
      <c r="B4542" s="6">
        <v>4.65277777777778E-2</v>
      </c>
      <c r="C4542" s="5">
        <v>183</v>
      </c>
    </row>
    <row r="4543" spans="1:3">
      <c r="A4543" s="68">
        <v>37710</v>
      </c>
      <c r="B4543" s="6">
        <v>4.72222222222222E-2</v>
      </c>
      <c r="C4543" s="5">
        <v>183</v>
      </c>
    </row>
    <row r="4544" spans="1:3">
      <c r="A4544" s="68">
        <v>37710</v>
      </c>
      <c r="B4544" s="6">
        <v>4.7916666666666698E-2</v>
      </c>
      <c r="C4544" s="5">
        <v>182</v>
      </c>
    </row>
    <row r="4545" spans="1:3">
      <c r="A4545" s="68">
        <v>37710</v>
      </c>
      <c r="B4545" s="6">
        <v>4.8611111111111098E-2</v>
      </c>
      <c r="C4545" s="5">
        <v>183</v>
      </c>
    </row>
    <row r="4546" spans="1:3">
      <c r="A4546" s="68">
        <v>37710</v>
      </c>
      <c r="B4546" s="6">
        <v>4.9305555555555602E-2</v>
      </c>
      <c r="C4546" s="5">
        <v>186</v>
      </c>
    </row>
    <row r="4547" spans="1:3">
      <c r="A4547" s="68">
        <v>37710</v>
      </c>
      <c r="B4547" s="6">
        <v>0.05</v>
      </c>
      <c r="C4547" s="5">
        <v>184</v>
      </c>
    </row>
    <row r="4548" spans="1:3">
      <c r="A4548" s="68">
        <v>37710</v>
      </c>
      <c r="B4548" s="6">
        <v>5.0694444444444403E-2</v>
      </c>
      <c r="C4548" s="5">
        <v>184</v>
      </c>
    </row>
    <row r="4549" spans="1:3">
      <c r="A4549" s="68">
        <v>37710</v>
      </c>
      <c r="B4549" s="6">
        <v>5.1388888888888901E-2</v>
      </c>
      <c r="C4549" s="5">
        <v>183</v>
      </c>
    </row>
    <row r="4550" spans="1:3">
      <c r="A4550" s="68">
        <v>37710</v>
      </c>
      <c r="B4550" s="6">
        <v>5.2083333333333301E-2</v>
      </c>
      <c r="C4550" s="5">
        <v>184</v>
      </c>
    </row>
    <row r="4551" spans="1:3">
      <c r="A4551" s="68">
        <v>37710</v>
      </c>
      <c r="B4551" s="6">
        <v>5.2777777777777798E-2</v>
      </c>
      <c r="C4551" s="5">
        <v>185</v>
      </c>
    </row>
    <row r="4552" spans="1:3">
      <c r="A4552" s="68">
        <v>37710</v>
      </c>
      <c r="B4552" s="6">
        <v>5.3472222222222199E-2</v>
      </c>
      <c r="C4552" s="5">
        <v>184</v>
      </c>
    </row>
    <row r="4553" spans="1:3">
      <c r="A4553" s="68">
        <v>37710</v>
      </c>
      <c r="B4553" s="6">
        <v>5.4166666666666703E-2</v>
      </c>
      <c r="C4553" s="5">
        <v>185</v>
      </c>
    </row>
    <row r="4554" spans="1:3">
      <c r="A4554" s="68">
        <v>37732</v>
      </c>
      <c r="B4554" s="6">
        <v>0</v>
      </c>
      <c r="C4554" s="5">
        <v>106</v>
      </c>
    </row>
    <row r="4555" spans="1:3">
      <c r="A4555" s="68">
        <v>37732</v>
      </c>
      <c r="B4555" s="6">
        <v>6.9444444444444447E-4</v>
      </c>
      <c r="C4555" s="5">
        <v>166</v>
      </c>
    </row>
    <row r="4556" spans="1:3">
      <c r="A4556" s="68">
        <v>37732</v>
      </c>
      <c r="B4556" s="6">
        <v>1.38888888888889E-3</v>
      </c>
      <c r="C4556" s="5">
        <v>171</v>
      </c>
    </row>
    <row r="4557" spans="1:3">
      <c r="A4557" s="68">
        <v>37732</v>
      </c>
      <c r="B4557" s="6">
        <v>2.0833333333333298E-3</v>
      </c>
      <c r="C4557" s="5">
        <v>172</v>
      </c>
    </row>
    <row r="4558" spans="1:3">
      <c r="A4558" s="68">
        <v>37732</v>
      </c>
      <c r="B4558" s="6">
        <v>2.7777777777777801E-3</v>
      </c>
      <c r="C4558" s="5">
        <v>175</v>
      </c>
    </row>
    <row r="4559" spans="1:3">
      <c r="A4559" s="68">
        <v>37732</v>
      </c>
      <c r="B4559" s="6">
        <v>3.4722222222222199E-3</v>
      </c>
      <c r="C4559" s="5">
        <v>176</v>
      </c>
    </row>
    <row r="4560" spans="1:3">
      <c r="A4560" s="68">
        <v>37732</v>
      </c>
      <c r="B4560" s="6">
        <v>4.1666666666666701E-3</v>
      </c>
      <c r="C4560" s="5">
        <v>178</v>
      </c>
    </row>
    <row r="4561" spans="1:3">
      <c r="A4561" s="68">
        <v>37732</v>
      </c>
      <c r="B4561" s="6">
        <v>4.8611111111111103E-3</v>
      </c>
      <c r="C4561" s="5">
        <v>175</v>
      </c>
    </row>
    <row r="4562" spans="1:3">
      <c r="A4562" s="68">
        <v>37732</v>
      </c>
      <c r="B4562" s="6">
        <v>5.5555555555555601E-3</v>
      </c>
      <c r="C4562" s="5">
        <v>175</v>
      </c>
    </row>
    <row r="4563" spans="1:3">
      <c r="A4563" s="68">
        <v>37732</v>
      </c>
      <c r="B4563" s="6">
        <v>6.2500000000000003E-3</v>
      </c>
      <c r="C4563" s="5">
        <v>173</v>
      </c>
    </row>
    <row r="4564" spans="1:3">
      <c r="A4564" s="68">
        <v>37732</v>
      </c>
      <c r="B4564" s="6">
        <v>6.9444444444444397E-3</v>
      </c>
      <c r="C4564" s="5">
        <v>174</v>
      </c>
    </row>
    <row r="4565" spans="1:3">
      <c r="A4565" s="68">
        <v>37732</v>
      </c>
      <c r="B4565" s="6">
        <v>7.6388888888888904E-3</v>
      </c>
      <c r="C4565" s="5">
        <v>175</v>
      </c>
    </row>
    <row r="4566" spans="1:3">
      <c r="A4566" s="68">
        <v>37732</v>
      </c>
      <c r="B4566" s="6">
        <v>8.3333333333333297E-3</v>
      </c>
      <c r="C4566" s="5">
        <v>172</v>
      </c>
    </row>
    <row r="4567" spans="1:3">
      <c r="A4567" s="68">
        <v>37732</v>
      </c>
      <c r="B4567" s="6">
        <v>9.0277777777777804E-3</v>
      </c>
      <c r="C4567" s="5">
        <v>176</v>
      </c>
    </row>
    <row r="4568" spans="1:3">
      <c r="A4568" s="68">
        <v>37732</v>
      </c>
      <c r="B4568" s="6">
        <v>9.7222222222222206E-3</v>
      </c>
      <c r="C4568" s="5">
        <v>171</v>
      </c>
    </row>
    <row r="4569" spans="1:3">
      <c r="A4569" s="68">
        <v>37732</v>
      </c>
      <c r="B4569" s="6">
        <v>1.0416666666666701E-2</v>
      </c>
      <c r="C4569" s="5">
        <v>174</v>
      </c>
    </row>
    <row r="4570" spans="1:3">
      <c r="A4570" s="68">
        <v>37732</v>
      </c>
      <c r="B4570" s="6">
        <v>1.1111111111111099E-2</v>
      </c>
      <c r="C4570" s="5">
        <v>175</v>
      </c>
    </row>
    <row r="4571" spans="1:3">
      <c r="A4571" s="68">
        <v>37732</v>
      </c>
      <c r="B4571" s="6">
        <v>1.18055555555556E-2</v>
      </c>
      <c r="C4571" s="5">
        <v>173</v>
      </c>
    </row>
    <row r="4572" spans="1:3">
      <c r="A4572" s="68">
        <v>37732</v>
      </c>
      <c r="B4572" s="6">
        <v>1.2500000000000001E-2</v>
      </c>
      <c r="C4572" s="5">
        <v>174</v>
      </c>
    </row>
    <row r="4573" spans="1:3">
      <c r="A4573" s="68">
        <v>37732</v>
      </c>
      <c r="B4573" s="6">
        <v>1.3194444444444399E-2</v>
      </c>
      <c r="C4573" s="5">
        <v>173</v>
      </c>
    </row>
    <row r="4574" spans="1:3">
      <c r="A4574" s="68">
        <v>37732</v>
      </c>
      <c r="B4574" s="6">
        <v>1.38888888888889E-2</v>
      </c>
      <c r="C4574" s="5">
        <v>174</v>
      </c>
    </row>
    <row r="4575" spans="1:3">
      <c r="A4575" s="68">
        <v>37732</v>
      </c>
      <c r="B4575" s="6">
        <v>1.4583333333333301E-2</v>
      </c>
      <c r="C4575" s="5">
        <v>175</v>
      </c>
    </row>
    <row r="4576" spans="1:3">
      <c r="A4576" s="68">
        <v>37732</v>
      </c>
      <c r="B4576" s="6">
        <v>1.52777777777778E-2</v>
      </c>
      <c r="C4576" s="5">
        <v>175</v>
      </c>
    </row>
    <row r="4577" spans="1:3">
      <c r="A4577" s="68">
        <v>37732</v>
      </c>
      <c r="B4577" s="6">
        <v>1.59722222222222E-2</v>
      </c>
      <c r="C4577" s="5">
        <v>175</v>
      </c>
    </row>
    <row r="4578" spans="1:3">
      <c r="A4578" s="68">
        <v>37732</v>
      </c>
      <c r="B4578" s="6">
        <v>1.6666666666666701E-2</v>
      </c>
      <c r="C4578" s="5">
        <v>176</v>
      </c>
    </row>
    <row r="4579" spans="1:3">
      <c r="A4579" s="68">
        <v>37732</v>
      </c>
      <c r="B4579" s="6">
        <v>1.7361111111111101E-2</v>
      </c>
      <c r="C4579" s="5">
        <v>175</v>
      </c>
    </row>
    <row r="4580" spans="1:3">
      <c r="A4580" s="68">
        <v>37732</v>
      </c>
      <c r="B4580" s="6">
        <v>1.8055555555555599E-2</v>
      </c>
      <c r="C4580" s="5">
        <v>176</v>
      </c>
    </row>
    <row r="4581" spans="1:3">
      <c r="A4581" s="68">
        <v>37732</v>
      </c>
      <c r="B4581" s="6">
        <v>1.8749999999999999E-2</v>
      </c>
      <c r="C4581" s="5">
        <v>178</v>
      </c>
    </row>
    <row r="4582" spans="1:3">
      <c r="A4582" s="68">
        <v>37732</v>
      </c>
      <c r="B4582" s="6">
        <v>1.94444444444444E-2</v>
      </c>
      <c r="C4582" s="5">
        <v>177</v>
      </c>
    </row>
    <row r="4583" spans="1:3">
      <c r="A4583" s="68">
        <v>37732</v>
      </c>
      <c r="B4583" s="6">
        <v>2.0138888888888901E-2</v>
      </c>
      <c r="C4583" s="5">
        <v>176</v>
      </c>
    </row>
    <row r="4584" spans="1:3">
      <c r="A4584" s="68">
        <v>37732</v>
      </c>
      <c r="B4584" s="6">
        <v>2.0833333333333301E-2</v>
      </c>
      <c r="C4584" s="5">
        <v>176</v>
      </c>
    </row>
    <row r="4585" spans="1:3">
      <c r="A4585" s="68">
        <v>37732</v>
      </c>
      <c r="B4585" s="6">
        <v>2.1527777777777798E-2</v>
      </c>
      <c r="C4585" s="5">
        <v>175</v>
      </c>
    </row>
    <row r="4586" spans="1:3">
      <c r="A4586" s="68">
        <v>37732</v>
      </c>
      <c r="B4586" s="6">
        <v>2.2222222222222199E-2</v>
      </c>
      <c r="C4586" s="5">
        <v>178</v>
      </c>
    </row>
    <row r="4587" spans="1:3">
      <c r="A4587" s="68">
        <v>37732</v>
      </c>
      <c r="B4587" s="6">
        <v>2.29166666666667E-2</v>
      </c>
      <c r="C4587" s="5">
        <v>178</v>
      </c>
    </row>
    <row r="4588" spans="1:3">
      <c r="A4588" s="68">
        <v>37732</v>
      </c>
      <c r="B4588" s="6">
        <v>2.36111111111111E-2</v>
      </c>
      <c r="C4588" s="5">
        <v>176</v>
      </c>
    </row>
    <row r="4589" spans="1:3">
      <c r="A4589" s="68">
        <v>37732</v>
      </c>
      <c r="B4589" s="6">
        <v>2.4305555555555601E-2</v>
      </c>
      <c r="C4589" s="5">
        <v>175</v>
      </c>
    </row>
    <row r="4590" spans="1:3">
      <c r="A4590" s="68">
        <v>37732</v>
      </c>
      <c r="B4590" s="6">
        <v>2.5000000000000001E-2</v>
      </c>
      <c r="C4590" s="5">
        <v>176</v>
      </c>
    </row>
    <row r="4591" spans="1:3">
      <c r="A4591" s="68">
        <v>37732</v>
      </c>
      <c r="B4591" s="6">
        <v>2.5694444444444402E-2</v>
      </c>
      <c r="C4591" s="5">
        <v>176</v>
      </c>
    </row>
    <row r="4592" spans="1:3">
      <c r="A4592" s="68">
        <v>37732</v>
      </c>
      <c r="B4592" s="6">
        <v>2.6388888888888899E-2</v>
      </c>
      <c r="C4592" s="5">
        <v>176</v>
      </c>
    </row>
    <row r="4593" spans="1:3">
      <c r="A4593" s="68">
        <v>37732</v>
      </c>
      <c r="B4593" s="6">
        <v>2.70833333333333E-2</v>
      </c>
      <c r="C4593" s="5">
        <v>177</v>
      </c>
    </row>
    <row r="4594" spans="1:3">
      <c r="A4594" s="68">
        <v>37732</v>
      </c>
      <c r="B4594" s="6">
        <v>2.7777777777777801E-2</v>
      </c>
      <c r="C4594" s="5">
        <v>178</v>
      </c>
    </row>
    <row r="4595" spans="1:3">
      <c r="A4595" s="68">
        <v>37732</v>
      </c>
      <c r="B4595" s="6">
        <v>2.8472222222222201E-2</v>
      </c>
      <c r="C4595" s="5">
        <v>179</v>
      </c>
    </row>
    <row r="4596" spans="1:3">
      <c r="A4596" s="68">
        <v>37732</v>
      </c>
      <c r="B4596" s="6">
        <v>2.9166666666666698E-2</v>
      </c>
      <c r="C4596" s="5">
        <v>177</v>
      </c>
    </row>
    <row r="4597" spans="1:3">
      <c r="A4597" s="68">
        <v>37732</v>
      </c>
      <c r="B4597" s="6">
        <v>2.9861111111111099E-2</v>
      </c>
      <c r="C4597" s="5">
        <v>177</v>
      </c>
    </row>
    <row r="4598" spans="1:3">
      <c r="A4598" s="68">
        <v>37732</v>
      </c>
      <c r="B4598" s="6">
        <v>3.05555555555556E-2</v>
      </c>
      <c r="C4598" s="5">
        <v>177</v>
      </c>
    </row>
    <row r="4599" spans="1:3">
      <c r="A4599" s="68">
        <v>37732</v>
      </c>
      <c r="B4599" s="6">
        <v>3.125E-2</v>
      </c>
      <c r="C4599" s="5">
        <v>176</v>
      </c>
    </row>
    <row r="4600" spans="1:3">
      <c r="A4600" s="68">
        <v>37732</v>
      </c>
      <c r="B4600" s="6">
        <v>3.19444444444444E-2</v>
      </c>
      <c r="C4600" s="5">
        <v>178</v>
      </c>
    </row>
    <row r="4601" spans="1:3">
      <c r="A4601" s="68">
        <v>37732</v>
      </c>
      <c r="B4601" s="6">
        <v>3.2638888888888898E-2</v>
      </c>
      <c r="C4601" s="5">
        <v>178</v>
      </c>
    </row>
    <row r="4602" spans="1:3">
      <c r="A4602" s="68">
        <v>37732</v>
      </c>
      <c r="B4602" s="6">
        <v>3.3333333333333298E-2</v>
      </c>
      <c r="C4602" s="5">
        <v>178</v>
      </c>
    </row>
    <row r="4603" spans="1:3">
      <c r="A4603" s="68">
        <v>37732</v>
      </c>
      <c r="B4603" s="6">
        <v>3.4027777777777803E-2</v>
      </c>
      <c r="C4603" s="5">
        <v>179</v>
      </c>
    </row>
    <row r="4604" spans="1:3">
      <c r="A4604" s="68">
        <v>37732</v>
      </c>
      <c r="B4604" s="6">
        <v>3.4722222222222203E-2</v>
      </c>
      <c r="C4604" s="5">
        <v>179</v>
      </c>
    </row>
    <row r="4605" spans="1:3">
      <c r="A4605" s="68">
        <v>37732</v>
      </c>
      <c r="B4605" s="6">
        <v>3.54166666666667E-2</v>
      </c>
      <c r="C4605" s="5">
        <v>177</v>
      </c>
    </row>
    <row r="4606" spans="1:3">
      <c r="A4606" s="68">
        <v>37732</v>
      </c>
      <c r="B4606" s="6">
        <v>3.6111111111111101E-2</v>
      </c>
      <c r="C4606" s="5">
        <v>178</v>
      </c>
    </row>
    <row r="4607" spans="1:3">
      <c r="A4607" s="68">
        <v>37732</v>
      </c>
      <c r="B4607" s="6">
        <v>3.6805555555555598E-2</v>
      </c>
      <c r="C4607" s="5">
        <v>179</v>
      </c>
    </row>
    <row r="4608" spans="1:3">
      <c r="A4608" s="68">
        <v>37732</v>
      </c>
      <c r="B4608" s="6">
        <v>3.7499999999999999E-2</v>
      </c>
      <c r="C4608" s="5">
        <v>179</v>
      </c>
    </row>
    <row r="4609" spans="1:4">
      <c r="A4609" s="68">
        <v>37732</v>
      </c>
      <c r="B4609" s="6">
        <v>3.8194444444444399E-2</v>
      </c>
      <c r="C4609" s="5">
        <v>181</v>
      </c>
    </row>
    <row r="4610" spans="1:4">
      <c r="A4610" s="68">
        <v>37732</v>
      </c>
      <c r="B4610" s="6">
        <v>3.8888888888888903E-2</v>
      </c>
      <c r="C4610" s="5">
        <v>180</v>
      </c>
    </row>
    <row r="4611" spans="1:4">
      <c r="A4611" s="68">
        <v>37732</v>
      </c>
      <c r="B4611" s="6">
        <v>3.9583333333333297E-2</v>
      </c>
      <c r="C4611" s="5">
        <v>180</v>
      </c>
    </row>
    <row r="4612" spans="1:4">
      <c r="A4612" s="68">
        <v>37732</v>
      </c>
      <c r="B4612" s="6">
        <v>4.0277777777777801E-2</v>
      </c>
      <c r="C4612" s="5">
        <v>180</v>
      </c>
    </row>
    <row r="4613" spans="1:4">
      <c r="A4613" s="68">
        <v>37732</v>
      </c>
      <c r="B4613" s="6">
        <v>4.0972222222222202E-2</v>
      </c>
      <c r="C4613" s="5">
        <v>180</v>
      </c>
    </row>
    <row r="4614" spans="1:4">
      <c r="A4614" s="68">
        <v>37732</v>
      </c>
      <c r="B4614" s="6">
        <v>4.1666666666666699E-2</v>
      </c>
      <c r="C4614" s="5">
        <v>180</v>
      </c>
    </row>
    <row r="4615" spans="1:4">
      <c r="A4615" s="68">
        <v>37732</v>
      </c>
      <c r="B4615" s="6">
        <v>4.2361111111111099E-2</v>
      </c>
      <c r="C4615" s="5">
        <v>179</v>
      </c>
    </row>
    <row r="4616" spans="1:4">
      <c r="A4616" s="68">
        <v>37732</v>
      </c>
      <c r="B4616" s="6">
        <v>4.3055555555555597E-2</v>
      </c>
      <c r="C4616" s="5">
        <v>176</v>
      </c>
    </row>
    <row r="4617" spans="1:4">
      <c r="A4617" s="68">
        <v>37732</v>
      </c>
      <c r="B4617" s="6">
        <v>4.3749999999999997E-2</v>
      </c>
      <c r="C4617" s="5">
        <v>180</v>
      </c>
    </row>
    <row r="4618" spans="1:4">
      <c r="A4618" s="68">
        <v>37732</v>
      </c>
      <c r="B4618" s="6">
        <v>4.4444444444444398E-2</v>
      </c>
      <c r="C4618" s="5">
        <v>181</v>
      </c>
    </row>
    <row r="4619" spans="1:4">
      <c r="A4619" s="68">
        <v>37732</v>
      </c>
      <c r="B4619" s="6">
        <v>4.5138888888888902E-2</v>
      </c>
      <c r="C4619" s="5">
        <v>182</v>
      </c>
    </row>
    <row r="4620" spans="1:4">
      <c r="A4620" s="68">
        <v>37732</v>
      </c>
      <c r="B4620" s="6">
        <v>4.5833333333333302E-2</v>
      </c>
      <c r="C4620" s="5">
        <v>181</v>
      </c>
    </row>
    <row r="4621" spans="1:4">
      <c r="A4621" s="68">
        <v>37732</v>
      </c>
      <c r="B4621" s="6">
        <v>4.65277777777778E-2</v>
      </c>
      <c r="C4621" s="5">
        <v>181</v>
      </c>
    </row>
    <row r="4622" spans="1:4">
      <c r="A4622" s="68">
        <v>37732</v>
      </c>
      <c r="B4622" s="6">
        <v>4.72222222222222E-2</v>
      </c>
      <c r="C4622" s="5">
        <v>181</v>
      </c>
    </row>
    <row r="4623" spans="1:4">
      <c r="A4623" s="68">
        <v>37732</v>
      </c>
      <c r="B4623" s="6">
        <v>4.7916666666666698E-2</v>
      </c>
      <c r="C4623" s="5">
        <v>183</v>
      </c>
    </row>
    <row r="4624" spans="1:4">
      <c r="A4624" s="68">
        <v>37742</v>
      </c>
      <c r="B4624" s="6">
        <v>0</v>
      </c>
      <c r="C4624" s="5">
        <v>150</v>
      </c>
      <c r="D4624" s="4" t="s">
        <v>220</v>
      </c>
    </row>
    <row r="4625" spans="1:4">
      <c r="A4625" s="68">
        <v>37742</v>
      </c>
      <c r="B4625" s="6">
        <v>6.9444444444444447E-4</v>
      </c>
      <c r="C4625" s="5">
        <v>141</v>
      </c>
      <c r="D4625" s="4" t="s">
        <v>220</v>
      </c>
    </row>
    <row r="4626" spans="1:4">
      <c r="A4626" s="68">
        <v>37742</v>
      </c>
      <c r="B4626" s="6">
        <v>1.38888888888889E-3</v>
      </c>
      <c r="C4626" s="5">
        <v>159</v>
      </c>
      <c r="D4626" s="4" t="s">
        <v>220</v>
      </c>
    </row>
    <row r="4627" spans="1:4">
      <c r="A4627" s="68">
        <v>37742</v>
      </c>
      <c r="B4627" s="6">
        <v>2.0833333333333298E-3</v>
      </c>
      <c r="C4627" s="5">
        <v>146</v>
      </c>
      <c r="D4627" s="4" t="s">
        <v>220</v>
      </c>
    </row>
    <row r="4628" spans="1:4">
      <c r="A4628" s="68">
        <v>37742</v>
      </c>
      <c r="B4628" s="6">
        <v>2.7777777777777801E-3</v>
      </c>
      <c r="C4628" s="5">
        <v>152</v>
      </c>
      <c r="D4628" s="4" t="s">
        <v>220</v>
      </c>
    </row>
    <row r="4629" spans="1:4">
      <c r="A4629" s="68">
        <v>37742</v>
      </c>
      <c r="B4629" s="6">
        <v>3.4722222222222199E-3</v>
      </c>
      <c r="C4629" s="5">
        <v>158</v>
      </c>
      <c r="D4629" s="4" t="s">
        <v>220</v>
      </c>
    </row>
    <row r="4630" spans="1:4">
      <c r="A4630" s="68">
        <v>37742</v>
      </c>
      <c r="B4630" s="6">
        <v>4.1666666666666701E-3</v>
      </c>
      <c r="C4630" s="5">
        <v>160</v>
      </c>
      <c r="D4630" s="4" t="s">
        <v>220</v>
      </c>
    </row>
    <row r="4631" spans="1:4">
      <c r="A4631" s="68">
        <v>37742</v>
      </c>
      <c r="B4631" s="6">
        <v>4.8611111111111103E-3</v>
      </c>
      <c r="C4631" s="5">
        <v>164</v>
      </c>
      <c r="D4631" s="4" t="s">
        <v>220</v>
      </c>
    </row>
    <row r="4632" spans="1:4">
      <c r="A4632" s="68">
        <v>37742</v>
      </c>
      <c r="B4632" s="6">
        <v>5.5555555555555601E-3</v>
      </c>
      <c r="C4632" s="5">
        <v>168</v>
      </c>
      <c r="D4632" s="4" t="s">
        <v>220</v>
      </c>
    </row>
    <row r="4633" spans="1:4">
      <c r="A4633" s="68">
        <v>37742</v>
      </c>
      <c r="B4633" s="6">
        <v>6.2500000000000003E-3</v>
      </c>
      <c r="C4633" s="5">
        <v>172</v>
      </c>
      <c r="D4633" s="4" t="s">
        <v>220</v>
      </c>
    </row>
    <row r="4634" spans="1:4">
      <c r="A4634" s="68">
        <v>37742</v>
      </c>
      <c r="B4634" s="6">
        <v>6.9444444444444397E-3</v>
      </c>
      <c r="C4634" s="5">
        <v>171</v>
      </c>
      <c r="D4634" s="4" t="s">
        <v>220</v>
      </c>
    </row>
    <row r="4635" spans="1:4">
      <c r="A4635" s="68">
        <v>37742</v>
      </c>
      <c r="B4635" s="6">
        <v>7.6388888888888904E-3</v>
      </c>
      <c r="C4635" s="5">
        <v>171</v>
      </c>
      <c r="D4635" s="4" t="s">
        <v>220</v>
      </c>
    </row>
    <row r="4636" spans="1:4">
      <c r="A4636" s="68">
        <v>37742</v>
      </c>
      <c r="B4636" s="6">
        <v>8.3333333333333297E-3</v>
      </c>
      <c r="C4636" s="5">
        <v>175</v>
      </c>
      <c r="D4636" s="4" t="s">
        <v>220</v>
      </c>
    </row>
    <row r="4637" spans="1:4">
      <c r="A4637" s="68">
        <v>37742</v>
      </c>
      <c r="B4637" s="6">
        <v>9.0277777777777804E-3</v>
      </c>
      <c r="C4637" s="5">
        <v>177</v>
      </c>
      <c r="D4637" s="4" t="s">
        <v>220</v>
      </c>
    </row>
    <row r="4638" spans="1:4">
      <c r="A4638" s="68">
        <v>37742</v>
      </c>
      <c r="B4638" s="6">
        <v>9.7222222222222206E-3</v>
      </c>
      <c r="C4638" s="5">
        <v>165</v>
      </c>
      <c r="D4638" s="4" t="s">
        <v>220</v>
      </c>
    </row>
    <row r="4639" spans="1:4">
      <c r="A4639" s="68">
        <v>37742</v>
      </c>
      <c r="B4639" s="6">
        <v>1.0416666666666701E-2</v>
      </c>
      <c r="C4639" s="5">
        <v>157</v>
      </c>
      <c r="D4639" s="4" t="s">
        <v>220</v>
      </c>
    </row>
    <row r="4640" spans="1:4">
      <c r="A4640" s="68">
        <v>37742</v>
      </c>
      <c r="B4640" s="6">
        <v>1.1111111111111099E-2</v>
      </c>
      <c r="C4640" s="5">
        <v>173</v>
      </c>
      <c r="D4640" s="4" t="s">
        <v>220</v>
      </c>
    </row>
    <row r="4641" spans="1:4">
      <c r="A4641" s="68">
        <v>37742</v>
      </c>
      <c r="B4641" s="6">
        <v>1.18055555555556E-2</v>
      </c>
      <c r="C4641" s="5">
        <v>177</v>
      </c>
      <c r="D4641" s="4" t="s">
        <v>220</v>
      </c>
    </row>
    <row r="4642" spans="1:4">
      <c r="A4642" s="68">
        <v>37742</v>
      </c>
      <c r="B4642" s="6">
        <v>1.2500000000000001E-2</v>
      </c>
      <c r="C4642" s="5">
        <v>184</v>
      </c>
      <c r="D4642" s="4" t="s">
        <v>220</v>
      </c>
    </row>
    <row r="4643" spans="1:4">
      <c r="A4643" s="68">
        <v>37742</v>
      </c>
      <c r="B4643" s="6">
        <v>1.3194444444444399E-2</v>
      </c>
      <c r="C4643" s="5">
        <v>182</v>
      </c>
      <c r="D4643" s="4" t="s">
        <v>220</v>
      </c>
    </row>
    <row r="4644" spans="1:4">
      <c r="A4644" s="68">
        <v>37742</v>
      </c>
      <c r="B4644" s="6">
        <v>1.38888888888889E-2</v>
      </c>
      <c r="C4644" s="5">
        <v>187</v>
      </c>
      <c r="D4644" s="4" t="s">
        <v>220</v>
      </c>
    </row>
    <row r="4645" spans="1:4">
      <c r="A4645" s="68">
        <v>37742</v>
      </c>
      <c r="B4645" s="6">
        <v>1.4583333333333301E-2</v>
      </c>
      <c r="C4645" s="5">
        <v>185</v>
      </c>
      <c r="D4645" s="4" t="s">
        <v>220</v>
      </c>
    </row>
    <row r="4646" spans="1:4">
      <c r="A4646" s="68">
        <v>37742</v>
      </c>
      <c r="B4646" s="6">
        <v>1.52777777777778E-2</v>
      </c>
      <c r="C4646" s="5">
        <v>187</v>
      </c>
      <c r="D4646" s="4" t="s">
        <v>220</v>
      </c>
    </row>
    <row r="4647" spans="1:4">
      <c r="A4647" s="68">
        <v>37742</v>
      </c>
      <c r="B4647" s="6">
        <v>1.59722222222222E-2</v>
      </c>
      <c r="C4647" s="5">
        <v>185</v>
      </c>
      <c r="D4647" s="4" t="s">
        <v>220</v>
      </c>
    </row>
    <row r="4648" spans="1:4">
      <c r="A4648" s="68">
        <v>37742</v>
      </c>
      <c r="B4648" s="6">
        <v>1.6666666666666701E-2</v>
      </c>
      <c r="C4648" s="5">
        <v>188</v>
      </c>
      <c r="D4648" s="4" t="s">
        <v>220</v>
      </c>
    </row>
    <row r="4649" spans="1:4">
      <c r="A4649" s="68">
        <v>37742</v>
      </c>
      <c r="B4649" s="6">
        <v>1.7361111111111101E-2</v>
      </c>
      <c r="C4649" s="5">
        <v>189</v>
      </c>
      <c r="D4649" s="4" t="s">
        <v>220</v>
      </c>
    </row>
    <row r="4650" spans="1:4">
      <c r="A4650" s="68">
        <v>37742</v>
      </c>
      <c r="B4650" s="6">
        <v>1.8055555555555599E-2</v>
      </c>
      <c r="C4650" s="5">
        <v>189</v>
      </c>
      <c r="D4650" s="4" t="s">
        <v>220</v>
      </c>
    </row>
    <row r="4651" spans="1:4">
      <c r="A4651" s="68">
        <v>37742</v>
      </c>
      <c r="B4651" s="6">
        <v>1.8749999999999999E-2</v>
      </c>
      <c r="C4651" s="5">
        <v>181</v>
      </c>
      <c r="D4651" s="4" t="s">
        <v>220</v>
      </c>
    </row>
    <row r="4652" spans="1:4">
      <c r="A4652" s="68">
        <v>37742</v>
      </c>
      <c r="B4652" s="6">
        <v>1.94444444444444E-2</v>
      </c>
      <c r="C4652" s="5">
        <v>178</v>
      </c>
      <c r="D4652" s="4" t="s">
        <v>220</v>
      </c>
    </row>
    <row r="4653" spans="1:4">
      <c r="A4653" s="68">
        <v>37742</v>
      </c>
      <c r="B4653" s="6">
        <v>2.0138888888888901E-2</v>
      </c>
      <c r="C4653" s="5">
        <v>175</v>
      </c>
      <c r="D4653" s="4" t="s">
        <v>220</v>
      </c>
    </row>
    <row r="4654" spans="1:4">
      <c r="A4654" s="68">
        <v>37742</v>
      </c>
      <c r="B4654" s="6">
        <v>2.0833333333333301E-2</v>
      </c>
      <c r="C4654" s="5">
        <v>183</v>
      </c>
      <c r="D4654" s="4" t="s">
        <v>220</v>
      </c>
    </row>
    <row r="4655" spans="1:4">
      <c r="A4655" s="68">
        <v>37742</v>
      </c>
      <c r="B4655" s="6">
        <v>2.1527777777777798E-2</v>
      </c>
      <c r="C4655" s="5">
        <v>183</v>
      </c>
      <c r="D4655" s="4" t="s">
        <v>220</v>
      </c>
    </row>
    <row r="4656" spans="1:4">
      <c r="A4656" s="68">
        <v>37742</v>
      </c>
      <c r="B4656" s="6">
        <v>2.2222222222222199E-2</v>
      </c>
      <c r="C4656" s="5">
        <v>180</v>
      </c>
      <c r="D4656" s="4" t="s">
        <v>220</v>
      </c>
    </row>
    <row r="4657" spans="1:4">
      <c r="A4657" s="68">
        <v>37742</v>
      </c>
      <c r="B4657" s="6">
        <v>2.29166666666667E-2</v>
      </c>
      <c r="C4657" s="5">
        <v>182</v>
      </c>
      <c r="D4657" s="4" t="s">
        <v>220</v>
      </c>
    </row>
    <row r="4658" spans="1:4">
      <c r="A4658" s="68">
        <v>37742</v>
      </c>
      <c r="B4658" s="6">
        <v>2.36111111111111E-2</v>
      </c>
      <c r="C4658" s="5">
        <v>182</v>
      </c>
      <c r="D4658" s="4" t="s">
        <v>220</v>
      </c>
    </row>
    <row r="4659" spans="1:4">
      <c r="A4659" s="68">
        <v>37742</v>
      </c>
      <c r="B4659" s="6">
        <v>2.4305555555555601E-2</v>
      </c>
      <c r="C4659" s="5">
        <v>183</v>
      </c>
      <c r="D4659" s="4" t="s">
        <v>220</v>
      </c>
    </row>
    <row r="4660" spans="1:4">
      <c r="A4660" s="68">
        <v>37742</v>
      </c>
      <c r="B4660" s="6">
        <v>2.5000000000000001E-2</v>
      </c>
      <c r="C4660" s="5">
        <v>179</v>
      </c>
      <c r="D4660" s="4" t="s">
        <v>220</v>
      </c>
    </row>
    <row r="4661" spans="1:4">
      <c r="A4661" s="68">
        <v>37742</v>
      </c>
      <c r="B4661" s="6">
        <v>2.5694444444444402E-2</v>
      </c>
      <c r="C4661" s="5">
        <v>188</v>
      </c>
      <c r="D4661" s="4" t="s">
        <v>220</v>
      </c>
    </row>
    <row r="4662" spans="1:4">
      <c r="A4662" s="68">
        <v>37742</v>
      </c>
      <c r="B4662" s="6">
        <v>2.6388888888888899E-2</v>
      </c>
      <c r="C4662" s="5">
        <v>186</v>
      </c>
      <c r="D4662" s="4" t="s">
        <v>220</v>
      </c>
    </row>
    <row r="4663" spans="1:4">
      <c r="A4663" s="68">
        <v>37742</v>
      </c>
      <c r="B4663" s="6">
        <v>2.70833333333333E-2</v>
      </c>
      <c r="C4663" s="5">
        <v>179</v>
      </c>
      <c r="D4663" s="4" t="s">
        <v>220</v>
      </c>
    </row>
    <row r="4664" spans="1:4">
      <c r="A4664" s="68">
        <v>37742</v>
      </c>
      <c r="B4664" s="6">
        <v>2.7777777777777801E-2</v>
      </c>
      <c r="C4664" s="5">
        <v>184</v>
      </c>
      <c r="D4664" s="4" t="s">
        <v>220</v>
      </c>
    </row>
    <row r="4665" spans="1:4">
      <c r="A4665" s="68">
        <v>37742</v>
      </c>
      <c r="B4665" s="6">
        <v>2.8472222222222201E-2</v>
      </c>
      <c r="C4665" s="5">
        <v>183</v>
      </c>
      <c r="D4665" s="4" t="s">
        <v>220</v>
      </c>
    </row>
    <row r="4666" spans="1:4">
      <c r="A4666" s="68">
        <v>37742</v>
      </c>
      <c r="B4666" s="6">
        <v>2.9166666666666698E-2</v>
      </c>
      <c r="C4666" s="5">
        <v>181</v>
      </c>
      <c r="D4666" s="4" t="s">
        <v>220</v>
      </c>
    </row>
    <row r="4667" spans="1:4">
      <c r="A4667" s="68">
        <v>37742</v>
      </c>
      <c r="B4667" s="6">
        <v>2.9861111111111099E-2</v>
      </c>
      <c r="C4667" s="5">
        <v>183</v>
      </c>
      <c r="D4667" s="4" t="s">
        <v>220</v>
      </c>
    </row>
    <row r="4668" spans="1:4">
      <c r="A4668" s="68">
        <v>37742</v>
      </c>
      <c r="B4668" s="6">
        <v>3.05555555555556E-2</v>
      </c>
      <c r="C4668" s="5">
        <v>180</v>
      </c>
      <c r="D4668" s="4" t="s">
        <v>220</v>
      </c>
    </row>
    <row r="4669" spans="1:4">
      <c r="A4669" s="68">
        <v>37742</v>
      </c>
      <c r="B4669" s="6">
        <v>3.125E-2</v>
      </c>
      <c r="C4669" s="5">
        <v>181</v>
      </c>
      <c r="D4669" s="4" t="s">
        <v>220</v>
      </c>
    </row>
    <row r="4670" spans="1:4">
      <c r="A4670" s="68">
        <v>37742</v>
      </c>
      <c r="B4670" s="6">
        <v>3.19444444444444E-2</v>
      </c>
      <c r="C4670" s="5">
        <v>181</v>
      </c>
      <c r="D4670" s="4" t="s">
        <v>220</v>
      </c>
    </row>
    <row r="4671" spans="1:4">
      <c r="A4671" s="68">
        <v>37742</v>
      </c>
      <c r="B4671" s="6">
        <v>3.2638888888888898E-2</v>
      </c>
      <c r="C4671" s="5">
        <v>178</v>
      </c>
      <c r="D4671" s="4" t="s">
        <v>220</v>
      </c>
    </row>
    <row r="4672" spans="1:4">
      <c r="A4672" s="68">
        <v>37742</v>
      </c>
      <c r="B4672" s="6">
        <v>3.3333333333333298E-2</v>
      </c>
      <c r="C4672" s="5">
        <v>180</v>
      </c>
      <c r="D4672" s="4" t="s">
        <v>220</v>
      </c>
    </row>
    <row r="4673" spans="1:4">
      <c r="A4673" s="68">
        <v>37742</v>
      </c>
      <c r="B4673" s="6">
        <v>3.4027777777777803E-2</v>
      </c>
      <c r="C4673" s="5">
        <v>183</v>
      </c>
      <c r="D4673" s="4" t="s">
        <v>220</v>
      </c>
    </row>
    <row r="4674" spans="1:4">
      <c r="A4674" s="68">
        <v>37742</v>
      </c>
      <c r="B4674" s="6">
        <v>3.4722222222222203E-2</v>
      </c>
      <c r="C4674" s="5">
        <v>181</v>
      </c>
      <c r="D4674" s="4" t="s">
        <v>220</v>
      </c>
    </row>
    <row r="4675" spans="1:4">
      <c r="A4675" s="68">
        <v>37742</v>
      </c>
      <c r="B4675" s="6">
        <v>3.54166666666667E-2</v>
      </c>
      <c r="C4675" s="5">
        <v>183</v>
      </c>
      <c r="D4675" s="4" t="s">
        <v>220</v>
      </c>
    </row>
    <row r="4676" spans="1:4">
      <c r="A4676" s="68">
        <v>37742</v>
      </c>
      <c r="B4676" s="6">
        <v>3.6111111111111101E-2</v>
      </c>
      <c r="C4676" s="5">
        <v>181</v>
      </c>
      <c r="D4676" s="4" t="s">
        <v>220</v>
      </c>
    </row>
    <row r="4677" spans="1:4">
      <c r="A4677" s="68">
        <v>37742</v>
      </c>
      <c r="B4677" s="6">
        <v>3.6805555555555598E-2</v>
      </c>
      <c r="C4677" s="5">
        <v>181</v>
      </c>
      <c r="D4677" s="4" t="s">
        <v>220</v>
      </c>
    </row>
    <row r="4678" spans="1:4">
      <c r="A4678" s="68">
        <v>37742</v>
      </c>
      <c r="B4678" s="6">
        <v>3.7499999999999999E-2</v>
      </c>
      <c r="C4678" s="5">
        <v>180</v>
      </c>
      <c r="D4678" s="4" t="s">
        <v>220</v>
      </c>
    </row>
    <row r="4679" spans="1:4">
      <c r="A4679" s="68">
        <v>37742</v>
      </c>
      <c r="B4679" s="6">
        <v>3.8194444444444399E-2</v>
      </c>
      <c r="C4679" s="5">
        <v>183</v>
      </c>
      <c r="D4679" s="4" t="s">
        <v>220</v>
      </c>
    </row>
    <row r="4680" spans="1:4">
      <c r="A4680" s="68">
        <v>37742</v>
      </c>
      <c r="B4680" s="6">
        <v>3.8888888888888903E-2</v>
      </c>
      <c r="C4680" s="5">
        <v>185</v>
      </c>
      <c r="D4680" s="4" t="s">
        <v>220</v>
      </c>
    </row>
    <row r="4681" spans="1:4">
      <c r="A4681" s="68">
        <v>37742</v>
      </c>
      <c r="B4681" s="6">
        <v>3.9583333333333297E-2</v>
      </c>
      <c r="C4681" s="5">
        <v>186</v>
      </c>
      <c r="D4681" s="4" t="s">
        <v>220</v>
      </c>
    </row>
    <row r="4682" spans="1:4">
      <c r="A4682" s="68">
        <v>37742</v>
      </c>
      <c r="B4682" s="6">
        <v>4.0277777777777801E-2</v>
      </c>
      <c r="C4682" s="5">
        <v>183</v>
      </c>
      <c r="D4682" s="4" t="s">
        <v>220</v>
      </c>
    </row>
    <row r="4683" spans="1:4">
      <c r="A4683" s="68">
        <v>37742</v>
      </c>
      <c r="B4683" s="6">
        <v>4.0972222222222202E-2</v>
      </c>
      <c r="C4683" s="5">
        <v>179</v>
      </c>
      <c r="D4683" s="4" t="s">
        <v>220</v>
      </c>
    </row>
    <row r="4684" spans="1:4">
      <c r="A4684" s="68">
        <v>37742</v>
      </c>
      <c r="B4684" s="6">
        <v>4.1666666666666699E-2</v>
      </c>
      <c r="C4684" s="5">
        <v>180</v>
      </c>
      <c r="D4684" s="4" t="s">
        <v>220</v>
      </c>
    </row>
    <row r="4685" spans="1:4">
      <c r="A4685" s="68">
        <v>37742</v>
      </c>
      <c r="B4685" s="6">
        <v>4.2361111111111099E-2</v>
      </c>
      <c r="C4685" s="5">
        <v>177</v>
      </c>
      <c r="D4685" s="4" t="s">
        <v>220</v>
      </c>
    </row>
    <row r="4686" spans="1:4">
      <c r="A4686" s="68">
        <v>37742</v>
      </c>
      <c r="B4686" s="6">
        <v>4.3055555555555597E-2</v>
      </c>
      <c r="C4686" s="5">
        <v>181</v>
      </c>
      <c r="D4686" s="4" t="s">
        <v>220</v>
      </c>
    </row>
    <row r="4687" spans="1:4">
      <c r="A4687" s="68">
        <v>37742</v>
      </c>
      <c r="B4687" s="6">
        <v>4.3749999999999997E-2</v>
      </c>
      <c r="C4687" s="5">
        <v>181</v>
      </c>
      <c r="D4687" s="4" t="s">
        <v>220</v>
      </c>
    </row>
    <row r="4688" spans="1:4">
      <c r="A4688" s="68">
        <v>37742</v>
      </c>
      <c r="B4688" s="6">
        <v>4.4444444444444398E-2</v>
      </c>
      <c r="C4688" s="5">
        <v>181</v>
      </c>
      <c r="D4688" s="4" t="s">
        <v>220</v>
      </c>
    </row>
    <row r="4689" spans="1:4">
      <c r="A4689" s="68">
        <v>37742</v>
      </c>
      <c r="B4689" s="6">
        <v>4.5138888888888902E-2</v>
      </c>
      <c r="C4689" s="5">
        <v>181</v>
      </c>
      <c r="D4689" s="4" t="s">
        <v>220</v>
      </c>
    </row>
    <row r="4690" spans="1:4">
      <c r="A4690" s="68">
        <v>37742</v>
      </c>
      <c r="B4690" s="6">
        <v>4.5833333333333302E-2</v>
      </c>
      <c r="C4690" s="5">
        <v>181</v>
      </c>
      <c r="D4690" s="4" t="s">
        <v>220</v>
      </c>
    </row>
    <row r="4691" spans="1:4">
      <c r="A4691" s="68">
        <v>37742</v>
      </c>
      <c r="B4691" s="6">
        <v>4.65277777777778E-2</v>
      </c>
      <c r="C4691" s="5">
        <v>182</v>
      </c>
      <c r="D4691" s="4" t="s">
        <v>220</v>
      </c>
    </row>
    <row r="4692" spans="1:4">
      <c r="A4692" s="68">
        <v>37742</v>
      </c>
      <c r="B4692" s="6">
        <v>4.72222222222222E-2</v>
      </c>
      <c r="C4692" s="5">
        <v>177</v>
      </c>
      <c r="D4692" s="4" t="s">
        <v>220</v>
      </c>
    </row>
    <row r="4693" spans="1:4">
      <c r="A4693" s="68">
        <v>37742</v>
      </c>
      <c r="B4693" s="6">
        <v>4.7916666666666698E-2</v>
      </c>
      <c r="C4693" s="5">
        <v>181</v>
      </c>
      <c r="D4693" s="4" t="s">
        <v>220</v>
      </c>
    </row>
    <row r="4694" spans="1:4">
      <c r="A4694" s="68">
        <v>37742</v>
      </c>
      <c r="B4694" s="6">
        <v>4.8611111111111098E-2</v>
      </c>
      <c r="C4694" s="5">
        <v>179</v>
      </c>
      <c r="D4694" s="4" t="s">
        <v>220</v>
      </c>
    </row>
    <row r="4695" spans="1:4">
      <c r="A4695" s="68">
        <v>37742</v>
      </c>
      <c r="B4695" s="6">
        <v>4.9305555555555602E-2</v>
      </c>
      <c r="C4695" s="5">
        <v>178</v>
      </c>
      <c r="D4695" s="4" t="s">
        <v>220</v>
      </c>
    </row>
    <row r="4696" spans="1:4">
      <c r="A4696" s="68">
        <v>37742</v>
      </c>
      <c r="B4696" s="6">
        <v>0.05</v>
      </c>
      <c r="C4696" s="5">
        <v>181</v>
      </c>
      <c r="D4696" s="4" t="s">
        <v>220</v>
      </c>
    </row>
    <row r="4697" spans="1:4">
      <c r="A4697" s="68">
        <v>37742</v>
      </c>
      <c r="B4697" s="6">
        <v>5.0694444444444403E-2</v>
      </c>
      <c r="C4697" s="5">
        <v>178</v>
      </c>
      <c r="D4697" s="4" t="s">
        <v>220</v>
      </c>
    </row>
    <row r="4698" spans="1:4">
      <c r="A4698" s="68">
        <v>37742</v>
      </c>
      <c r="B4698" s="6">
        <v>5.1388888888888901E-2</v>
      </c>
      <c r="C4698" s="5">
        <v>178</v>
      </c>
      <c r="D4698" s="4" t="s">
        <v>220</v>
      </c>
    </row>
    <row r="4699" spans="1:4">
      <c r="A4699" s="68">
        <v>37742</v>
      </c>
      <c r="B4699" s="6">
        <v>5.2083333333333301E-2</v>
      </c>
      <c r="C4699" s="5">
        <v>177</v>
      </c>
      <c r="D4699" s="4" t="s">
        <v>220</v>
      </c>
    </row>
    <row r="4700" spans="1:4">
      <c r="A4700" s="68">
        <v>37742</v>
      </c>
      <c r="B4700" s="6">
        <v>5.2777777777777798E-2</v>
      </c>
      <c r="C4700" s="5">
        <v>175</v>
      </c>
      <c r="D4700" s="4" t="s">
        <v>220</v>
      </c>
    </row>
    <row r="4701" spans="1:4">
      <c r="A4701" s="68">
        <v>37742</v>
      </c>
      <c r="B4701" s="6">
        <v>5.3472222222222199E-2</v>
      </c>
      <c r="C4701" s="5">
        <v>176</v>
      </c>
      <c r="D4701" s="4" t="s">
        <v>220</v>
      </c>
    </row>
    <row r="4702" spans="1:4">
      <c r="A4702" s="68">
        <v>37742</v>
      </c>
      <c r="B4702" s="6">
        <v>5.4166666666666703E-2</v>
      </c>
      <c r="C4702" s="5">
        <v>181</v>
      </c>
      <c r="D4702" s="4" t="s">
        <v>220</v>
      </c>
    </row>
    <row r="4703" spans="1:4">
      <c r="A4703" s="68">
        <v>37742</v>
      </c>
      <c r="B4703" s="6">
        <v>5.4861111111111097E-2</v>
      </c>
      <c r="C4703" s="5">
        <v>179</v>
      </c>
      <c r="D4703" s="4" t="s">
        <v>220</v>
      </c>
    </row>
    <row r="4704" spans="1:4">
      <c r="A4704" s="68">
        <v>37742</v>
      </c>
      <c r="B4704" s="6">
        <v>5.5555555555555601E-2</v>
      </c>
      <c r="C4704" s="5">
        <v>181</v>
      </c>
      <c r="D4704" s="4" t="s">
        <v>220</v>
      </c>
    </row>
    <row r="4705" spans="1:4">
      <c r="A4705" s="68">
        <v>37742</v>
      </c>
      <c r="B4705" s="6">
        <v>5.6250000000000001E-2</v>
      </c>
      <c r="C4705" s="5">
        <v>179</v>
      </c>
      <c r="D4705" s="4" t="s">
        <v>220</v>
      </c>
    </row>
    <row r="4706" spans="1:4">
      <c r="A4706" s="68">
        <v>37742</v>
      </c>
      <c r="B4706" s="6">
        <v>5.6944444444444402E-2</v>
      </c>
      <c r="C4706" s="5">
        <v>177</v>
      </c>
      <c r="D4706" s="4" t="s">
        <v>220</v>
      </c>
    </row>
    <row r="4707" spans="1:4">
      <c r="A4707" s="68">
        <v>37742</v>
      </c>
      <c r="B4707" s="6">
        <v>5.7638888888888899E-2</v>
      </c>
      <c r="C4707" s="5">
        <v>181</v>
      </c>
      <c r="D4707" s="4" t="s">
        <v>220</v>
      </c>
    </row>
    <row r="4708" spans="1:4">
      <c r="A4708" s="68">
        <v>37742</v>
      </c>
      <c r="B4708" s="6">
        <v>5.83333333333333E-2</v>
      </c>
      <c r="C4708" s="5">
        <v>181</v>
      </c>
      <c r="D4708" s="4" t="s">
        <v>220</v>
      </c>
    </row>
    <row r="4709" spans="1:4">
      <c r="A4709" s="68">
        <v>37742</v>
      </c>
      <c r="B4709" s="6">
        <v>5.9027777777777797E-2</v>
      </c>
      <c r="C4709" s="5">
        <v>179</v>
      </c>
      <c r="D4709" s="4" t="s">
        <v>220</v>
      </c>
    </row>
    <row r="4710" spans="1:4">
      <c r="A4710" s="68">
        <v>37742</v>
      </c>
      <c r="B4710" s="6">
        <v>5.9722222222222197E-2</v>
      </c>
      <c r="C4710" s="5">
        <v>181</v>
      </c>
      <c r="D4710" s="4" t="s">
        <v>220</v>
      </c>
    </row>
    <row r="4711" spans="1:4">
      <c r="A4711" s="68">
        <v>37742</v>
      </c>
      <c r="B4711" s="6">
        <v>6.0416666666666702E-2</v>
      </c>
      <c r="C4711" s="5">
        <v>183</v>
      </c>
      <c r="D4711" s="4" t="s">
        <v>220</v>
      </c>
    </row>
    <row r="4712" spans="1:4">
      <c r="A4712" s="68">
        <v>37742</v>
      </c>
      <c r="B4712" s="6">
        <v>6.1111111111111102E-2</v>
      </c>
      <c r="C4712" s="5">
        <v>188</v>
      </c>
      <c r="D4712" s="4" t="s">
        <v>220</v>
      </c>
    </row>
    <row r="4713" spans="1:4">
      <c r="A4713" s="68">
        <v>37742</v>
      </c>
      <c r="B4713" s="6">
        <v>6.18055555555556E-2</v>
      </c>
      <c r="C4713" s="5">
        <v>186</v>
      </c>
      <c r="D4713" s="4" t="s">
        <v>220</v>
      </c>
    </row>
    <row r="4714" spans="1:4">
      <c r="A4714" s="68">
        <v>37742</v>
      </c>
      <c r="B4714" s="6">
        <v>6.25E-2</v>
      </c>
      <c r="C4714" s="5">
        <v>186</v>
      </c>
      <c r="D4714" s="4" t="s">
        <v>220</v>
      </c>
    </row>
    <row r="4715" spans="1:4">
      <c r="A4715" s="68">
        <v>37742</v>
      </c>
      <c r="B4715" s="6">
        <v>6.31944444444444E-2</v>
      </c>
      <c r="C4715" s="5">
        <v>195</v>
      </c>
      <c r="D4715" s="4" t="s">
        <v>220</v>
      </c>
    </row>
    <row r="4716" spans="1:4">
      <c r="A4716" s="68">
        <v>37742</v>
      </c>
      <c r="B4716" s="6">
        <v>0</v>
      </c>
      <c r="C4716" s="5">
        <v>103</v>
      </c>
      <c r="D4716" s="4" t="s">
        <v>221</v>
      </c>
    </row>
    <row r="4717" spans="1:4">
      <c r="A4717" s="68">
        <v>37742</v>
      </c>
      <c r="B4717" s="6">
        <v>6.9444444444444447E-4</v>
      </c>
      <c r="C4717" s="5">
        <v>103</v>
      </c>
    </row>
    <row r="4718" spans="1:4">
      <c r="A4718" s="68">
        <v>37742</v>
      </c>
      <c r="B4718" s="6">
        <v>1.38888888888889E-3</v>
      </c>
      <c r="C4718" s="5">
        <v>163</v>
      </c>
    </row>
    <row r="4719" spans="1:4">
      <c r="A4719" s="68">
        <v>37742</v>
      </c>
      <c r="B4719" s="6">
        <v>2.0833333333333298E-3</v>
      </c>
      <c r="C4719" s="5">
        <v>161</v>
      </c>
    </row>
    <row r="4720" spans="1:4">
      <c r="A4720" s="68">
        <v>37742</v>
      </c>
      <c r="B4720" s="6">
        <v>2.7777777777777801E-3</v>
      </c>
      <c r="C4720" s="5">
        <v>162</v>
      </c>
    </row>
    <row r="4721" spans="1:3">
      <c r="A4721" s="68">
        <v>37742</v>
      </c>
      <c r="B4721" s="6">
        <v>3.4722222222222199E-3</v>
      </c>
      <c r="C4721" s="5">
        <v>165</v>
      </c>
    </row>
    <row r="4722" spans="1:3">
      <c r="A4722" s="68">
        <v>37742</v>
      </c>
      <c r="B4722" s="6">
        <v>4.1666666666666701E-3</v>
      </c>
      <c r="C4722" s="5">
        <v>166</v>
      </c>
    </row>
    <row r="4723" spans="1:3">
      <c r="A4723" s="68">
        <v>37742</v>
      </c>
      <c r="B4723" s="6">
        <v>4.8611111111111103E-3</v>
      </c>
      <c r="C4723" s="5">
        <v>162</v>
      </c>
    </row>
    <row r="4724" spans="1:3">
      <c r="A4724" s="68">
        <v>37742</v>
      </c>
      <c r="B4724" s="6">
        <v>5.5555555555555601E-3</v>
      </c>
      <c r="C4724" s="5">
        <v>168</v>
      </c>
    </row>
    <row r="4725" spans="1:3">
      <c r="A4725" s="68">
        <v>37742</v>
      </c>
      <c r="B4725" s="6">
        <v>6.2500000000000003E-3</v>
      </c>
      <c r="C4725" s="5">
        <v>167</v>
      </c>
    </row>
    <row r="4726" spans="1:3">
      <c r="A4726" s="68">
        <v>37742</v>
      </c>
      <c r="B4726" s="6">
        <v>6.9444444444444397E-3</v>
      </c>
      <c r="C4726" s="5">
        <v>168</v>
      </c>
    </row>
    <row r="4727" spans="1:3">
      <c r="A4727" s="68">
        <v>37742</v>
      </c>
      <c r="B4727" s="6">
        <v>7.6388888888888904E-3</v>
      </c>
      <c r="C4727" s="5">
        <v>166</v>
      </c>
    </row>
    <row r="4728" spans="1:3">
      <c r="A4728" s="68">
        <v>37742</v>
      </c>
      <c r="B4728" s="6">
        <v>8.3333333333333297E-3</v>
      </c>
      <c r="C4728" s="5">
        <v>170</v>
      </c>
    </row>
    <row r="4729" spans="1:3">
      <c r="A4729" s="68">
        <v>37742</v>
      </c>
      <c r="B4729" s="6">
        <v>9.0277777777777804E-3</v>
      </c>
      <c r="C4729" s="5">
        <v>170</v>
      </c>
    </row>
    <row r="4730" spans="1:3">
      <c r="A4730" s="68">
        <v>37742</v>
      </c>
      <c r="B4730" s="6">
        <v>9.7222222222222206E-3</v>
      </c>
      <c r="C4730" s="5">
        <v>167</v>
      </c>
    </row>
    <row r="4731" spans="1:3">
      <c r="A4731" s="68">
        <v>37742</v>
      </c>
      <c r="B4731" s="6">
        <v>1.0416666666666701E-2</v>
      </c>
      <c r="C4731" s="5">
        <v>164</v>
      </c>
    </row>
    <row r="4732" spans="1:3">
      <c r="A4732" s="68">
        <v>37742</v>
      </c>
      <c r="B4732" s="6">
        <v>1.1111111111111099E-2</v>
      </c>
      <c r="C4732" s="5">
        <v>165</v>
      </c>
    </row>
    <row r="4733" spans="1:3">
      <c r="A4733" s="68">
        <v>37742</v>
      </c>
      <c r="B4733" s="6">
        <v>1.18055555555556E-2</v>
      </c>
      <c r="C4733" s="5">
        <v>164</v>
      </c>
    </row>
    <row r="4734" spans="1:3">
      <c r="A4734" s="68">
        <v>37742</v>
      </c>
      <c r="B4734" s="6">
        <v>1.2500000000000001E-2</v>
      </c>
      <c r="C4734" s="5">
        <v>164</v>
      </c>
    </row>
    <row r="4735" spans="1:3">
      <c r="A4735" s="68">
        <v>37742</v>
      </c>
      <c r="B4735" s="6">
        <v>1.3194444444444399E-2</v>
      </c>
      <c r="C4735" s="5">
        <v>165</v>
      </c>
    </row>
    <row r="4736" spans="1:3">
      <c r="A4736" s="68">
        <v>37742</v>
      </c>
      <c r="B4736" s="6">
        <v>1.38888888888889E-2</v>
      </c>
      <c r="C4736" s="5">
        <v>168</v>
      </c>
    </row>
    <row r="4737" spans="1:3">
      <c r="A4737" s="68">
        <v>37742</v>
      </c>
      <c r="B4737" s="6">
        <v>1.4583333333333301E-2</v>
      </c>
      <c r="C4737" s="5">
        <v>168</v>
      </c>
    </row>
    <row r="4738" spans="1:3">
      <c r="A4738" s="68">
        <v>37742</v>
      </c>
      <c r="B4738" s="6">
        <v>1.52777777777778E-2</v>
      </c>
      <c r="C4738" s="5">
        <v>170</v>
      </c>
    </row>
    <row r="4739" spans="1:3">
      <c r="A4739" s="68">
        <v>37742</v>
      </c>
      <c r="B4739" s="6">
        <v>1.59722222222222E-2</v>
      </c>
      <c r="C4739" s="5">
        <v>168</v>
      </c>
    </row>
    <row r="4740" spans="1:3">
      <c r="A4740" s="68">
        <v>37742</v>
      </c>
      <c r="B4740" s="6">
        <v>1.6666666666666701E-2</v>
      </c>
      <c r="C4740" s="5">
        <v>165</v>
      </c>
    </row>
    <row r="4741" spans="1:3">
      <c r="A4741" s="68">
        <v>37742</v>
      </c>
      <c r="B4741" s="6">
        <v>1.7361111111111101E-2</v>
      </c>
      <c r="C4741" s="5">
        <v>165</v>
      </c>
    </row>
    <row r="4742" spans="1:3">
      <c r="A4742" s="68">
        <v>37742</v>
      </c>
      <c r="B4742" s="6">
        <v>1.8055555555555599E-2</v>
      </c>
      <c r="C4742" s="5">
        <v>170</v>
      </c>
    </row>
    <row r="4743" spans="1:3">
      <c r="A4743" s="68">
        <v>37742</v>
      </c>
      <c r="B4743" s="6">
        <v>1.8749999999999999E-2</v>
      </c>
      <c r="C4743" s="5">
        <v>171</v>
      </c>
    </row>
    <row r="4744" spans="1:3">
      <c r="A4744" s="68">
        <v>37742</v>
      </c>
      <c r="B4744" s="6">
        <v>1.94444444444444E-2</v>
      </c>
      <c r="C4744" s="5">
        <v>170</v>
      </c>
    </row>
    <row r="4745" spans="1:3">
      <c r="A4745" s="68">
        <v>37742</v>
      </c>
      <c r="B4745" s="6">
        <v>2.0138888888888901E-2</v>
      </c>
      <c r="C4745" s="5">
        <v>170</v>
      </c>
    </row>
    <row r="4746" spans="1:3">
      <c r="A4746" s="68">
        <v>37742</v>
      </c>
      <c r="B4746" s="6">
        <v>2.0833333333333301E-2</v>
      </c>
      <c r="C4746" s="5">
        <v>167</v>
      </c>
    </row>
    <row r="4747" spans="1:3">
      <c r="A4747" s="68">
        <v>37742</v>
      </c>
      <c r="B4747" s="6">
        <v>2.1527777777777798E-2</v>
      </c>
      <c r="C4747" s="5">
        <v>170</v>
      </c>
    </row>
    <row r="4748" spans="1:3">
      <c r="A4748" s="68">
        <v>37742</v>
      </c>
      <c r="B4748" s="6">
        <v>2.2222222222222199E-2</v>
      </c>
      <c r="C4748" s="5">
        <v>169</v>
      </c>
    </row>
    <row r="4749" spans="1:3">
      <c r="A4749" s="68">
        <v>37742</v>
      </c>
      <c r="B4749" s="6">
        <v>2.29166666666667E-2</v>
      </c>
      <c r="C4749" s="5">
        <v>170</v>
      </c>
    </row>
    <row r="4750" spans="1:3">
      <c r="A4750" s="68">
        <v>37742</v>
      </c>
      <c r="B4750" s="6">
        <v>2.36111111111111E-2</v>
      </c>
      <c r="C4750" s="5">
        <v>170</v>
      </c>
    </row>
    <row r="4751" spans="1:3">
      <c r="A4751" s="68">
        <v>37742</v>
      </c>
      <c r="B4751" s="6">
        <v>2.4305555555555601E-2</v>
      </c>
      <c r="C4751" s="5">
        <v>167</v>
      </c>
    </row>
    <row r="4752" spans="1:3">
      <c r="A4752" s="68">
        <v>37742</v>
      </c>
      <c r="B4752" s="6">
        <v>2.5000000000000001E-2</v>
      </c>
      <c r="C4752" s="5">
        <v>167</v>
      </c>
    </row>
    <row r="4753" spans="1:3">
      <c r="A4753" s="68">
        <v>37742</v>
      </c>
      <c r="B4753" s="6">
        <v>2.5694444444444402E-2</v>
      </c>
      <c r="C4753" s="5">
        <v>171</v>
      </c>
    </row>
    <row r="4754" spans="1:3">
      <c r="A4754" s="68">
        <v>37742</v>
      </c>
      <c r="B4754" s="6">
        <v>2.6388888888888899E-2</v>
      </c>
      <c r="C4754" s="5">
        <v>172</v>
      </c>
    </row>
    <row r="4755" spans="1:3">
      <c r="A4755" s="68">
        <v>37742</v>
      </c>
      <c r="B4755" s="6">
        <v>2.70833333333333E-2</v>
      </c>
      <c r="C4755" s="5">
        <v>171</v>
      </c>
    </row>
    <row r="4756" spans="1:3">
      <c r="A4756" s="68">
        <v>37742</v>
      </c>
      <c r="B4756" s="6">
        <v>2.7777777777777801E-2</v>
      </c>
      <c r="C4756" s="5">
        <v>169</v>
      </c>
    </row>
    <row r="4757" spans="1:3">
      <c r="A4757" s="68">
        <v>37742</v>
      </c>
      <c r="B4757" s="6">
        <v>2.8472222222222201E-2</v>
      </c>
      <c r="C4757" s="5">
        <v>170</v>
      </c>
    </row>
    <row r="4758" spans="1:3">
      <c r="A4758" s="68">
        <v>37742</v>
      </c>
      <c r="B4758" s="6">
        <v>2.9166666666666698E-2</v>
      </c>
      <c r="C4758" s="5">
        <v>169</v>
      </c>
    </row>
    <row r="4759" spans="1:3">
      <c r="A4759" s="68">
        <v>37742</v>
      </c>
      <c r="B4759" s="6">
        <v>2.9861111111111099E-2</v>
      </c>
      <c r="C4759" s="5">
        <v>168</v>
      </c>
    </row>
    <row r="4760" spans="1:3">
      <c r="A4760" s="68">
        <v>37742</v>
      </c>
      <c r="B4760" s="6">
        <v>3.05555555555556E-2</v>
      </c>
      <c r="C4760" s="5">
        <v>171</v>
      </c>
    </row>
    <row r="4761" spans="1:3">
      <c r="A4761" s="68">
        <v>37742</v>
      </c>
      <c r="B4761" s="6">
        <v>3.125E-2</v>
      </c>
      <c r="C4761" s="5">
        <v>169</v>
      </c>
    </row>
    <row r="4762" spans="1:3">
      <c r="A4762" s="68">
        <v>37742</v>
      </c>
      <c r="B4762" s="6">
        <v>3.19444444444444E-2</v>
      </c>
      <c r="C4762" s="5">
        <v>168</v>
      </c>
    </row>
    <row r="4763" spans="1:3">
      <c r="A4763" s="68">
        <v>37742</v>
      </c>
      <c r="B4763" s="6">
        <v>3.2638888888888898E-2</v>
      </c>
      <c r="C4763" s="5">
        <v>168</v>
      </c>
    </row>
    <row r="4764" spans="1:3">
      <c r="A4764" s="68">
        <v>37742</v>
      </c>
      <c r="B4764" s="6">
        <v>3.3333333333333298E-2</v>
      </c>
      <c r="C4764" s="5">
        <v>169</v>
      </c>
    </row>
    <row r="4765" spans="1:3">
      <c r="A4765" s="68">
        <v>37742</v>
      </c>
      <c r="B4765" s="6">
        <v>3.4027777777777803E-2</v>
      </c>
      <c r="C4765" s="5">
        <v>171</v>
      </c>
    </row>
    <row r="4766" spans="1:3">
      <c r="A4766" s="68">
        <v>37742</v>
      </c>
      <c r="B4766" s="6">
        <v>3.4722222222222203E-2</v>
      </c>
      <c r="C4766" s="5">
        <v>169</v>
      </c>
    </row>
    <row r="4767" spans="1:3">
      <c r="A4767" s="68">
        <v>37742</v>
      </c>
      <c r="B4767" s="6">
        <v>3.54166666666667E-2</v>
      </c>
      <c r="C4767" s="5">
        <v>168</v>
      </c>
    </row>
    <row r="4768" spans="1:3">
      <c r="A4768" s="68">
        <v>37742</v>
      </c>
      <c r="B4768" s="6">
        <v>3.6111111111111101E-2</v>
      </c>
      <c r="C4768" s="5">
        <v>169</v>
      </c>
    </row>
    <row r="4769" spans="1:3">
      <c r="A4769" s="68">
        <v>37742</v>
      </c>
      <c r="B4769" s="6">
        <v>3.6805555555555598E-2</v>
      </c>
      <c r="C4769" s="5">
        <v>170</v>
      </c>
    </row>
    <row r="4770" spans="1:3">
      <c r="A4770" s="68">
        <v>37742</v>
      </c>
      <c r="B4770" s="6">
        <v>3.7499999999999999E-2</v>
      </c>
      <c r="C4770" s="5">
        <v>170</v>
      </c>
    </row>
    <row r="4771" spans="1:3">
      <c r="A4771" s="68">
        <v>37742</v>
      </c>
      <c r="B4771" s="6">
        <v>3.8194444444444399E-2</v>
      </c>
      <c r="C4771" s="5">
        <v>169</v>
      </c>
    </row>
    <row r="4772" spans="1:3">
      <c r="A4772" s="68">
        <v>37742</v>
      </c>
      <c r="B4772" s="6">
        <v>3.8888888888888903E-2</v>
      </c>
      <c r="C4772" s="5">
        <v>168</v>
      </c>
    </row>
    <row r="4773" spans="1:3">
      <c r="A4773" s="68">
        <v>37742</v>
      </c>
      <c r="B4773" s="6">
        <v>3.9583333333333297E-2</v>
      </c>
      <c r="C4773" s="5">
        <v>169</v>
      </c>
    </row>
    <row r="4774" spans="1:3">
      <c r="A4774" s="68">
        <v>37742</v>
      </c>
      <c r="B4774" s="6">
        <v>4.0277777777777801E-2</v>
      </c>
      <c r="C4774" s="5">
        <v>168</v>
      </c>
    </row>
    <row r="4775" spans="1:3">
      <c r="A4775" s="68">
        <v>37742</v>
      </c>
      <c r="B4775" s="6">
        <v>4.0972222222222202E-2</v>
      </c>
      <c r="C4775" s="5">
        <v>169</v>
      </c>
    </row>
    <row r="4776" spans="1:3">
      <c r="A4776" s="68">
        <v>37742</v>
      </c>
      <c r="B4776" s="6">
        <v>4.1666666666666699E-2</v>
      </c>
      <c r="C4776" s="5">
        <v>166</v>
      </c>
    </row>
    <row r="4777" spans="1:3">
      <c r="A4777" s="68">
        <v>37742</v>
      </c>
      <c r="B4777" s="6">
        <v>4.2361111111111099E-2</v>
      </c>
      <c r="C4777" s="5">
        <v>169</v>
      </c>
    </row>
    <row r="4778" spans="1:3">
      <c r="A4778" s="68">
        <v>37742</v>
      </c>
      <c r="B4778" s="6">
        <v>4.3055555555555597E-2</v>
      </c>
      <c r="C4778" s="5">
        <v>167</v>
      </c>
    </row>
    <row r="4779" spans="1:3">
      <c r="A4779" s="68">
        <v>37742</v>
      </c>
      <c r="B4779" s="6">
        <v>4.3749999999999997E-2</v>
      </c>
      <c r="C4779" s="5">
        <v>168</v>
      </c>
    </row>
    <row r="4780" spans="1:3">
      <c r="A4780" s="68">
        <v>37742</v>
      </c>
      <c r="B4780" s="6">
        <v>4.4444444444444398E-2</v>
      </c>
      <c r="C4780" s="5">
        <v>168</v>
      </c>
    </row>
    <row r="4781" spans="1:3">
      <c r="A4781" s="68">
        <v>37742</v>
      </c>
      <c r="B4781" s="6">
        <v>4.5138888888888902E-2</v>
      </c>
      <c r="C4781" s="5">
        <v>170</v>
      </c>
    </row>
    <row r="4782" spans="1:3">
      <c r="A4782" s="68">
        <v>37742</v>
      </c>
      <c r="B4782" s="6">
        <v>4.5833333333333302E-2</v>
      </c>
      <c r="C4782" s="5">
        <v>168</v>
      </c>
    </row>
    <row r="4783" spans="1:3">
      <c r="A4783" s="68">
        <v>37742</v>
      </c>
      <c r="B4783" s="6">
        <v>4.65277777777778E-2</v>
      </c>
      <c r="C4783" s="5">
        <v>169</v>
      </c>
    </row>
    <row r="4784" spans="1:3">
      <c r="A4784" s="68">
        <v>37742</v>
      </c>
      <c r="B4784" s="6">
        <v>4.72222222222222E-2</v>
      </c>
      <c r="C4784" s="5">
        <v>169</v>
      </c>
    </row>
    <row r="4785" spans="1:3">
      <c r="A4785" s="68">
        <v>37742</v>
      </c>
      <c r="B4785" s="6">
        <v>4.7916666666666698E-2</v>
      </c>
      <c r="C4785" s="5">
        <v>169</v>
      </c>
    </row>
    <row r="4786" spans="1:3">
      <c r="A4786" s="68">
        <v>37742</v>
      </c>
      <c r="B4786" s="6">
        <v>4.8611111111111098E-2</v>
      </c>
      <c r="C4786" s="5">
        <v>167</v>
      </c>
    </row>
    <row r="4787" spans="1:3">
      <c r="A4787" s="68">
        <v>37742</v>
      </c>
      <c r="B4787" s="6">
        <v>4.9305555555555602E-2</v>
      </c>
      <c r="C4787" s="5">
        <v>171</v>
      </c>
    </row>
    <row r="4788" spans="1:3">
      <c r="A4788" s="68">
        <v>37742</v>
      </c>
      <c r="B4788" s="6">
        <v>0.05</v>
      </c>
      <c r="C4788" s="5">
        <v>168</v>
      </c>
    </row>
    <row r="4789" spans="1:3">
      <c r="A4789" s="68">
        <v>37742</v>
      </c>
      <c r="B4789" s="6">
        <v>5.0694444444444403E-2</v>
      </c>
      <c r="C4789" s="5">
        <v>170</v>
      </c>
    </row>
    <row r="4790" spans="1:3">
      <c r="A4790" s="68">
        <v>37742</v>
      </c>
      <c r="B4790" s="6">
        <v>5.1388888888888901E-2</v>
      </c>
      <c r="C4790" s="5">
        <v>169</v>
      </c>
    </row>
    <row r="4791" spans="1:3">
      <c r="A4791" s="68">
        <v>37742</v>
      </c>
      <c r="B4791" s="6">
        <v>5.2083333333333301E-2</v>
      </c>
      <c r="C4791" s="5">
        <v>170</v>
      </c>
    </row>
    <row r="4792" spans="1:3">
      <c r="A4792" s="68">
        <v>37742</v>
      </c>
      <c r="B4792" s="6">
        <v>5.2777777777777798E-2</v>
      </c>
      <c r="C4792" s="5">
        <v>169</v>
      </c>
    </row>
    <row r="4793" spans="1:3">
      <c r="A4793" s="68">
        <v>37742</v>
      </c>
      <c r="B4793" s="6">
        <v>5.3472222222222199E-2</v>
      </c>
      <c r="C4793" s="5">
        <v>173</v>
      </c>
    </row>
    <row r="4794" spans="1:3">
      <c r="A4794" s="68">
        <v>37742</v>
      </c>
      <c r="B4794" s="6">
        <v>5.4166666666666703E-2</v>
      </c>
      <c r="C4794" s="5">
        <v>172</v>
      </c>
    </row>
    <row r="4795" spans="1:3">
      <c r="A4795" s="68">
        <v>37742</v>
      </c>
      <c r="B4795" s="6">
        <v>5.4861111111111097E-2</v>
      </c>
      <c r="C4795" s="5">
        <v>167</v>
      </c>
    </row>
    <row r="4796" spans="1:3">
      <c r="A4796" s="68">
        <v>37742</v>
      </c>
      <c r="B4796" s="6">
        <v>5.5555555555555601E-2</v>
      </c>
      <c r="C4796" s="5">
        <v>169</v>
      </c>
    </row>
    <row r="4797" spans="1:3">
      <c r="A4797" s="68">
        <v>37742</v>
      </c>
      <c r="B4797" s="6">
        <v>5.6250000000000001E-2</v>
      </c>
      <c r="C4797" s="5">
        <v>170</v>
      </c>
    </row>
    <row r="4798" spans="1:3">
      <c r="A4798" s="68">
        <v>37742</v>
      </c>
      <c r="B4798" s="6">
        <v>5.6944444444444402E-2</v>
      </c>
      <c r="C4798" s="5">
        <v>170</v>
      </c>
    </row>
    <row r="4799" spans="1:3">
      <c r="A4799" s="68">
        <v>37742</v>
      </c>
      <c r="B4799" s="6">
        <v>5.7638888888888899E-2</v>
      </c>
      <c r="C4799" s="5">
        <v>170</v>
      </c>
    </row>
    <row r="4800" spans="1:3">
      <c r="A4800" s="68">
        <v>37742</v>
      </c>
      <c r="B4800" s="6">
        <v>5.83333333333333E-2</v>
      </c>
      <c r="C4800" s="5">
        <v>171</v>
      </c>
    </row>
    <row r="4801" spans="1:3">
      <c r="A4801" s="68">
        <v>37742</v>
      </c>
      <c r="B4801" s="6">
        <v>5.9027777777777797E-2</v>
      </c>
      <c r="C4801" s="5">
        <v>172</v>
      </c>
    </row>
    <row r="4802" spans="1:3">
      <c r="A4802" s="68">
        <v>37742</v>
      </c>
      <c r="B4802" s="6">
        <v>5.9722222222222197E-2</v>
      </c>
      <c r="C4802" s="5">
        <v>170</v>
      </c>
    </row>
    <row r="4803" spans="1:3">
      <c r="A4803" s="68">
        <v>37742</v>
      </c>
      <c r="B4803" s="6">
        <v>6.0416666666666702E-2</v>
      </c>
      <c r="C4803" s="5">
        <v>166</v>
      </c>
    </row>
    <row r="4804" spans="1:3">
      <c r="A4804" s="68">
        <v>37742</v>
      </c>
      <c r="B4804" s="6">
        <v>6.1111111111111102E-2</v>
      </c>
      <c r="C4804" s="5">
        <v>173</v>
      </c>
    </row>
    <row r="4805" spans="1:3">
      <c r="A4805" s="68">
        <v>37742</v>
      </c>
      <c r="B4805" s="6">
        <v>6.18055555555556E-2</v>
      </c>
      <c r="C4805" s="5">
        <v>172</v>
      </c>
    </row>
    <row r="4806" spans="1:3">
      <c r="A4806" s="68">
        <v>37742</v>
      </c>
      <c r="B4806" s="6">
        <v>6.25E-2</v>
      </c>
      <c r="C4806" s="5">
        <v>170</v>
      </c>
    </row>
    <row r="4807" spans="1:3">
      <c r="A4807" s="68">
        <v>37742</v>
      </c>
      <c r="B4807" s="6">
        <v>6.31944444444444E-2</v>
      </c>
      <c r="C4807" s="5">
        <v>170</v>
      </c>
    </row>
    <row r="4808" spans="1:3">
      <c r="A4808" s="68">
        <v>37742</v>
      </c>
      <c r="B4808" s="6">
        <v>6.3888888888888801E-2</v>
      </c>
      <c r="C4808" s="5">
        <v>174</v>
      </c>
    </row>
    <row r="4809" spans="1:3">
      <c r="A4809" s="68">
        <v>37742</v>
      </c>
      <c r="B4809" s="6">
        <v>6.4583333333333201E-2</v>
      </c>
      <c r="C4809" s="5">
        <v>172</v>
      </c>
    </row>
    <row r="4810" spans="1:3">
      <c r="A4810" s="68">
        <v>37742</v>
      </c>
      <c r="B4810" s="6">
        <v>6.5277777777777601E-2</v>
      </c>
      <c r="C4810" s="5">
        <v>171</v>
      </c>
    </row>
    <row r="4811" spans="1:3">
      <c r="A4811" s="68">
        <v>37742</v>
      </c>
      <c r="B4811" s="6">
        <v>6.5972222222222002E-2</v>
      </c>
      <c r="C4811" s="5">
        <v>172</v>
      </c>
    </row>
    <row r="4812" spans="1:3">
      <c r="A4812" s="68">
        <v>37742</v>
      </c>
      <c r="B4812" s="6">
        <v>6.6666666666666402E-2</v>
      </c>
      <c r="C4812" s="5">
        <v>169</v>
      </c>
    </row>
    <row r="4813" spans="1:3">
      <c r="A4813" s="68">
        <v>37742</v>
      </c>
      <c r="B4813" s="6">
        <v>6.7361111111110802E-2</v>
      </c>
      <c r="C4813" s="5">
        <v>170</v>
      </c>
    </row>
    <row r="4814" spans="1:3">
      <c r="A4814" s="68">
        <v>37742</v>
      </c>
      <c r="B4814" s="6">
        <v>6.8055555555555203E-2</v>
      </c>
      <c r="C4814" s="5">
        <v>169</v>
      </c>
    </row>
    <row r="4815" spans="1:3">
      <c r="A4815" s="68">
        <v>37742</v>
      </c>
      <c r="B4815" s="6">
        <v>6.8749999999999603E-2</v>
      </c>
      <c r="C4815" s="5">
        <v>169</v>
      </c>
    </row>
    <row r="4816" spans="1:3">
      <c r="A4816" s="68">
        <v>37742</v>
      </c>
      <c r="B4816" s="6">
        <v>6.9444444444444003E-2</v>
      </c>
      <c r="C4816" s="5">
        <v>169</v>
      </c>
    </row>
    <row r="4817" spans="1:3">
      <c r="A4817" s="68">
        <v>37742</v>
      </c>
      <c r="B4817" s="6">
        <v>7.0138888888888404E-2</v>
      </c>
      <c r="C4817" s="5">
        <v>170</v>
      </c>
    </row>
    <row r="4818" spans="1:3">
      <c r="A4818" s="68">
        <v>37742</v>
      </c>
      <c r="B4818" s="6">
        <v>7.0833333333332804E-2</v>
      </c>
      <c r="C4818" s="5">
        <v>170</v>
      </c>
    </row>
    <row r="4819" spans="1:3">
      <c r="A4819" s="68">
        <v>37742</v>
      </c>
      <c r="B4819" s="6">
        <v>7.1527777777777204E-2</v>
      </c>
      <c r="C4819" s="5">
        <v>169</v>
      </c>
    </row>
    <row r="4820" spans="1:3">
      <c r="A4820" s="68">
        <v>37742</v>
      </c>
      <c r="B4820" s="6">
        <v>7.2222222222221605E-2</v>
      </c>
      <c r="C4820" s="5">
        <v>169</v>
      </c>
    </row>
    <row r="4821" spans="1:3">
      <c r="A4821" s="68">
        <v>37742</v>
      </c>
      <c r="B4821" s="6">
        <v>7.2916666666666005E-2</v>
      </c>
      <c r="C4821" s="5">
        <v>167</v>
      </c>
    </row>
    <row r="4822" spans="1:3">
      <c r="A4822" s="68">
        <v>37742</v>
      </c>
      <c r="B4822" s="6">
        <v>7.3611111111110406E-2</v>
      </c>
      <c r="C4822" s="5">
        <v>167</v>
      </c>
    </row>
    <row r="4823" spans="1:3">
      <c r="A4823" s="68">
        <v>37742</v>
      </c>
      <c r="B4823" s="6">
        <v>7.4305555555554806E-2</v>
      </c>
      <c r="C4823" s="5">
        <v>167</v>
      </c>
    </row>
    <row r="4824" spans="1:3">
      <c r="A4824" s="68">
        <v>37742</v>
      </c>
      <c r="B4824" s="6">
        <v>7.4999999999999206E-2</v>
      </c>
      <c r="C4824" s="5">
        <v>168</v>
      </c>
    </row>
    <row r="4825" spans="1:3">
      <c r="A4825" s="68">
        <v>37742</v>
      </c>
      <c r="B4825" s="6">
        <v>7.5694444444443607E-2</v>
      </c>
      <c r="C4825" s="5">
        <v>168</v>
      </c>
    </row>
    <row r="4826" spans="1:3">
      <c r="A4826" s="68">
        <v>37742</v>
      </c>
      <c r="B4826" s="6">
        <v>7.6388888888888007E-2</v>
      </c>
      <c r="C4826" s="5">
        <v>170</v>
      </c>
    </row>
    <row r="4827" spans="1:3">
      <c r="A4827" s="68">
        <v>37742</v>
      </c>
      <c r="B4827" s="6">
        <v>7.7083333333332393E-2</v>
      </c>
      <c r="C4827" s="5">
        <v>170</v>
      </c>
    </row>
    <row r="4828" spans="1:3">
      <c r="A4828" s="68">
        <v>37742</v>
      </c>
      <c r="B4828" s="6">
        <v>7.7777777777776794E-2</v>
      </c>
      <c r="C4828" s="5">
        <v>168</v>
      </c>
    </row>
    <row r="4829" spans="1:3">
      <c r="A4829" s="68">
        <v>37834</v>
      </c>
      <c r="B4829" s="6">
        <v>0</v>
      </c>
      <c r="C4829" s="5">
        <v>74</v>
      </c>
    </row>
    <row r="4830" spans="1:3">
      <c r="A4830" s="68">
        <v>37834</v>
      </c>
      <c r="B4830" s="6">
        <v>6.9444444444444447E-4</v>
      </c>
      <c r="C4830" s="5">
        <v>162</v>
      </c>
    </row>
    <row r="4831" spans="1:3">
      <c r="A4831" s="68">
        <v>37834</v>
      </c>
      <c r="B4831" s="6">
        <v>1.38888888888889E-3</v>
      </c>
      <c r="C4831" s="5">
        <v>169</v>
      </c>
    </row>
    <row r="4832" spans="1:3">
      <c r="A4832" s="68">
        <v>37834</v>
      </c>
      <c r="B4832" s="6">
        <v>2.0833333333333298E-3</v>
      </c>
      <c r="C4832" s="5">
        <v>168</v>
      </c>
    </row>
    <row r="4833" spans="1:3">
      <c r="A4833" s="68">
        <v>37834</v>
      </c>
      <c r="B4833" s="6">
        <v>2.7777777777777801E-3</v>
      </c>
      <c r="C4833" s="5">
        <v>170</v>
      </c>
    </row>
    <row r="4834" spans="1:3">
      <c r="A4834" s="68">
        <v>37834</v>
      </c>
      <c r="B4834" s="6">
        <v>3.4722222222222199E-3</v>
      </c>
      <c r="C4834" s="5">
        <v>177</v>
      </c>
    </row>
    <row r="4835" spans="1:3">
      <c r="A4835" s="68">
        <v>37834</v>
      </c>
      <c r="B4835" s="6">
        <v>4.1666666666666701E-3</v>
      </c>
      <c r="C4835" s="5">
        <v>177</v>
      </c>
    </row>
    <row r="4836" spans="1:3">
      <c r="A4836" s="68">
        <v>37834</v>
      </c>
      <c r="B4836" s="6">
        <v>4.8611111111111103E-3</v>
      </c>
      <c r="C4836" s="5">
        <v>179</v>
      </c>
    </row>
    <row r="4837" spans="1:3">
      <c r="A4837" s="68">
        <v>37834</v>
      </c>
      <c r="B4837" s="6">
        <v>5.5555555555555601E-3</v>
      </c>
      <c r="C4837" s="5">
        <v>178</v>
      </c>
    </row>
    <row r="4838" spans="1:3">
      <c r="A4838" s="68">
        <v>37834</v>
      </c>
      <c r="B4838" s="6">
        <v>6.2500000000000003E-3</v>
      </c>
      <c r="C4838" s="5">
        <v>175</v>
      </c>
    </row>
    <row r="4839" spans="1:3">
      <c r="A4839" s="68">
        <v>37834</v>
      </c>
      <c r="B4839" s="6">
        <v>6.9444444444444397E-3</v>
      </c>
      <c r="C4839" s="5">
        <v>173</v>
      </c>
    </row>
    <row r="4840" spans="1:3">
      <c r="A4840" s="68">
        <v>37834</v>
      </c>
      <c r="B4840" s="6">
        <v>7.6388888888888904E-3</v>
      </c>
      <c r="C4840" s="5">
        <v>178</v>
      </c>
    </row>
    <row r="4841" spans="1:3">
      <c r="A4841" s="68">
        <v>37834</v>
      </c>
      <c r="B4841" s="6">
        <v>8.3333333333333297E-3</v>
      </c>
      <c r="C4841" s="5">
        <v>176</v>
      </c>
    </row>
    <row r="4842" spans="1:3">
      <c r="A4842" s="68">
        <v>37834</v>
      </c>
      <c r="B4842" s="6">
        <v>9.0277777777777804E-3</v>
      </c>
      <c r="C4842" s="5">
        <v>177</v>
      </c>
    </row>
    <row r="4843" spans="1:3">
      <c r="A4843" s="68">
        <v>37834</v>
      </c>
      <c r="B4843" s="6">
        <v>9.7222222222222206E-3</v>
      </c>
      <c r="C4843" s="5">
        <v>174</v>
      </c>
    </row>
    <row r="4844" spans="1:3">
      <c r="A4844" s="68">
        <v>37834</v>
      </c>
      <c r="B4844" s="6">
        <v>1.0416666666666701E-2</v>
      </c>
      <c r="C4844" s="5">
        <v>178</v>
      </c>
    </row>
    <row r="4845" spans="1:3">
      <c r="A4845" s="68">
        <v>37834</v>
      </c>
      <c r="B4845" s="6">
        <v>1.1111111111111099E-2</v>
      </c>
      <c r="C4845" s="5">
        <v>176</v>
      </c>
    </row>
    <row r="4846" spans="1:3">
      <c r="A4846" s="68">
        <v>37834</v>
      </c>
      <c r="B4846" s="6">
        <v>1.18055555555556E-2</v>
      </c>
      <c r="C4846" s="5">
        <v>179</v>
      </c>
    </row>
    <row r="4847" spans="1:3">
      <c r="A4847" s="68">
        <v>37834</v>
      </c>
      <c r="B4847" s="6">
        <v>1.2500000000000001E-2</v>
      </c>
      <c r="C4847" s="5">
        <v>176</v>
      </c>
    </row>
    <row r="4848" spans="1:3">
      <c r="A4848" s="68">
        <v>37834</v>
      </c>
      <c r="B4848" s="6">
        <v>1.3194444444444399E-2</v>
      </c>
      <c r="C4848" s="5">
        <v>179</v>
      </c>
    </row>
    <row r="4849" spans="1:3">
      <c r="A4849" s="68">
        <v>37834</v>
      </c>
      <c r="B4849" s="6">
        <v>1.38888888888889E-2</v>
      </c>
      <c r="C4849" s="5">
        <v>177</v>
      </c>
    </row>
    <row r="4850" spans="1:3">
      <c r="A4850" s="68">
        <v>37834</v>
      </c>
      <c r="B4850" s="6">
        <v>1.4583333333333301E-2</v>
      </c>
      <c r="C4850" s="5">
        <v>177</v>
      </c>
    </row>
    <row r="4851" spans="1:3">
      <c r="A4851" s="68">
        <v>37834</v>
      </c>
      <c r="B4851" s="6">
        <v>1.52777777777778E-2</v>
      </c>
      <c r="C4851" s="5">
        <v>178</v>
      </c>
    </row>
    <row r="4852" spans="1:3">
      <c r="A4852" s="68">
        <v>37834</v>
      </c>
      <c r="B4852" s="6">
        <v>1.59722222222222E-2</v>
      </c>
      <c r="C4852" s="5">
        <v>176</v>
      </c>
    </row>
    <row r="4853" spans="1:3">
      <c r="A4853" s="68">
        <v>37834</v>
      </c>
      <c r="B4853" s="6">
        <v>1.6666666666666701E-2</v>
      </c>
      <c r="C4853" s="5">
        <v>178</v>
      </c>
    </row>
    <row r="4854" spans="1:3">
      <c r="A4854" s="68">
        <v>37834</v>
      </c>
      <c r="B4854" s="6">
        <v>1.7361111111111101E-2</v>
      </c>
      <c r="C4854" s="5">
        <v>178</v>
      </c>
    </row>
    <row r="4855" spans="1:3">
      <c r="A4855" s="68">
        <v>37834</v>
      </c>
      <c r="B4855" s="6">
        <v>1.8055555555555599E-2</v>
      </c>
      <c r="C4855" s="5">
        <v>179</v>
      </c>
    </row>
    <row r="4856" spans="1:3">
      <c r="A4856" s="68">
        <v>37834</v>
      </c>
      <c r="B4856" s="6">
        <v>1.8749999999999999E-2</v>
      </c>
      <c r="C4856" s="5">
        <v>177</v>
      </c>
    </row>
    <row r="4857" spans="1:3">
      <c r="A4857" s="68">
        <v>37834</v>
      </c>
      <c r="B4857" s="6">
        <v>1.94444444444444E-2</v>
      </c>
      <c r="C4857" s="5">
        <v>180</v>
      </c>
    </row>
    <row r="4858" spans="1:3">
      <c r="A4858" s="68">
        <v>37834</v>
      </c>
      <c r="B4858" s="6">
        <v>2.0138888888888901E-2</v>
      </c>
      <c r="C4858" s="5">
        <v>180</v>
      </c>
    </row>
    <row r="4859" spans="1:3">
      <c r="A4859" s="68">
        <v>37834</v>
      </c>
      <c r="B4859" s="6">
        <v>2.0833333333333301E-2</v>
      </c>
      <c r="C4859" s="5">
        <v>183</v>
      </c>
    </row>
    <row r="4860" spans="1:3">
      <c r="A4860" s="68">
        <v>37834</v>
      </c>
      <c r="B4860" s="6">
        <v>2.1527777777777798E-2</v>
      </c>
      <c r="C4860" s="5">
        <v>182</v>
      </c>
    </row>
    <row r="4861" spans="1:3">
      <c r="A4861" s="68">
        <v>37834</v>
      </c>
      <c r="B4861" s="6">
        <v>2.2222222222222199E-2</v>
      </c>
      <c r="C4861" s="5">
        <v>182</v>
      </c>
    </row>
    <row r="4862" spans="1:3">
      <c r="A4862" s="68">
        <v>37834</v>
      </c>
      <c r="B4862" s="6">
        <v>2.29166666666667E-2</v>
      </c>
      <c r="C4862" s="5">
        <v>181</v>
      </c>
    </row>
    <row r="4863" spans="1:3">
      <c r="A4863" s="68">
        <v>37834</v>
      </c>
      <c r="B4863" s="6">
        <v>2.36111111111111E-2</v>
      </c>
      <c r="C4863" s="5">
        <v>184</v>
      </c>
    </row>
    <row r="4864" spans="1:3">
      <c r="A4864" s="68">
        <v>37834</v>
      </c>
      <c r="B4864" s="6">
        <v>2.4305555555555601E-2</v>
      </c>
      <c r="C4864" s="5">
        <v>184</v>
      </c>
    </row>
    <row r="4865" spans="1:3">
      <c r="A4865" s="68">
        <v>37834</v>
      </c>
      <c r="B4865" s="6">
        <v>2.5000000000000001E-2</v>
      </c>
      <c r="C4865" s="5">
        <v>182</v>
      </c>
    </row>
    <row r="4866" spans="1:3">
      <c r="A4866" s="68">
        <v>37834</v>
      </c>
      <c r="B4866" s="6">
        <v>2.5694444444444402E-2</v>
      </c>
      <c r="C4866" s="5">
        <v>184</v>
      </c>
    </row>
    <row r="4867" spans="1:3">
      <c r="A4867" s="68">
        <v>37834</v>
      </c>
      <c r="B4867" s="6">
        <v>2.6388888888888899E-2</v>
      </c>
      <c r="C4867" s="5">
        <v>183</v>
      </c>
    </row>
    <row r="4868" spans="1:3">
      <c r="A4868" s="68">
        <v>37834</v>
      </c>
      <c r="B4868" s="6">
        <v>2.70833333333333E-2</v>
      </c>
      <c r="C4868" s="5">
        <v>181</v>
      </c>
    </row>
    <row r="4869" spans="1:3">
      <c r="A4869" s="68">
        <v>37834</v>
      </c>
      <c r="B4869" s="6">
        <v>2.7777777777777801E-2</v>
      </c>
      <c r="C4869" s="5">
        <v>181</v>
      </c>
    </row>
    <row r="4870" spans="1:3">
      <c r="A4870" s="68">
        <v>37834</v>
      </c>
      <c r="B4870" s="6">
        <v>2.8472222222222201E-2</v>
      </c>
      <c r="C4870" s="5">
        <v>179</v>
      </c>
    </row>
    <row r="4871" spans="1:3">
      <c r="A4871" s="68">
        <v>37834</v>
      </c>
      <c r="B4871" s="6">
        <v>2.9166666666666698E-2</v>
      </c>
      <c r="C4871" s="5">
        <v>181</v>
      </c>
    </row>
    <row r="4872" spans="1:3">
      <c r="A4872" s="68">
        <v>37834</v>
      </c>
      <c r="B4872" s="6">
        <v>2.9861111111111099E-2</v>
      </c>
      <c r="C4872" s="5">
        <v>183</v>
      </c>
    </row>
    <row r="4873" spans="1:3">
      <c r="A4873" s="68">
        <v>37834</v>
      </c>
      <c r="B4873" s="6">
        <v>3.05555555555556E-2</v>
      </c>
      <c r="C4873" s="5">
        <v>182</v>
      </c>
    </row>
    <row r="4874" spans="1:3">
      <c r="A4874" s="68">
        <v>37834</v>
      </c>
      <c r="B4874" s="6">
        <v>3.125E-2</v>
      </c>
      <c r="C4874" s="5">
        <v>182</v>
      </c>
    </row>
    <row r="4875" spans="1:3">
      <c r="A4875" s="68">
        <v>37834</v>
      </c>
      <c r="B4875" s="6">
        <v>3.19444444444444E-2</v>
      </c>
      <c r="C4875" s="5">
        <v>181</v>
      </c>
    </row>
    <row r="4876" spans="1:3">
      <c r="A4876" s="68">
        <v>37834</v>
      </c>
      <c r="B4876" s="6">
        <v>3.2638888888888898E-2</v>
      </c>
      <c r="C4876" s="5">
        <v>182</v>
      </c>
    </row>
    <row r="4877" spans="1:3">
      <c r="A4877" s="68">
        <v>37834</v>
      </c>
      <c r="B4877" s="6">
        <v>3.3333333333333298E-2</v>
      </c>
      <c r="C4877" s="5">
        <v>182</v>
      </c>
    </row>
    <row r="4878" spans="1:3">
      <c r="A4878" s="68">
        <v>37834</v>
      </c>
      <c r="B4878" s="6">
        <v>3.4027777777777803E-2</v>
      </c>
      <c r="C4878" s="5">
        <v>182</v>
      </c>
    </row>
    <row r="4879" spans="1:3">
      <c r="A4879" s="68">
        <v>37834</v>
      </c>
      <c r="B4879" s="6">
        <v>3.4722222222222203E-2</v>
      </c>
      <c r="C4879" s="5">
        <v>183</v>
      </c>
    </row>
    <row r="4880" spans="1:3">
      <c r="A4880" s="68">
        <v>37834</v>
      </c>
      <c r="B4880" s="6">
        <v>3.54166666666667E-2</v>
      </c>
      <c r="C4880" s="5">
        <v>183</v>
      </c>
    </row>
    <row r="4881" spans="1:3">
      <c r="A4881" s="68">
        <v>37834</v>
      </c>
      <c r="B4881" s="6">
        <v>3.6111111111111101E-2</v>
      </c>
      <c r="C4881" s="5">
        <v>183</v>
      </c>
    </row>
    <row r="4882" spans="1:3">
      <c r="A4882" s="68">
        <v>37834</v>
      </c>
      <c r="B4882" s="6">
        <v>3.6805555555555598E-2</v>
      </c>
      <c r="C4882" s="5">
        <v>182</v>
      </c>
    </row>
    <row r="4883" spans="1:3">
      <c r="A4883" s="68">
        <v>37834</v>
      </c>
      <c r="B4883" s="6">
        <v>3.7499999999999999E-2</v>
      </c>
      <c r="C4883" s="5">
        <v>183</v>
      </c>
    </row>
    <row r="4884" spans="1:3">
      <c r="A4884" s="68">
        <v>37834</v>
      </c>
      <c r="B4884" s="6">
        <v>3.8194444444444399E-2</v>
      </c>
      <c r="C4884" s="5">
        <v>184</v>
      </c>
    </row>
    <row r="4885" spans="1:3">
      <c r="A4885" s="68">
        <v>37834</v>
      </c>
      <c r="B4885" s="6">
        <v>3.8888888888888903E-2</v>
      </c>
      <c r="C4885" s="5">
        <v>187</v>
      </c>
    </row>
    <row r="4886" spans="1:3">
      <c r="A4886" s="68">
        <v>37876</v>
      </c>
      <c r="B4886" s="6">
        <v>0</v>
      </c>
      <c r="C4886" s="5">
        <v>144</v>
      </c>
    </row>
    <row r="4887" spans="1:3">
      <c r="A4887" s="68">
        <v>37876</v>
      </c>
      <c r="B4887" s="6">
        <v>6.9444444444444447E-4</v>
      </c>
      <c r="C4887" s="5">
        <v>160</v>
      </c>
    </row>
    <row r="4888" spans="1:3">
      <c r="A4888" s="68">
        <v>37876</v>
      </c>
      <c r="B4888" s="6">
        <v>1.38888888888889E-3</v>
      </c>
      <c r="C4888" s="5">
        <v>159</v>
      </c>
    </row>
    <row r="4889" spans="1:3">
      <c r="A4889" s="68">
        <v>37876</v>
      </c>
      <c r="B4889" s="6">
        <v>2.0833333333333298E-3</v>
      </c>
      <c r="C4889" s="5">
        <v>167</v>
      </c>
    </row>
    <row r="4890" spans="1:3">
      <c r="A4890" s="68">
        <v>37876</v>
      </c>
      <c r="B4890" s="6">
        <v>2.7777777777777801E-3</v>
      </c>
      <c r="C4890" s="5">
        <v>169</v>
      </c>
    </row>
    <row r="4891" spans="1:3">
      <c r="A4891" s="68">
        <v>37876</v>
      </c>
      <c r="B4891" s="6">
        <v>3.4722222222222199E-3</v>
      </c>
      <c r="C4891" s="5">
        <v>171</v>
      </c>
    </row>
    <row r="4892" spans="1:3">
      <c r="A4892" s="68">
        <v>37876</v>
      </c>
      <c r="B4892" s="6">
        <v>4.1666666666666701E-3</v>
      </c>
      <c r="C4892" s="5">
        <v>173</v>
      </c>
    </row>
    <row r="4893" spans="1:3">
      <c r="A4893" s="68">
        <v>37876</v>
      </c>
      <c r="B4893" s="6">
        <v>4.8611111111111103E-3</v>
      </c>
      <c r="C4893" s="5">
        <v>173</v>
      </c>
    </row>
    <row r="4894" spans="1:3">
      <c r="A4894" s="68">
        <v>37876</v>
      </c>
      <c r="B4894" s="6">
        <v>5.5555555555555601E-3</v>
      </c>
      <c r="C4894" s="5">
        <v>172</v>
      </c>
    </row>
    <row r="4895" spans="1:3">
      <c r="A4895" s="68">
        <v>37876</v>
      </c>
      <c r="B4895" s="6">
        <v>6.2500000000000003E-3</v>
      </c>
      <c r="C4895" s="5">
        <v>172</v>
      </c>
    </row>
    <row r="4896" spans="1:3">
      <c r="A4896" s="68">
        <v>37876</v>
      </c>
      <c r="B4896" s="6">
        <v>6.9444444444444397E-3</v>
      </c>
      <c r="C4896" s="5">
        <v>178</v>
      </c>
    </row>
    <row r="4897" spans="1:3">
      <c r="A4897" s="68">
        <v>37876</v>
      </c>
      <c r="B4897" s="6">
        <v>7.6388888888888904E-3</v>
      </c>
      <c r="C4897" s="5">
        <v>173</v>
      </c>
    </row>
    <row r="4898" spans="1:3">
      <c r="A4898" s="68">
        <v>37876</v>
      </c>
      <c r="B4898" s="6">
        <v>8.3333333333333297E-3</v>
      </c>
      <c r="C4898" s="5">
        <v>177</v>
      </c>
    </row>
    <row r="4899" spans="1:3">
      <c r="A4899" s="68">
        <v>37876</v>
      </c>
      <c r="B4899" s="6">
        <v>9.0277777777777804E-3</v>
      </c>
      <c r="C4899" s="5">
        <v>177</v>
      </c>
    </row>
    <row r="4900" spans="1:3">
      <c r="A4900" s="68">
        <v>37876</v>
      </c>
      <c r="B4900" s="6">
        <v>9.7222222222222206E-3</v>
      </c>
      <c r="C4900" s="5">
        <v>176</v>
      </c>
    </row>
    <row r="4901" spans="1:3">
      <c r="A4901" s="68">
        <v>37876</v>
      </c>
      <c r="B4901" s="6">
        <v>1.0416666666666701E-2</v>
      </c>
      <c r="C4901" s="5">
        <v>175</v>
      </c>
    </row>
    <row r="4902" spans="1:3">
      <c r="A4902" s="68">
        <v>37876</v>
      </c>
      <c r="B4902" s="6">
        <v>1.1111111111111099E-2</v>
      </c>
      <c r="C4902" s="5">
        <v>174</v>
      </c>
    </row>
    <row r="4903" spans="1:3">
      <c r="A4903" s="68">
        <v>37876</v>
      </c>
      <c r="B4903" s="6">
        <v>1.18055555555556E-2</v>
      </c>
      <c r="C4903" s="5">
        <v>174</v>
      </c>
    </row>
    <row r="4904" spans="1:3">
      <c r="A4904" s="68">
        <v>37876</v>
      </c>
      <c r="B4904" s="6">
        <v>1.2500000000000001E-2</v>
      </c>
      <c r="C4904" s="5">
        <v>172</v>
      </c>
    </row>
    <row r="4905" spans="1:3">
      <c r="A4905" s="68">
        <v>37876</v>
      </c>
      <c r="B4905" s="6">
        <v>1.3194444444444399E-2</v>
      </c>
      <c r="C4905" s="5">
        <v>174</v>
      </c>
    </row>
    <row r="4906" spans="1:3">
      <c r="A4906" s="68">
        <v>37876</v>
      </c>
      <c r="B4906" s="6">
        <v>1.38888888888889E-2</v>
      </c>
      <c r="C4906" s="5">
        <v>175</v>
      </c>
    </row>
    <row r="4907" spans="1:3">
      <c r="A4907" s="68">
        <v>37876</v>
      </c>
      <c r="B4907" s="6">
        <v>1.4583333333333301E-2</v>
      </c>
      <c r="C4907" s="5">
        <v>175</v>
      </c>
    </row>
    <row r="4908" spans="1:3">
      <c r="A4908" s="68">
        <v>37876</v>
      </c>
      <c r="B4908" s="6">
        <v>1.52777777777778E-2</v>
      </c>
      <c r="C4908" s="5">
        <v>178</v>
      </c>
    </row>
    <row r="4909" spans="1:3">
      <c r="A4909" s="68">
        <v>37876</v>
      </c>
      <c r="B4909" s="6">
        <v>1.59722222222222E-2</v>
      </c>
      <c r="C4909" s="5">
        <v>176</v>
      </c>
    </row>
    <row r="4910" spans="1:3">
      <c r="A4910" s="68">
        <v>37876</v>
      </c>
      <c r="B4910" s="6">
        <v>1.6666666666666701E-2</v>
      </c>
      <c r="C4910" s="5">
        <v>180</v>
      </c>
    </row>
    <row r="4911" spans="1:3">
      <c r="A4911" s="68">
        <v>37876</v>
      </c>
      <c r="B4911" s="6">
        <v>1.7361111111111101E-2</v>
      </c>
      <c r="C4911" s="5">
        <v>177</v>
      </c>
    </row>
    <row r="4912" spans="1:3">
      <c r="A4912" s="68">
        <v>37876</v>
      </c>
      <c r="B4912" s="6">
        <v>1.8055555555555599E-2</v>
      </c>
      <c r="C4912" s="5">
        <v>178</v>
      </c>
    </row>
    <row r="4913" spans="1:3">
      <c r="A4913" s="68">
        <v>37876</v>
      </c>
      <c r="B4913" s="6">
        <v>1.8749999999999999E-2</v>
      </c>
      <c r="C4913" s="5">
        <v>178</v>
      </c>
    </row>
    <row r="4914" spans="1:3">
      <c r="A4914" s="68">
        <v>37876</v>
      </c>
      <c r="B4914" s="6">
        <v>1.94444444444444E-2</v>
      </c>
      <c r="C4914" s="5">
        <v>176</v>
      </c>
    </row>
    <row r="4915" spans="1:3">
      <c r="A4915" s="68">
        <v>37876</v>
      </c>
      <c r="B4915" s="6">
        <v>2.0138888888888901E-2</v>
      </c>
      <c r="C4915" s="5">
        <v>177</v>
      </c>
    </row>
    <row r="4916" spans="1:3">
      <c r="A4916" s="68">
        <v>37876</v>
      </c>
      <c r="B4916" s="6">
        <v>2.0833333333333301E-2</v>
      </c>
      <c r="C4916" s="5">
        <v>176</v>
      </c>
    </row>
    <row r="4917" spans="1:3">
      <c r="A4917" s="68">
        <v>37876</v>
      </c>
      <c r="B4917" s="6">
        <v>2.1527777777777798E-2</v>
      </c>
      <c r="C4917" s="5">
        <v>177</v>
      </c>
    </row>
    <row r="4918" spans="1:3">
      <c r="A4918" s="68">
        <v>37876</v>
      </c>
      <c r="B4918" s="6">
        <v>2.2222222222222199E-2</v>
      </c>
      <c r="C4918" s="5">
        <v>178</v>
      </c>
    </row>
    <row r="4919" spans="1:3">
      <c r="A4919" s="68">
        <v>37876</v>
      </c>
      <c r="B4919" s="6">
        <v>2.29166666666667E-2</v>
      </c>
      <c r="C4919" s="5">
        <v>181</v>
      </c>
    </row>
    <row r="4920" spans="1:3">
      <c r="A4920" s="68">
        <v>37876</v>
      </c>
      <c r="B4920" s="6">
        <v>2.36111111111111E-2</v>
      </c>
      <c r="C4920" s="5">
        <v>180</v>
      </c>
    </row>
    <row r="4921" spans="1:3">
      <c r="A4921" s="68">
        <v>37894</v>
      </c>
      <c r="B4921" s="6">
        <v>0</v>
      </c>
      <c r="C4921" s="32">
        <v>98</v>
      </c>
    </row>
    <row r="4922" spans="1:3">
      <c r="A4922" s="68">
        <v>37894</v>
      </c>
      <c r="B4922" s="6">
        <v>6.9444444444444447E-4</v>
      </c>
      <c r="C4922" s="32">
        <v>156</v>
      </c>
    </row>
    <row r="4923" spans="1:3">
      <c r="A4923" s="68">
        <v>37894</v>
      </c>
      <c r="B4923" s="6">
        <v>1.38888888888889E-3</v>
      </c>
      <c r="C4923" s="32">
        <v>170</v>
      </c>
    </row>
    <row r="4924" spans="1:3">
      <c r="A4924" s="68">
        <v>37894</v>
      </c>
      <c r="B4924" s="6">
        <v>2.0833333333333298E-3</v>
      </c>
      <c r="C4924" s="32">
        <v>169</v>
      </c>
    </row>
    <row r="4925" spans="1:3">
      <c r="A4925" s="68">
        <v>37894</v>
      </c>
      <c r="B4925" s="6">
        <v>2.7777777777777801E-3</v>
      </c>
      <c r="C4925" s="32">
        <v>171</v>
      </c>
    </row>
    <row r="4926" spans="1:3">
      <c r="A4926" s="68">
        <v>37894</v>
      </c>
      <c r="B4926" s="6">
        <v>3.4722222222222199E-3</v>
      </c>
      <c r="C4926" s="32">
        <v>168</v>
      </c>
    </row>
    <row r="4927" spans="1:3">
      <c r="A4927" s="68">
        <v>37894</v>
      </c>
      <c r="B4927" s="6">
        <v>4.1666666666666701E-3</v>
      </c>
      <c r="C4927" s="32">
        <v>169</v>
      </c>
    </row>
    <row r="4928" spans="1:3">
      <c r="A4928" s="68">
        <v>37894</v>
      </c>
      <c r="B4928" s="6">
        <v>4.8611111111111103E-3</v>
      </c>
      <c r="C4928" s="32">
        <v>173</v>
      </c>
    </row>
    <row r="4929" spans="1:3">
      <c r="A4929" s="68">
        <v>37894</v>
      </c>
      <c r="B4929" s="6">
        <v>5.5555555555555601E-3</v>
      </c>
      <c r="C4929" s="32">
        <v>174</v>
      </c>
    </row>
    <row r="4930" spans="1:3">
      <c r="A4930" s="68">
        <v>37894</v>
      </c>
      <c r="B4930" s="6">
        <v>6.2500000000000003E-3</v>
      </c>
      <c r="C4930" s="32">
        <v>174</v>
      </c>
    </row>
    <row r="4931" spans="1:3">
      <c r="A4931" s="68">
        <v>37894</v>
      </c>
      <c r="B4931" s="6">
        <v>6.9444444444444397E-3</v>
      </c>
      <c r="C4931" s="32">
        <v>178</v>
      </c>
    </row>
    <row r="4932" spans="1:3">
      <c r="A4932" s="68">
        <v>37894</v>
      </c>
      <c r="B4932" s="6">
        <v>7.6388888888888904E-3</v>
      </c>
      <c r="C4932" s="32">
        <v>178</v>
      </c>
    </row>
    <row r="4933" spans="1:3">
      <c r="A4933" s="68">
        <v>37894</v>
      </c>
      <c r="B4933" s="6">
        <v>8.3333333333333297E-3</v>
      </c>
      <c r="C4933" s="32">
        <v>178</v>
      </c>
    </row>
    <row r="4934" spans="1:3">
      <c r="A4934" s="68">
        <v>37894</v>
      </c>
      <c r="B4934" s="6">
        <v>9.0277777777777804E-3</v>
      </c>
      <c r="C4934" s="32">
        <v>178</v>
      </c>
    </row>
    <row r="4935" spans="1:3">
      <c r="A4935" s="68">
        <v>37894</v>
      </c>
      <c r="B4935" s="6">
        <v>9.7222222222222206E-3</v>
      </c>
      <c r="C4935" s="32">
        <v>178</v>
      </c>
    </row>
    <row r="4936" spans="1:3">
      <c r="A4936" s="68">
        <v>37894</v>
      </c>
      <c r="B4936" s="6">
        <v>1.0416666666666701E-2</v>
      </c>
      <c r="C4936" s="32">
        <v>181</v>
      </c>
    </row>
    <row r="4937" spans="1:3">
      <c r="A4937" s="68">
        <v>37894</v>
      </c>
      <c r="B4937" s="6">
        <v>1.1111111111111099E-2</v>
      </c>
      <c r="C4937" s="32">
        <v>180</v>
      </c>
    </row>
    <row r="4938" spans="1:3">
      <c r="A4938" s="68">
        <v>37894</v>
      </c>
      <c r="B4938" s="6">
        <v>1.18055555555556E-2</v>
      </c>
      <c r="C4938" s="32">
        <v>181</v>
      </c>
    </row>
    <row r="4939" spans="1:3">
      <c r="A4939" s="68">
        <v>37894</v>
      </c>
      <c r="B4939" s="6">
        <v>1.2500000000000001E-2</v>
      </c>
      <c r="C4939" s="32">
        <v>180</v>
      </c>
    </row>
    <row r="4940" spans="1:3">
      <c r="A4940" s="68">
        <v>37894</v>
      </c>
      <c r="B4940" s="6">
        <v>1.3194444444444399E-2</v>
      </c>
      <c r="C4940" s="32">
        <v>179</v>
      </c>
    </row>
    <row r="4941" spans="1:3">
      <c r="A4941" s="68">
        <v>37894</v>
      </c>
      <c r="B4941" s="6">
        <v>1.38888888888889E-2</v>
      </c>
      <c r="C4941" s="32">
        <v>181</v>
      </c>
    </row>
    <row r="4942" spans="1:3">
      <c r="A4942" s="68">
        <v>37894</v>
      </c>
      <c r="B4942" s="6">
        <v>1.4583333333333301E-2</v>
      </c>
      <c r="C4942" s="32">
        <v>182</v>
      </c>
    </row>
    <row r="4943" spans="1:3">
      <c r="A4943" s="68">
        <v>37894</v>
      </c>
      <c r="B4943" s="6">
        <v>1.52777777777778E-2</v>
      </c>
      <c r="C4943" s="32">
        <v>181</v>
      </c>
    </row>
    <row r="4944" spans="1:3">
      <c r="A4944" s="68">
        <v>37894</v>
      </c>
      <c r="B4944" s="6">
        <v>1.59722222222222E-2</v>
      </c>
      <c r="C4944" s="32">
        <v>181</v>
      </c>
    </row>
    <row r="4945" spans="1:3">
      <c r="A4945" s="68">
        <v>37894</v>
      </c>
      <c r="B4945" s="6">
        <v>1.6666666666666701E-2</v>
      </c>
      <c r="C4945" s="32">
        <v>181</v>
      </c>
    </row>
    <row r="4946" spans="1:3">
      <c r="A4946" s="68">
        <v>37894</v>
      </c>
      <c r="B4946" s="6">
        <v>1.7361111111111101E-2</v>
      </c>
      <c r="C4946" s="32">
        <v>182</v>
      </c>
    </row>
    <row r="4947" spans="1:3">
      <c r="A4947" s="68">
        <v>37894</v>
      </c>
      <c r="B4947" s="6">
        <v>1.8055555555555599E-2</v>
      </c>
      <c r="C4947" s="32">
        <v>181</v>
      </c>
    </row>
    <row r="4948" spans="1:3">
      <c r="A4948" s="68">
        <v>37894</v>
      </c>
      <c r="B4948" s="6">
        <v>1.8749999999999999E-2</v>
      </c>
      <c r="C4948" s="32">
        <v>181</v>
      </c>
    </row>
    <row r="4949" spans="1:3">
      <c r="A4949" s="68">
        <v>37894</v>
      </c>
      <c r="B4949" s="6">
        <v>1.94444444444444E-2</v>
      </c>
      <c r="C4949" s="32">
        <v>182</v>
      </c>
    </row>
    <row r="4950" spans="1:3">
      <c r="A4950" s="68">
        <v>37894</v>
      </c>
      <c r="B4950" s="6">
        <v>2.01388888888888E-2</v>
      </c>
      <c r="C4950" s="32">
        <v>183</v>
      </c>
    </row>
    <row r="4951" spans="1:3">
      <c r="A4951" s="68">
        <v>37894</v>
      </c>
      <c r="B4951" s="6">
        <v>2.08333333333332E-2</v>
      </c>
      <c r="C4951" s="32">
        <v>183</v>
      </c>
    </row>
    <row r="4952" spans="1:3">
      <c r="A4952" s="68">
        <v>37894</v>
      </c>
      <c r="B4952" s="6">
        <v>2.1527777777777601E-2</v>
      </c>
      <c r="C4952" s="32">
        <v>183</v>
      </c>
    </row>
    <row r="4953" spans="1:3">
      <c r="A4953" s="68">
        <v>37894</v>
      </c>
      <c r="B4953" s="6">
        <v>2.2222222222222001E-2</v>
      </c>
      <c r="C4953" s="32">
        <v>184</v>
      </c>
    </row>
    <row r="4954" spans="1:3">
      <c r="A4954" s="68">
        <v>37894</v>
      </c>
      <c r="B4954" s="6">
        <v>2.2916666666666401E-2</v>
      </c>
      <c r="C4954" s="32">
        <v>184</v>
      </c>
    </row>
    <row r="4955" spans="1:3">
      <c r="A4955" s="68">
        <v>37894</v>
      </c>
      <c r="B4955" s="6">
        <v>2.3611111111110802E-2</v>
      </c>
      <c r="C4955" s="32">
        <v>185</v>
      </c>
    </row>
    <row r="4956" spans="1:3">
      <c r="A4956" s="68">
        <v>37894</v>
      </c>
      <c r="B4956" s="6">
        <v>2.4305555555555199E-2</v>
      </c>
      <c r="C4956" s="32">
        <v>186</v>
      </c>
    </row>
    <row r="4957" spans="1:3">
      <c r="A4957" s="68">
        <v>37933</v>
      </c>
      <c r="B4957" s="6">
        <v>0</v>
      </c>
      <c r="C4957" s="32">
        <v>102</v>
      </c>
    </row>
    <row r="4958" spans="1:3">
      <c r="A4958" s="68">
        <v>37933</v>
      </c>
      <c r="B4958" s="6">
        <v>6.9444444444444447E-4</v>
      </c>
      <c r="C4958" s="32">
        <v>166</v>
      </c>
    </row>
    <row r="4959" spans="1:3">
      <c r="A4959" s="68">
        <v>37933</v>
      </c>
      <c r="B4959" s="6">
        <v>1.38888888888889E-3</v>
      </c>
      <c r="C4959" s="32">
        <v>169</v>
      </c>
    </row>
    <row r="4960" spans="1:3">
      <c r="A4960" s="68">
        <v>37933</v>
      </c>
      <c r="B4960" s="6">
        <v>2.0833333333333298E-3</v>
      </c>
      <c r="C4960" s="32">
        <v>171</v>
      </c>
    </row>
    <row r="4961" spans="1:3">
      <c r="A4961" s="68">
        <v>37933</v>
      </c>
      <c r="B4961" s="6">
        <v>2.7777777777777801E-3</v>
      </c>
      <c r="C4961" s="32">
        <v>173</v>
      </c>
    </row>
    <row r="4962" spans="1:3">
      <c r="A4962" s="68">
        <v>37933</v>
      </c>
      <c r="B4962" s="6">
        <v>3.4722222222222199E-3</v>
      </c>
      <c r="C4962" s="32">
        <v>175</v>
      </c>
    </row>
    <row r="4963" spans="1:3">
      <c r="A4963" s="68">
        <v>37933</v>
      </c>
      <c r="B4963" s="6">
        <v>4.1666666666666701E-3</v>
      </c>
      <c r="C4963" s="32">
        <v>178</v>
      </c>
    </row>
    <row r="4964" spans="1:3">
      <c r="A4964" s="68">
        <v>37933</v>
      </c>
      <c r="B4964" s="6">
        <v>4.8611111111111103E-3</v>
      </c>
      <c r="C4964" s="32">
        <v>175</v>
      </c>
    </row>
    <row r="4965" spans="1:3">
      <c r="A4965" s="68">
        <v>37933</v>
      </c>
      <c r="B4965" s="6">
        <v>5.5555555555555601E-3</v>
      </c>
      <c r="C4965" s="32">
        <v>178</v>
      </c>
    </row>
    <row r="4966" spans="1:3">
      <c r="A4966" s="68">
        <v>37933</v>
      </c>
      <c r="B4966" s="6">
        <v>6.2500000000000003E-3</v>
      </c>
      <c r="C4966" s="32">
        <v>178</v>
      </c>
    </row>
    <row r="4967" spans="1:3">
      <c r="A4967" s="68">
        <v>37933</v>
      </c>
      <c r="B4967" s="6">
        <v>6.9444444444444397E-3</v>
      </c>
      <c r="C4967" s="32">
        <v>178</v>
      </c>
    </row>
    <row r="4968" spans="1:3">
      <c r="A4968" s="68">
        <v>37933</v>
      </c>
      <c r="B4968" s="6">
        <v>7.6388888888888904E-3</v>
      </c>
      <c r="C4968" s="32">
        <v>177</v>
      </c>
    </row>
    <row r="4969" spans="1:3">
      <c r="A4969" s="68">
        <v>37933</v>
      </c>
      <c r="B4969" s="6">
        <v>8.3333333333333297E-3</v>
      </c>
      <c r="C4969" s="32">
        <v>180</v>
      </c>
    </row>
    <row r="4970" spans="1:3">
      <c r="A4970" s="68">
        <v>37933</v>
      </c>
      <c r="B4970" s="6">
        <v>9.0277777777777804E-3</v>
      </c>
      <c r="C4970" s="32">
        <v>177</v>
      </c>
    </row>
    <row r="4971" spans="1:3">
      <c r="A4971" s="68">
        <v>37933</v>
      </c>
      <c r="B4971" s="6">
        <v>9.7222222222222206E-3</v>
      </c>
      <c r="C4971" s="32">
        <v>177</v>
      </c>
    </row>
    <row r="4972" spans="1:3">
      <c r="A4972" s="68">
        <v>37933</v>
      </c>
      <c r="B4972" s="6">
        <v>1.0416666666666701E-2</v>
      </c>
      <c r="C4972" s="32">
        <v>177</v>
      </c>
    </row>
    <row r="4973" spans="1:3">
      <c r="A4973" s="68">
        <v>37933</v>
      </c>
      <c r="B4973" s="6">
        <v>1.1111111111111099E-2</v>
      </c>
      <c r="C4973" s="32">
        <v>177</v>
      </c>
    </row>
    <row r="4974" spans="1:3">
      <c r="A4974" s="68">
        <v>37933</v>
      </c>
      <c r="B4974" s="6">
        <v>1.18055555555556E-2</v>
      </c>
      <c r="C4974" s="32">
        <v>176</v>
      </c>
    </row>
    <row r="4975" spans="1:3">
      <c r="A4975" s="68">
        <v>37933</v>
      </c>
      <c r="B4975" s="6">
        <v>1.2500000000000001E-2</v>
      </c>
      <c r="C4975" s="32">
        <v>177</v>
      </c>
    </row>
    <row r="4976" spans="1:3">
      <c r="A4976" s="68">
        <v>37933</v>
      </c>
      <c r="B4976" s="6">
        <v>1.3194444444444399E-2</v>
      </c>
      <c r="C4976" s="32">
        <v>178</v>
      </c>
    </row>
    <row r="4977" spans="1:3">
      <c r="A4977" s="68">
        <v>37933</v>
      </c>
      <c r="B4977" s="6">
        <v>1.38888888888889E-2</v>
      </c>
      <c r="C4977" s="32">
        <v>180</v>
      </c>
    </row>
    <row r="4978" spans="1:3">
      <c r="A4978" s="68">
        <v>37933</v>
      </c>
      <c r="B4978" s="6">
        <v>1.4583333333333301E-2</v>
      </c>
      <c r="C4978" s="32">
        <v>181</v>
      </c>
    </row>
    <row r="4979" spans="1:3">
      <c r="A4979" s="68">
        <v>37933</v>
      </c>
      <c r="B4979" s="6">
        <v>1.52777777777778E-2</v>
      </c>
      <c r="C4979" s="32">
        <v>181</v>
      </c>
    </row>
    <row r="4980" spans="1:3">
      <c r="A4980" s="68">
        <v>37933</v>
      </c>
      <c r="B4980" s="6">
        <v>1.59722222222222E-2</v>
      </c>
      <c r="C4980" s="32">
        <v>182</v>
      </c>
    </row>
    <row r="4981" spans="1:3">
      <c r="A4981" s="68">
        <v>37933</v>
      </c>
      <c r="B4981" s="6">
        <v>1.6666666666666701E-2</v>
      </c>
      <c r="C4981" s="32">
        <v>183</v>
      </c>
    </row>
    <row r="4982" spans="1:3">
      <c r="A4982" s="68">
        <v>37933</v>
      </c>
      <c r="B4982" s="6">
        <v>1.7361111111111101E-2</v>
      </c>
      <c r="C4982" s="32">
        <v>182</v>
      </c>
    </row>
    <row r="4983" spans="1:3">
      <c r="A4983" s="68">
        <v>37933</v>
      </c>
      <c r="B4983" s="6">
        <v>1.8055555555555599E-2</v>
      </c>
      <c r="C4983" s="32">
        <v>186</v>
      </c>
    </row>
    <row r="4984" spans="1:3">
      <c r="A4984" s="68">
        <v>37933</v>
      </c>
      <c r="B4984" s="6">
        <v>1.8749999999999999E-2</v>
      </c>
      <c r="C4984" s="32">
        <v>186</v>
      </c>
    </row>
    <row r="4985" spans="1:3">
      <c r="A4985" s="68">
        <v>37933</v>
      </c>
      <c r="B4985" s="6">
        <v>1.94444444444444E-2</v>
      </c>
      <c r="C4985" s="32">
        <v>184</v>
      </c>
    </row>
    <row r="4986" spans="1:3">
      <c r="A4986" s="68">
        <v>37933</v>
      </c>
      <c r="B4986" s="6">
        <v>2.01388888888888E-2</v>
      </c>
      <c r="C4986" s="32">
        <v>187</v>
      </c>
    </row>
    <row r="4987" spans="1:3">
      <c r="A4987" s="68">
        <v>37933</v>
      </c>
      <c r="B4987" s="6">
        <v>2.08333333333332E-2</v>
      </c>
      <c r="C4987" s="32">
        <v>187</v>
      </c>
    </row>
    <row r="4988" spans="1:3">
      <c r="A4988" s="68">
        <v>37933</v>
      </c>
      <c r="B4988" s="6">
        <v>2.1527777777777601E-2</v>
      </c>
      <c r="C4988" s="32">
        <v>187</v>
      </c>
    </row>
    <row r="4989" spans="1:3">
      <c r="A4989" s="68">
        <v>37933</v>
      </c>
      <c r="B4989" s="6">
        <v>2.2222222222222001E-2</v>
      </c>
      <c r="C4989" s="32">
        <v>186</v>
      </c>
    </row>
    <row r="4990" spans="1:3">
      <c r="A4990" s="68">
        <v>38074</v>
      </c>
      <c r="B4990" s="6">
        <v>0</v>
      </c>
      <c r="C4990" s="5">
        <v>98</v>
      </c>
    </row>
    <row r="4991" spans="1:3">
      <c r="A4991" s="68">
        <v>38074</v>
      </c>
      <c r="B4991" s="6">
        <v>6.9444444444444447E-4</v>
      </c>
      <c r="C4991" s="5">
        <v>167</v>
      </c>
    </row>
    <row r="4992" spans="1:3">
      <c r="A4992" s="68">
        <v>38074</v>
      </c>
      <c r="B4992" s="6">
        <v>1.38888888888889E-3</v>
      </c>
      <c r="C4992" s="5">
        <v>175</v>
      </c>
    </row>
    <row r="4993" spans="1:3">
      <c r="A4993" s="68">
        <v>38074</v>
      </c>
      <c r="B4993" s="6">
        <v>2.0833333333333298E-3</v>
      </c>
      <c r="C4993" s="5">
        <v>176</v>
      </c>
    </row>
    <row r="4994" spans="1:3">
      <c r="A4994" s="68">
        <v>38074</v>
      </c>
      <c r="B4994" s="6">
        <v>2.7777777777777801E-3</v>
      </c>
      <c r="C4994" s="5">
        <v>173</v>
      </c>
    </row>
    <row r="4995" spans="1:3">
      <c r="A4995" s="68">
        <v>38074</v>
      </c>
      <c r="B4995" s="6">
        <v>3.4722222222222199E-3</v>
      </c>
      <c r="C4995" s="5">
        <v>175</v>
      </c>
    </row>
    <row r="4996" spans="1:3">
      <c r="A4996" s="68">
        <v>38074</v>
      </c>
      <c r="B4996" s="6">
        <v>4.1666666666666701E-3</v>
      </c>
      <c r="C4996" s="5">
        <v>177</v>
      </c>
    </row>
    <row r="4997" spans="1:3">
      <c r="A4997" s="68">
        <v>38074</v>
      </c>
      <c r="B4997" s="6">
        <v>4.8611111111111103E-3</v>
      </c>
      <c r="C4997" s="5">
        <v>175</v>
      </c>
    </row>
    <row r="4998" spans="1:3">
      <c r="A4998" s="68">
        <v>38074</v>
      </c>
      <c r="B4998" s="6">
        <v>5.5555555555555601E-3</v>
      </c>
      <c r="C4998" s="5">
        <v>179</v>
      </c>
    </row>
    <row r="4999" spans="1:3">
      <c r="A4999" s="68">
        <v>38074</v>
      </c>
      <c r="B4999" s="6">
        <v>6.2500000000000003E-3</v>
      </c>
      <c r="C4999" s="5">
        <v>177</v>
      </c>
    </row>
    <row r="5000" spans="1:3">
      <c r="A5000" s="68">
        <v>38074</v>
      </c>
      <c r="B5000" s="6">
        <v>6.9444444444444397E-3</v>
      </c>
      <c r="C5000" s="5">
        <v>177</v>
      </c>
    </row>
    <row r="5001" spans="1:3">
      <c r="A5001" s="68">
        <v>38074</v>
      </c>
      <c r="B5001" s="6">
        <v>7.6388888888888904E-3</v>
      </c>
      <c r="C5001" s="5">
        <v>179</v>
      </c>
    </row>
    <row r="5002" spans="1:3">
      <c r="A5002" s="68">
        <v>38074</v>
      </c>
      <c r="B5002" s="6">
        <v>8.3333333333333297E-3</v>
      </c>
      <c r="C5002" s="5">
        <v>178</v>
      </c>
    </row>
    <row r="5003" spans="1:3">
      <c r="A5003" s="68">
        <v>38074</v>
      </c>
      <c r="B5003" s="6">
        <v>9.0277777777777804E-3</v>
      </c>
      <c r="C5003" s="5">
        <v>178</v>
      </c>
    </row>
    <row r="5004" spans="1:3">
      <c r="A5004" s="68">
        <v>38074</v>
      </c>
      <c r="B5004" s="6">
        <v>9.7222222222222206E-3</v>
      </c>
      <c r="C5004" s="5">
        <v>178</v>
      </c>
    </row>
    <row r="5005" spans="1:3">
      <c r="A5005" s="68">
        <v>38074</v>
      </c>
      <c r="B5005" s="6">
        <v>1.0416666666666701E-2</v>
      </c>
      <c r="C5005" s="5">
        <v>180</v>
      </c>
    </row>
    <row r="5006" spans="1:3">
      <c r="A5006" s="68">
        <v>38074</v>
      </c>
      <c r="B5006" s="6">
        <v>1.1111111111111099E-2</v>
      </c>
      <c r="C5006" s="5">
        <v>177</v>
      </c>
    </row>
    <row r="5007" spans="1:3">
      <c r="A5007" s="68">
        <v>38074</v>
      </c>
      <c r="B5007" s="6">
        <v>1.18055555555556E-2</v>
      </c>
      <c r="C5007" s="5">
        <v>176</v>
      </c>
    </row>
    <row r="5008" spans="1:3">
      <c r="A5008" s="68">
        <v>38074</v>
      </c>
      <c r="B5008" s="6">
        <v>1.2500000000000001E-2</v>
      </c>
      <c r="C5008" s="5">
        <v>176</v>
      </c>
    </row>
    <row r="5009" spans="1:3">
      <c r="A5009" s="68">
        <v>38074</v>
      </c>
      <c r="B5009" s="6">
        <v>1.3194444444444399E-2</v>
      </c>
      <c r="C5009" s="5">
        <v>177</v>
      </c>
    </row>
    <row r="5010" spans="1:3">
      <c r="A5010" s="68">
        <v>38074</v>
      </c>
      <c r="B5010" s="6">
        <v>1.38888888888889E-2</v>
      </c>
      <c r="C5010" s="5">
        <v>178</v>
      </c>
    </row>
    <row r="5011" spans="1:3">
      <c r="A5011" s="68">
        <v>38074</v>
      </c>
      <c r="B5011" s="6">
        <v>1.4583333333333301E-2</v>
      </c>
      <c r="C5011" s="5">
        <v>176</v>
      </c>
    </row>
    <row r="5012" spans="1:3">
      <c r="A5012" s="68">
        <v>38074</v>
      </c>
      <c r="B5012" s="6">
        <v>1.52777777777778E-2</v>
      </c>
      <c r="C5012" s="5">
        <v>175</v>
      </c>
    </row>
    <row r="5013" spans="1:3">
      <c r="A5013" s="68">
        <v>38074</v>
      </c>
      <c r="B5013" s="6">
        <v>1.59722222222222E-2</v>
      </c>
      <c r="C5013" s="5">
        <v>174</v>
      </c>
    </row>
    <row r="5014" spans="1:3">
      <c r="A5014" s="68">
        <v>38074</v>
      </c>
      <c r="B5014" s="6">
        <v>1.6666666666666701E-2</v>
      </c>
      <c r="C5014" s="5">
        <v>174</v>
      </c>
    </row>
    <row r="5015" spans="1:3">
      <c r="A5015" s="68">
        <v>38074</v>
      </c>
      <c r="B5015" s="6">
        <v>1.7361111111111101E-2</v>
      </c>
      <c r="C5015" s="5">
        <v>175</v>
      </c>
    </row>
    <row r="5016" spans="1:3">
      <c r="A5016" s="68">
        <v>38074</v>
      </c>
      <c r="B5016" s="6">
        <v>1.8055555555555599E-2</v>
      </c>
      <c r="C5016" s="5">
        <v>173</v>
      </c>
    </row>
    <row r="5017" spans="1:3">
      <c r="A5017" s="68">
        <v>38074</v>
      </c>
      <c r="B5017" s="6">
        <v>1.8749999999999999E-2</v>
      </c>
      <c r="C5017" s="5">
        <v>174</v>
      </c>
    </row>
    <row r="5018" spans="1:3">
      <c r="A5018" s="68">
        <v>38074</v>
      </c>
      <c r="B5018" s="6">
        <v>1.94444444444444E-2</v>
      </c>
      <c r="C5018" s="5">
        <v>172</v>
      </c>
    </row>
    <row r="5019" spans="1:3">
      <c r="A5019" s="68">
        <v>38074</v>
      </c>
      <c r="B5019" s="6">
        <v>2.01388888888888E-2</v>
      </c>
      <c r="C5019" s="5">
        <v>173</v>
      </c>
    </row>
    <row r="5020" spans="1:3">
      <c r="A5020" s="68">
        <v>38074</v>
      </c>
      <c r="B5020" s="6">
        <v>2.08333333333332E-2</v>
      </c>
      <c r="C5020" s="5">
        <v>179</v>
      </c>
    </row>
    <row r="5021" spans="1:3">
      <c r="A5021" s="68">
        <v>38074</v>
      </c>
      <c r="B5021" s="6">
        <v>2.1527777777777601E-2</v>
      </c>
      <c r="C5021" s="5">
        <v>178</v>
      </c>
    </row>
    <row r="5022" spans="1:3">
      <c r="A5022" s="68">
        <v>38074</v>
      </c>
      <c r="B5022" s="6">
        <v>2.2222222222222001E-2</v>
      </c>
      <c r="C5022" s="5">
        <v>176</v>
      </c>
    </row>
    <row r="5023" spans="1:3">
      <c r="A5023" s="68">
        <v>38074</v>
      </c>
      <c r="B5023" s="6">
        <v>2.2916666666666401E-2</v>
      </c>
      <c r="C5023" s="5">
        <v>177</v>
      </c>
    </row>
    <row r="5024" spans="1:3">
      <c r="A5024" s="68">
        <v>38074</v>
      </c>
      <c r="B5024" s="6">
        <v>2.3611111111110802E-2</v>
      </c>
      <c r="C5024" s="5">
        <v>175</v>
      </c>
    </row>
    <row r="5025" spans="1:3">
      <c r="A5025" s="68">
        <v>38074</v>
      </c>
      <c r="B5025" s="6">
        <v>2.4305555555555199E-2</v>
      </c>
      <c r="C5025" s="5">
        <v>176</v>
      </c>
    </row>
    <row r="5026" spans="1:3">
      <c r="A5026" s="68">
        <v>38074</v>
      </c>
      <c r="B5026" s="6">
        <v>2.4999999999999599E-2</v>
      </c>
      <c r="C5026" s="5">
        <v>176</v>
      </c>
    </row>
    <row r="5027" spans="1:3">
      <c r="A5027" s="68">
        <v>38074</v>
      </c>
      <c r="B5027" s="6">
        <v>2.5694444444443999E-2</v>
      </c>
      <c r="C5027" s="5">
        <v>175</v>
      </c>
    </row>
    <row r="5028" spans="1:3">
      <c r="A5028" s="68">
        <v>38074</v>
      </c>
      <c r="B5028" s="6">
        <v>2.63888888888884E-2</v>
      </c>
      <c r="C5028" s="5">
        <v>176</v>
      </c>
    </row>
    <row r="5029" spans="1:3">
      <c r="A5029" s="68">
        <v>38074</v>
      </c>
      <c r="B5029" s="6">
        <v>2.70833333333328E-2</v>
      </c>
      <c r="C5029" s="5">
        <v>174</v>
      </c>
    </row>
    <row r="5030" spans="1:3">
      <c r="A5030" s="68">
        <v>38074</v>
      </c>
      <c r="B5030" s="6">
        <v>2.77777777777772E-2</v>
      </c>
      <c r="C5030" s="5">
        <v>175</v>
      </c>
    </row>
    <row r="5031" spans="1:3">
      <c r="A5031" s="68">
        <v>38074</v>
      </c>
      <c r="B5031" s="6">
        <v>2.8472222222221601E-2</v>
      </c>
      <c r="C5031" s="5">
        <v>178</v>
      </c>
    </row>
    <row r="5032" spans="1:3">
      <c r="A5032" s="68">
        <v>38074</v>
      </c>
      <c r="B5032" s="6">
        <v>2.9166666666666001E-2</v>
      </c>
      <c r="C5032" s="5">
        <v>175</v>
      </c>
    </row>
    <row r="5033" spans="1:3">
      <c r="A5033" s="68">
        <v>38074</v>
      </c>
      <c r="B5033" s="6">
        <v>2.9861111111110401E-2</v>
      </c>
      <c r="C5033" s="5">
        <v>177</v>
      </c>
    </row>
    <row r="5034" spans="1:3">
      <c r="A5034" s="68">
        <v>38074</v>
      </c>
      <c r="B5034" s="6">
        <v>3.0555555555554802E-2</v>
      </c>
      <c r="C5034" s="5">
        <v>177</v>
      </c>
    </row>
    <row r="5035" spans="1:3">
      <c r="A5035" s="68">
        <v>38074</v>
      </c>
      <c r="B5035" s="6">
        <v>3.1249999999999199E-2</v>
      </c>
      <c r="C5035" s="5">
        <v>178</v>
      </c>
    </row>
    <row r="5036" spans="1:3">
      <c r="A5036" s="68">
        <v>38074</v>
      </c>
      <c r="B5036" s="6">
        <v>3.1944444444443602E-2</v>
      </c>
      <c r="C5036" s="5">
        <v>178</v>
      </c>
    </row>
    <row r="5037" spans="1:3">
      <c r="A5037" s="68">
        <v>38074</v>
      </c>
      <c r="B5037" s="6">
        <v>3.2638888888888003E-2</v>
      </c>
      <c r="C5037" s="5">
        <v>179</v>
      </c>
    </row>
    <row r="5038" spans="1:3">
      <c r="A5038" s="68">
        <v>38074</v>
      </c>
      <c r="B5038" s="6">
        <v>3.3333333333332403E-2</v>
      </c>
      <c r="C5038" s="5">
        <v>180</v>
      </c>
    </row>
    <row r="5039" spans="1:3">
      <c r="A5039" s="68">
        <v>38074</v>
      </c>
      <c r="B5039" s="6">
        <v>3.4027777777776803E-2</v>
      </c>
      <c r="C5039" s="5">
        <v>179</v>
      </c>
    </row>
    <row r="5040" spans="1:3">
      <c r="A5040" s="68">
        <v>38074</v>
      </c>
      <c r="B5040" s="6">
        <v>3.47222222222211E-2</v>
      </c>
      <c r="C5040" s="5">
        <v>180</v>
      </c>
    </row>
    <row r="5041" spans="1:3">
      <c r="A5041" s="68">
        <v>38074</v>
      </c>
      <c r="B5041" s="6">
        <v>3.54166666666655E-2</v>
      </c>
      <c r="C5041" s="5">
        <v>179</v>
      </c>
    </row>
    <row r="5042" spans="1:3">
      <c r="A5042" s="68">
        <v>38074</v>
      </c>
      <c r="B5042" s="6">
        <v>3.61111111111099E-2</v>
      </c>
      <c r="C5042" s="5">
        <v>179</v>
      </c>
    </row>
    <row r="5043" spans="1:3">
      <c r="A5043" s="68">
        <v>38074</v>
      </c>
      <c r="B5043" s="6">
        <v>3.6805555555554301E-2</v>
      </c>
      <c r="C5043" s="5">
        <v>179</v>
      </c>
    </row>
    <row r="5044" spans="1:3">
      <c r="A5044" s="68">
        <v>38074</v>
      </c>
      <c r="B5044" s="6">
        <v>3.7499999999998701E-2</v>
      </c>
      <c r="C5044" s="5">
        <v>179</v>
      </c>
    </row>
    <row r="5045" spans="1:3">
      <c r="A5045" s="68">
        <v>38074</v>
      </c>
      <c r="B5045" s="6">
        <v>3.8194444444443101E-2</v>
      </c>
      <c r="C5045" s="5">
        <v>179</v>
      </c>
    </row>
    <row r="5046" spans="1:3">
      <c r="A5046" s="68">
        <v>38074</v>
      </c>
      <c r="B5046" s="6">
        <v>3.8888888888887502E-2</v>
      </c>
      <c r="C5046" s="5">
        <v>179</v>
      </c>
    </row>
    <row r="5047" spans="1:3">
      <c r="A5047" s="68">
        <v>38074</v>
      </c>
      <c r="B5047" s="6">
        <v>3.9583333333331902E-2</v>
      </c>
      <c r="C5047" s="5">
        <v>180</v>
      </c>
    </row>
    <row r="5048" spans="1:3">
      <c r="A5048" s="68">
        <v>38074</v>
      </c>
      <c r="B5048" s="6">
        <v>4.0277777777776302E-2</v>
      </c>
      <c r="C5048" s="5">
        <v>180</v>
      </c>
    </row>
    <row r="5049" spans="1:3">
      <c r="A5049" s="68">
        <v>38074</v>
      </c>
      <c r="B5049" s="6">
        <v>4.0972222222220703E-2</v>
      </c>
      <c r="C5049" s="5">
        <v>179</v>
      </c>
    </row>
    <row r="5050" spans="1:3">
      <c r="A5050" s="68">
        <v>38074</v>
      </c>
      <c r="B5050" s="6">
        <v>4.1666666666665103E-2</v>
      </c>
      <c r="C5050" s="5">
        <v>180</v>
      </c>
    </row>
    <row r="5051" spans="1:3">
      <c r="A5051" s="68">
        <v>38074</v>
      </c>
      <c r="B5051" s="6">
        <v>4.2361111111109503E-2</v>
      </c>
      <c r="C5051" s="5">
        <v>181</v>
      </c>
    </row>
    <row r="5052" spans="1:3">
      <c r="A5052" s="68">
        <v>38074</v>
      </c>
      <c r="B5052" s="6">
        <v>4.3055555555553897E-2</v>
      </c>
      <c r="C5052" s="5">
        <v>180</v>
      </c>
    </row>
    <row r="5053" spans="1:3">
      <c r="A5053" s="68">
        <v>38074</v>
      </c>
      <c r="B5053" s="6">
        <v>4.3749999999998297E-2</v>
      </c>
      <c r="C5053" s="5">
        <v>181</v>
      </c>
    </row>
    <row r="5054" spans="1:3">
      <c r="A5054" s="68">
        <v>38074</v>
      </c>
      <c r="B5054" s="6">
        <v>4.4444444444442698E-2</v>
      </c>
      <c r="C5054" s="5">
        <v>181</v>
      </c>
    </row>
    <row r="5055" spans="1:3">
      <c r="A5055" s="68">
        <v>38074</v>
      </c>
      <c r="B5055" s="6">
        <v>4.5138888888887098E-2</v>
      </c>
      <c r="C5055" s="5">
        <v>181</v>
      </c>
    </row>
    <row r="5056" spans="1:3">
      <c r="A5056" s="68">
        <v>38074</v>
      </c>
      <c r="B5056" s="6">
        <v>4.5833333333331498E-2</v>
      </c>
      <c r="C5056" s="5">
        <v>178</v>
      </c>
    </row>
    <row r="5057" spans="1:3">
      <c r="A5057" s="68">
        <v>38074</v>
      </c>
      <c r="B5057" s="6">
        <v>4.6527777777775899E-2</v>
      </c>
      <c r="C5057" s="5">
        <v>179</v>
      </c>
    </row>
    <row r="5058" spans="1:3">
      <c r="A5058" s="68">
        <v>38074</v>
      </c>
      <c r="B5058" s="6">
        <v>4.7222222222220299E-2</v>
      </c>
      <c r="C5058" s="5">
        <v>179</v>
      </c>
    </row>
    <row r="5059" spans="1:3">
      <c r="A5059" s="68">
        <v>38074</v>
      </c>
      <c r="B5059" s="6">
        <v>4.7916666666664699E-2</v>
      </c>
      <c r="C5059" s="5">
        <v>181</v>
      </c>
    </row>
    <row r="5060" spans="1:3">
      <c r="A5060" s="68">
        <v>38074</v>
      </c>
      <c r="B5060" s="6">
        <v>4.86111111111091E-2</v>
      </c>
      <c r="C5060" s="5">
        <v>180</v>
      </c>
    </row>
    <row r="5061" spans="1:3">
      <c r="A5061" s="68">
        <v>38074</v>
      </c>
      <c r="B5061" s="6">
        <v>4.93055555555535E-2</v>
      </c>
      <c r="C5061" s="5">
        <v>180</v>
      </c>
    </row>
    <row r="5062" spans="1:3">
      <c r="A5062" s="68">
        <v>38111</v>
      </c>
    </row>
    <row r="5063" spans="1:3">
      <c r="A5063" s="68">
        <v>38111</v>
      </c>
      <c r="B5063" s="6">
        <v>0</v>
      </c>
      <c r="C5063" s="5">
        <v>104</v>
      </c>
    </row>
    <row r="5064" spans="1:3">
      <c r="A5064" s="68">
        <v>38111</v>
      </c>
      <c r="B5064" s="6">
        <v>1.7361111111111112E-4</v>
      </c>
      <c r="C5064" s="5">
        <v>134</v>
      </c>
    </row>
    <row r="5065" spans="1:3">
      <c r="A5065" s="68">
        <v>38111</v>
      </c>
      <c r="B5065" s="6">
        <v>3.4722222222222202E-4</v>
      </c>
      <c r="C5065" s="5">
        <v>159</v>
      </c>
    </row>
    <row r="5066" spans="1:3">
      <c r="A5066" s="68">
        <v>38111</v>
      </c>
      <c r="B5066" s="6">
        <v>5.20833333333333E-4</v>
      </c>
      <c r="C5066" s="5">
        <v>162</v>
      </c>
    </row>
    <row r="5067" spans="1:3">
      <c r="A5067" s="68">
        <v>38111</v>
      </c>
      <c r="B5067" s="6">
        <v>6.9444444444444404E-4</v>
      </c>
      <c r="C5067" s="5">
        <v>168</v>
      </c>
    </row>
    <row r="5068" spans="1:3">
      <c r="A5068" s="68">
        <v>38111</v>
      </c>
      <c r="B5068" s="6">
        <v>8.6805555555555605E-4</v>
      </c>
      <c r="C5068" s="5">
        <v>170</v>
      </c>
    </row>
    <row r="5069" spans="1:3">
      <c r="A5069" s="68">
        <v>38111</v>
      </c>
      <c r="B5069" s="6">
        <v>1.0416666666666699E-3</v>
      </c>
      <c r="C5069" s="5">
        <v>172</v>
      </c>
    </row>
    <row r="5070" spans="1:3">
      <c r="A5070" s="68">
        <v>38111</v>
      </c>
      <c r="B5070" s="6">
        <v>1.21527777777778E-3</v>
      </c>
      <c r="C5070" s="5">
        <v>171</v>
      </c>
    </row>
    <row r="5071" spans="1:3">
      <c r="A5071" s="68">
        <v>38111</v>
      </c>
      <c r="B5071" s="6">
        <v>1.38888888888889E-3</v>
      </c>
      <c r="C5071" s="5">
        <v>173</v>
      </c>
    </row>
    <row r="5072" spans="1:3">
      <c r="A5072" s="68">
        <v>38111</v>
      </c>
      <c r="B5072" s="6">
        <v>1.5625000000000001E-3</v>
      </c>
      <c r="C5072" s="5">
        <v>172</v>
      </c>
    </row>
    <row r="5073" spans="1:3">
      <c r="A5073" s="68">
        <v>38111</v>
      </c>
      <c r="B5073" s="6">
        <v>1.7361111111111099E-3</v>
      </c>
      <c r="C5073" s="5">
        <v>173</v>
      </c>
    </row>
    <row r="5074" spans="1:3">
      <c r="A5074" s="68">
        <v>38111</v>
      </c>
      <c r="B5074" s="6">
        <v>1.90972222222222E-3</v>
      </c>
      <c r="C5074" s="5">
        <v>175</v>
      </c>
    </row>
    <row r="5075" spans="1:3">
      <c r="A5075" s="68">
        <v>38111</v>
      </c>
      <c r="B5075" s="6">
        <v>2.0833333333333298E-3</v>
      </c>
      <c r="C5075" s="5">
        <v>175</v>
      </c>
    </row>
    <row r="5076" spans="1:3">
      <c r="A5076" s="68">
        <v>38111</v>
      </c>
      <c r="B5076" s="6">
        <v>2.2569444444444399E-3</v>
      </c>
      <c r="C5076" s="5">
        <v>174</v>
      </c>
    </row>
    <row r="5077" spans="1:3">
      <c r="A5077" s="68">
        <v>38111</v>
      </c>
      <c r="B5077" s="6">
        <v>2.4305555555555599E-3</v>
      </c>
      <c r="C5077" s="5">
        <v>161</v>
      </c>
    </row>
    <row r="5078" spans="1:3">
      <c r="A5078" s="68">
        <v>38111</v>
      </c>
      <c r="B5078" s="6">
        <v>2.60416666666667E-3</v>
      </c>
      <c r="C5078" s="5">
        <v>156</v>
      </c>
    </row>
    <row r="5079" spans="1:3">
      <c r="A5079" s="68">
        <v>38111</v>
      </c>
      <c r="B5079" s="6">
        <v>2.7777777777777801E-3</v>
      </c>
      <c r="C5079" s="5">
        <v>150</v>
      </c>
    </row>
    <row r="5080" spans="1:3">
      <c r="A5080" s="68">
        <v>38111</v>
      </c>
      <c r="B5080" s="6">
        <v>2.9513888888888901E-3</v>
      </c>
      <c r="C5080" s="5">
        <v>164</v>
      </c>
    </row>
    <row r="5081" spans="1:3">
      <c r="A5081" s="68">
        <v>38111</v>
      </c>
      <c r="B5081" s="6">
        <v>3.1250000000000002E-3</v>
      </c>
      <c r="C5081" s="5">
        <v>171</v>
      </c>
    </row>
    <row r="5082" spans="1:3">
      <c r="A5082" s="68">
        <v>38111</v>
      </c>
      <c r="B5082" s="6">
        <v>3.2986111111111098E-3</v>
      </c>
      <c r="C5082" s="5">
        <v>172</v>
      </c>
    </row>
    <row r="5083" spans="1:3">
      <c r="A5083" s="68">
        <v>38111</v>
      </c>
      <c r="B5083" s="6">
        <v>3.4722222222222199E-3</v>
      </c>
      <c r="C5083" s="5">
        <v>158</v>
      </c>
    </row>
    <row r="5084" spans="1:3">
      <c r="A5084" s="68">
        <v>38111</v>
      </c>
      <c r="B5084" s="6">
        <v>3.6458333333333299E-3</v>
      </c>
      <c r="C5084" s="5">
        <v>148</v>
      </c>
    </row>
    <row r="5085" spans="1:3">
      <c r="A5085" s="68">
        <v>38111</v>
      </c>
      <c r="B5085" s="6">
        <v>3.81944444444444E-3</v>
      </c>
      <c r="C5085" s="5">
        <v>141</v>
      </c>
    </row>
    <row r="5086" spans="1:3">
      <c r="A5086" s="68">
        <v>38111</v>
      </c>
      <c r="B5086" s="6">
        <v>3.99305555555555E-3</v>
      </c>
      <c r="C5086" s="5">
        <v>139</v>
      </c>
    </row>
    <row r="5087" spans="1:3">
      <c r="A5087" s="68">
        <v>38111</v>
      </c>
      <c r="B5087" s="6">
        <v>4.1666666666666597E-3</v>
      </c>
      <c r="C5087" s="5">
        <v>133</v>
      </c>
    </row>
    <row r="5088" spans="1:3">
      <c r="A5088" s="68">
        <v>38111</v>
      </c>
      <c r="B5088" s="6">
        <v>4.3402777777777702E-3</v>
      </c>
      <c r="C5088" s="5">
        <v>132</v>
      </c>
    </row>
    <row r="5089" spans="1:3">
      <c r="A5089" s="68">
        <v>38111</v>
      </c>
      <c r="B5089" s="6">
        <v>4.5138888888888798E-3</v>
      </c>
      <c r="C5089" s="5">
        <v>129</v>
      </c>
    </row>
    <row r="5090" spans="1:3">
      <c r="A5090" s="68">
        <v>38111</v>
      </c>
      <c r="B5090" s="6">
        <v>4.6874999999999903E-3</v>
      </c>
      <c r="C5090" s="5">
        <v>127</v>
      </c>
    </row>
    <row r="5091" spans="1:3">
      <c r="A5091" s="68">
        <v>38111</v>
      </c>
      <c r="B5091" s="6">
        <v>4.8611111111110999E-3</v>
      </c>
      <c r="C5091" s="5">
        <v>127</v>
      </c>
    </row>
    <row r="5092" spans="1:3">
      <c r="A5092" s="68">
        <v>38111</v>
      </c>
      <c r="B5092" s="6">
        <v>5.0347222222222104E-3</v>
      </c>
      <c r="C5092" s="5">
        <v>124</v>
      </c>
    </row>
    <row r="5093" spans="1:3">
      <c r="A5093" s="68">
        <v>38111</v>
      </c>
      <c r="B5093" s="6">
        <v>5.20833333333332E-3</v>
      </c>
    </row>
    <row r="5094" spans="1:3">
      <c r="A5094" s="68">
        <v>38111</v>
      </c>
      <c r="B5094" s="6">
        <v>5.3819444444444297E-3</v>
      </c>
      <c r="C5094" s="5">
        <v>121</v>
      </c>
    </row>
    <row r="5095" spans="1:3">
      <c r="A5095" s="68">
        <v>38111</v>
      </c>
      <c r="B5095" s="6">
        <v>5.5555555555555402E-3</v>
      </c>
      <c r="C5095" s="5">
        <v>150</v>
      </c>
    </row>
    <row r="5096" spans="1:3">
      <c r="A5096" s="68">
        <v>38111</v>
      </c>
      <c r="B5096" s="6">
        <v>5.7291666666666498E-3</v>
      </c>
      <c r="C5096" s="5">
        <v>162</v>
      </c>
    </row>
    <row r="5097" spans="1:3">
      <c r="A5097" s="68">
        <v>38111</v>
      </c>
      <c r="B5097" s="6">
        <v>5.9027777777777603E-3</v>
      </c>
      <c r="C5097" s="5">
        <v>168</v>
      </c>
    </row>
    <row r="5098" spans="1:3">
      <c r="A5098" s="68">
        <v>38111</v>
      </c>
      <c r="B5098" s="6">
        <v>6.0763888888888699E-3</v>
      </c>
      <c r="C5098" s="5">
        <v>172</v>
      </c>
    </row>
    <row r="5099" spans="1:3">
      <c r="A5099" s="68">
        <v>38111</v>
      </c>
      <c r="B5099" s="6">
        <v>6.2499999999999804E-3</v>
      </c>
      <c r="C5099" s="5">
        <v>174</v>
      </c>
    </row>
    <row r="5100" spans="1:3">
      <c r="A5100" s="68">
        <v>38111</v>
      </c>
      <c r="B5100" s="6">
        <v>6.42361111111109E-3</v>
      </c>
      <c r="C5100" s="5">
        <v>176</v>
      </c>
    </row>
    <row r="5101" spans="1:3">
      <c r="A5101" s="68">
        <v>38111</v>
      </c>
      <c r="B5101" s="6">
        <v>6.5972222222221997E-3</v>
      </c>
      <c r="C5101" s="5">
        <v>177</v>
      </c>
    </row>
    <row r="5102" spans="1:3">
      <c r="A5102" s="68">
        <v>38111</v>
      </c>
      <c r="B5102" s="6">
        <v>6.7708333333333101E-3</v>
      </c>
      <c r="C5102" s="5">
        <v>176</v>
      </c>
    </row>
    <row r="5103" spans="1:3">
      <c r="A5103" s="68">
        <v>38111</v>
      </c>
      <c r="B5103" s="6">
        <v>6.9444444444444198E-3</v>
      </c>
      <c r="C5103" s="5">
        <v>177</v>
      </c>
    </row>
    <row r="5104" spans="1:3">
      <c r="A5104" s="68">
        <v>38111</v>
      </c>
      <c r="B5104" s="6">
        <v>7.1180555555555303E-3</v>
      </c>
      <c r="C5104" s="5">
        <v>178</v>
      </c>
    </row>
    <row r="5105" spans="1:3">
      <c r="A5105" s="68">
        <v>38111</v>
      </c>
      <c r="B5105" s="6">
        <v>7.2916666666666399E-3</v>
      </c>
      <c r="C5105" s="5">
        <v>178</v>
      </c>
    </row>
    <row r="5106" spans="1:3">
      <c r="A5106" s="68">
        <v>38111</v>
      </c>
      <c r="B5106" s="6">
        <v>7.46527777777774E-3</v>
      </c>
      <c r="C5106" s="5">
        <v>177</v>
      </c>
    </row>
    <row r="5107" spans="1:3">
      <c r="A5107" s="68">
        <v>38111</v>
      </c>
      <c r="B5107" s="6">
        <v>7.6388888888888496E-3</v>
      </c>
      <c r="C5107" s="5">
        <v>176</v>
      </c>
    </row>
    <row r="5108" spans="1:3">
      <c r="A5108" s="68">
        <v>38111</v>
      </c>
      <c r="B5108" s="6">
        <v>7.8124999999999601E-3</v>
      </c>
      <c r="C5108" s="5">
        <v>165</v>
      </c>
    </row>
    <row r="5109" spans="1:3">
      <c r="A5109" s="68">
        <v>38111</v>
      </c>
      <c r="B5109" s="6">
        <v>7.9861111111110706E-3</v>
      </c>
      <c r="C5109" s="5">
        <v>156</v>
      </c>
    </row>
    <row r="5110" spans="1:3">
      <c r="A5110" s="68">
        <v>38111</v>
      </c>
      <c r="B5110" s="6">
        <v>8.1597222222221794E-3</v>
      </c>
      <c r="C5110" s="5">
        <v>157</v>
      </c>
    </row>
    <row r="5111" spans="1:3">
      <c r="A5111" s="68">
        <v>38111</v>
      </c>
      <c r="B5111" s="6">
        <v>8.3333333333332898E-3</v>
      </c>
      <c r="C5111" s="5">
        <v>155</v>
      </c>
    </row>
    <row r="5112" spans="1:3">
      <c r="A5112" s="68">
        <v>38111</v>
      </c>
      <c r="B5112" s="6">
        <v>8.5069444444444003E-3</v>
      </c>
      <c r="C5112" s="5">
        <v>164</v>
      </c>
    </row>
    <row r="5113" spans="1:3">
      <c r="A5113" s="68">
        <v>38111</v>
      </c>
      <c r="B5113" s="6">
        <v>8.6805555555555108E-3</v>
      </c>
      <c r="C5113" s="5">
        <v>171</v>
      </c>
    </row>
    <row r="5114" spans="1:3">
      <c r="A5114" s="68">
        <v>38111</v>
      </c>
      <c r="B5114" s="6">
        <v>8.8541666666666196E-3</v>
      </c>
      <c r="C5114" s="5">
        <v>166</v>
      </c>
    </row>
    <row r="5115" spans="1:3">
      <c r="A5115" s="68">
        <v>38111</v>
      </c>
      <c r="B5115" s="6">
        <v>9.0277777777777301E-3</v>
      </c>
      <c r="C5115" s="5">
        <v>149</v>
      </c>
    </row>
    <row r="5116" spans="1:3">
      <c r="A5116" s="68">
        <v>38111</v>
      </c>
      <c r="B5116" s="6">
        <v>9.2013888888888406E-3</v>
      </c>
      <c r="C5116" s="5">
        <v>142</v>
      </c>
    </row>
    <row r="5117" spans="1:3">
      <c r="A5117" s="68">
        <v>38111</v>
      </c>
      <c r="B5117" s="6">
        <v>9.3749999999999493E-3</v>
      </c>
      <c r="C5117" s="5">
        <v>137</v>
      </c>
    </row>
    <row r="5118" spans="1:3">
      <c r="A5118" s="68">
        <v>38111</v>
      </c>
      <c r="B5118" s="6">
        <v>9.5486111111110598E-3</v>
      </c>
      <c r="C5118" s="5">
        <v>133</v>
      </c>
    </row>
    <row r="5119" spans="1:3">
      <c r="A5119" s="68">
        <v>38111</v>
      </c>
      <c r="B5119" s="6">
        <v>9.7222222222221703E-3</v>
      </c>
      <c r="C5119" s="5">
        <v>128</v>
      </c>
    </row>
    <row r="5120" spans="1:3">
      <c r="A5120" s="68">
        <v>38111</v>
      </c>
      <c r="B5120" s="6">
        <v>9.8958333333332808E-3</v>
      </c>
      <c r="C5120" s="5">
        <v>126</v>
      </c>
    </row>
    <row r="5121" spans="1:3">
      <c r="A5121" s="68">
        <v>38111</v>
      </c>
      <c r="B5121" s="6">
        <v>1.00694444444444E-2</v>
      </c>
      <c r="C5121" s="5">
        <v>126</v>
      </c>
    </row>
    <row r="5122" spans="1:3">
      <c r="A5122" s="68">
        <v>38111</v>
      </c>
      <c r="B5122" s="6">
        <v>1.02430555555555E-2</v>
      </c>
      <c r="C5122" s="5">
        <v>124</v>
      </c>
    </row>
    <row r="5123" spans="1:3">
      <c r="A5123" s="68">
        <v>38111</v>
      </c>
      <c r="B5123" s="6">
        <v>1.04166666666666E-2</v>
      </c>
      <c r="C5123" s="5">
        <v>125</v>
      </c>
    </row>
    <row r="5124" spans="1:3">
      <c r="A5124" s="68">
        <v>38111</v>
      </c>
      <c r="B5124" s="6">
        <v>1.05902777777777E-2</v>
      </c>
    </row>
    <row r="5125" spans="1:3">
      <c r="A5125" s="68">
        <v>38111</v>
      </c>
      <c r="B5125" s="6">
        <v>1.07638888888888E-2</v>
      </c>
      <c r="C5125" s="5">
        <v>122</v>
      </c>
    </row>
    <row r="5126" spans="1:3">
      <c r="A5126" s="68">
        <v>38111</v>
      </c>
      <c r="B5126" s="6">
        <v>1.09374999999999E-2</v>
      </c>
      <c r="C5126" s="5">
        <v>145</v>
      </c>
    </row>
    <row r="5127" spans="1:3">
      <c r="A5127" s="68">
        <v>38111</v>
      </c>
      <c r="B5127" s="6">
        <v>1.1111111111111099E-2</v>
      </c>
      <c r="C5127" s="5">
        <v>161</v>
      </c>
    </row>
    <row r="5128" spans="1:3">
      <c r="A5128" s="68">
        <v>38111</v>
      </c>
      <c r="B5128" s="6">
        <v>1.1284722222222199E-2</v>
      </c>
      <c r="C5128" s="5">
        <v>167</v>
      </c>
    </row>
    <row r="5129" spans="1:3">
      <c r="A5129" s="68">
        <v>38111</v>
      </c>
      <c r="B5129" s="6">
        <v>1.14583333333333E-2</v>
      </c>
      <c r="C5129" s="5">
        <v>172</v>
      </c>
    </row>
    <row r="5130" spans="1:3">
      <c r="A5130" s="68">
        <v>38111</v>
      </c>
      <c r="B5130" s="6">
        <v>1.16319444444444E-2</v>
      </c>
      <c r="C5130" s="5">
        <v>174</v>
      </c>
    </row>
    <row r="5131" spans="1:3">
      <c r="A5131" s="68">
        <v>38111</v>
      </c>
      <c r="B5131" s="6">
        <v>1.18055555555555E-2</v>
      </c>
      <c r="C5131" s="5">
        <v>176</v>
      </c>
    </row>
    <row r="5132" spans="1:3">
      <c r="A5132" s="68">
        <v>38111</v>
      </c>
      <c r="B5132" s="6">
        <v>1.19791666666666E-2</v>
      </c>
      <c r="C5132" s="5">
        <v>177</v>
      </c>
    </row>
    <row r="5133" spans="1:3">
      <c r="A5133" s="68">
        <v>38111</v>
      </c>
      <c r="B5133" s="6">
        <v>1.21527777777777E-2</v>
      </c>
      <c r="C5133" s="5">
        <v>179</v>
      </c>
    </row>
    <row r="5134" spans="1:3">
      <c r="A5134" s="68">
        <v>38111</v>
      </c>
      <c r="B5134" s="6">
        <v>1.23263888888888E-2</v>
      </c>
      <c r="C5134" s="5">
        <v>179</v>
      </c>
    </row>
    <row r="5135" spans="1:3">
      <c r="A5135" s="68">
        <v>38111</v>
      </c>
      <c r="B5135" s="6">
        <v>1.24999999999999E-2</v>
      </c>
      <c r="C5135" s="5">
        <v>180</v>
      </c>
    </row>
    <row r="5136" spans="1:3">
      <c r="A5136" s="68">
        <v>38111</v>
      </c>
      <c r="B5136" s="6">
        <v>1.2673611111111E-2</v>
      </c>
      <c r="C5136" s="5">
        <v>180</v>
      </c>
    </row>
    <row r="5137" spans="1:3">
      <c r="A5137" s="68">
        <v>38111</v>
      </c>
      <c r="B5137" s="6">
        <v>1.28472222222221E-2</v>
      </c>
      <c r="C5137" s="5">
        <v>182</v>
      </c>
    </row>
    <row r="5138" spans="1:3">
      <c r="A5138" s="68">
        <v>38111</v>
      </c>
      <c r="B5138" s="6">
        <v>1.30208333333332E-2</v>
      </c>
      <c r="C5138" s="5">
        <v>179</v>
      </c>
    </row>
    <row r="5139" spans="1:3">
      <c r="A5139" s="68">
        <v>38111</v>
      </c>
      <c r="B5139" s="6">
        <v>1.3194444444444399E-2</v>
      </c>
      <c r="C5139" s="5">
        <v>171</v>
      </c>
    </row>
    <row r="5140" spans="1:3">
      <c r="A5140" s="68">
        <v>38111</v>
      </c>
      <c r="B5140" s="6">
        <v>1.3368055555555499E-2</v>
      </c>
      <c r="C5140" s="5">
        <v>161</v>
      </c>
    </row>
    <row r="5141" spans="1:3">
      <c r="A5141" s="68">
        <v>38111</v>
      </c>
      <c r="B5141" s="6">
        <v>1.3541666666666599E-2</v>
      </c>
      <c r="C5141" s="5">
        <v>147</v>
      </c>
    </row>
    <row r="5142" spans="1:3">
      <c r="A5142" s="68">
        <v>38111</v>
      </c>
      <c r="B5142" s="6">
        <v>1.37152777777777E-2</v>
      </c>
      <c r="C5142" s="5">
        <v>148</v>
      </c>
    </row>
    <row r="5143" spans="1:3">
      <c r="A5143" s="68">
        <v>38111</v>
      </c>
      <c r="B5143" s="6">
        <v>1.38888888888888E-2</v>
      </c>
      <c r="C5143" s="5">
        <v>164</v>
      </c>
    </row>
    <row r="5144" spans="1:3">
      <c r="A5144" s="68">
        <v>38111</v>
      </c>
      <c r="B5144" s="6">
        <v>1.40624999999999E-2</v>
      </c>
      <c r="C5144" s="5">
        <v>170</v>
      </c>
    </row>
    <row r="5145" spans="1:3">
      <c r="A5145" s="68">
        <v>38111</v>
      </c>
      <c r="B5145" s="6">
        <v>1.4236111111111E-2</v>
      </c>
      <c r="C5145" s="5">
        <v>169</v>
      </c>
    </row>
    <row r="5146" spans="1:3">
      <c r="A5146" s="68">
        <v>38111</v>
      </c>
      <c r="B5146" s="6">
        <v>1.44097222222221E-2</v>
      </c>
      <c r="C5146" s="5">
        <v>159</v>
      </c>
    </row>
    <row r="5147" spans="1:3">
      <c r="A5147" s="68">
        <v>38111</v>
      </c>
      <c r="B5147" s="6">
        <v>1.45833333333332E-2</v>
      </c>
      <c r="C5147" s="5">
        <v>149</v>
      </c>
    </row>
    <row r="5148" spans="1:3">
      <c r="A5148" s="68">
        <v>38111</v>
      </c>
      <c r="B5148" s="6">
        <v>1.4756944444444401E-2</v>
      </c>
      <c r="C5148" s="5">
        <v>141</v>
      </c>
    </row>
    <row r="5149" spans="1:3">
      <c r="A5149" s="68">
        <v>38111</v>
      </c>
      <c r="B5149" s="6">
        <v>1.4930555555555501E-2</v>
      </c>
      <c r="C5149" s="5">
        <v>137</v>
      </c>
    </row>
    <row r="5150" spans="1:3">
      <c r="A5150" s="68">
        <v>38111</v>
      </c>
      <c r="B5150" s="6">
        <v>1.5104166666666601E-2</v>
      </c>
      <c r="C5150" s="5">
        <v>134</v>
      </c>
    </row>
    <row r="5151" spans="1:3">
      <c r="A5151" s="68">
        <v>38111</v>
      </c>
      <c r="B5151" s="6">
        <v>1.5277777777777699E-2</v>
      </c>
      <c r="C5151" s="5">
        <v>130</v>
      </c>
    </row>
    <row r="5152" spans="1:3">
      <c r="A5152" s="68">
        <v>38111</v>
      </c>
      <c r="B5152" s="6">
        <v>1.5451388888888799E-2</v>
      </c>
      <c r="C5152" s="5">
        <v>129</v>
      </c>
    </row>
    <row r="5153" spans="1:3">
      <c r="A5153" s="68">
        <v>38111</v>
      </c>
      <c r="B5153" s="6">
        <v>1.5624999999999899E-2</v>
      </c>
      <c r="C5153" s="5">
        <v>127</v>
      </c>
    </row>
    <row r="5154" spans="1:3">
      <c r="A5154" s="68">
        <v>38111</v>
      </c>
      <c r="B5154" s="6">
        <v>1.5798611111110999E-2</v>
      </c>
      <c r="C5154" s="5">
        <v>124</v>
      </c>
    </row>
    <row r="5155" spans="1:3">
      <c r="A5155" s="68">
        <v>38111</v>
      </c>
      <c r="B5155" s="6">
        <v>1.59722222222221E-2</v>
      </c>
    </row>
    <row r="5156" spans="1:3">
      <c r="A5156" s="68">
        <v>38111</v>
      </c>
      <c r="B5156" s="6">
        <v>1.61458333333332E-2</v>
      </c>
      <c r="C5156" s="5">
        <v>128</v>
      </c>
    </row>
    <row r="5157" spans="1:3">
      <c r="A5157" s="68">
        <v>38111</v>
      </c>
      <c r="B5157" s="6">
        <v>1.63194444444443E-2</v>
      </c>
      <c r="C5157" s="5">
        <v>150</v>
      </c>
    </row>
    <row r="5158" spans="1:3">
      <c r="A5158" s="68">
        <v>38111</v>
      </c>
      <c r="B5158" s="6">
        <v>1.64930555555554E-2</v>
      </c>
      <c r="C5158" s="5">
        <v>161</v>
      </c>
    </row>
    <row r="5159" spans="1:3">
      <c r="A5159" s="68">
        <v>38111</v>
      </c>
      <c r="B5159" s="6">
        <v>1.66666666666665E-2</v>
      </c>
      <c r="C5159" s="5">
        <v>169</v>
      </c>
    </row>
    <row r="5160" spans="1:3">
      <c r="A5160" s="68">
        <v>38111</v>
      </c>
      <c r="B5160" s="6">
        <v>1.6840277777777701E-2</v>
      </c>
      <c r="C5160" s="5">
        <v>172</v>
      </c>
    </row>
    <row r="5161" spans="1:3">
      <c r="A5161" s="68">
        <v>38111</v>
      </c>
      <c r="B5161" s="6">
        <v>1.7013888888888801E-2</v>
      </c>
      <c r="C5161" s="5">
        <v>177</v>
      </c>
    </row>
    <row r="5162" spans="1:3">
      <c r="A5162" s="68">
        <v>38111</v>
      </c>
      <c r="B5162" s="6">
        <v>1.7187499999999901E-2</v>
      </c>
      <c r="C5162" s="5">
        <v>179</v>
      </c>
    </row>
    <row r="5163" spans="1:3">
      <c r="A5163" s="68">
        <v>38111</v>
      </c>
      <c r="B5163" s="6">
        <v>1.7361111111111001E-2</v>
      </c>
      <c r="C5163" s="5">
        <v>179</v>
      </c>
    </row>
    <row r="5164" spans="1:3">
      <c r="A5164" s="68">
        <v>38111</v>
      </c>
      <c r="B5164" s="6">
        <v>1.7534722222222101E-2</v>
      </c>
      <c r="C5164" s="5">
        <v>180</v>
      </c>
    </row>
    <row r="5165" spans="1:3">
      <c r="A5165" s="68">
        <v>38111</v>
      </c>
      <c r="B5165" s="6">
        <v>1.7708333333333201E-2</v>
      </c>
      <c r="C5165" s="5">
        <v>179</v>
      </c>
    </row>
    <row r="5166" spans="1:3">
      <c r="A5166" s="68">
        <v>38111</v>
      </c>
      <c r="B5166" s="6">
        <v>1.7881944444444301E-2</v>
      </c>
      <c r="C5166" s="5">
        <v>181</v>
      </c>
    </row>
    <row r="5167" spans="1:3">
      <c r="A5167" s="68">
        <v>38111</v>
      </c>
      <c r="B5167" s="6">
        <v>1.8055555555555401E-2</v>
      </c>
      <c r="C5167" s="5">
        <v>181</v>
      </c>
    </row>
    <row r="5168" spans="1:3">
      <c r="A5168" s="68">
        <v>38111</v>
      </c>
      <c r="B5168" s="6">
        <v>1.8229166666666501E-2</v>
      </c>
      <c r="C5168" s="5">
        <v>183</v>
      </c>
    </row>
    <row r="5169" spans="1:3">
      <c r="A5169" s="68">
        <v>38111</v>
      </c>
      <c r="B5169" s="6">
        <v>1.8402777777777601E-2</v>
      </c>
      <c r="C5169" s="5">
        <v>180</v>
      </c>
    </row>
    <row r="5170" spans="1:3">
      <c r="A5170" s="68">
        <v>38111</v>
      </c>
      <c r="B5170" s="6">
        <v>1.8576388888888799E-2</v>
      </c>
      <c r="C5170" s="5">
        <v>172</v>
      </c>
    </row>
    <row r="5171" spans="1:3">
      <c r="A5171" s="68">
        <v>38111</v>
      </c>
      <c r="B5171" s="6">
        <v>1.8749999999999899E-2</v>
      </c>
      <c r="C5171" s="5">
        <v>164</v>
      </c>
    </row>
    <row r="5172" spans="1:3">
      <c r="A5172" s="68">
        <v>38111</v>
      </c>
      <c r="B5172" s="6">
        <v>1.8923611111110999E-2</v>
      </c>
      <c r="C5172" s="5">
        <v>152</v>
      </c>
    </row>
    <row r="5173" spans="1:3">
      <c r="A5173" s="68">
        <v>38111</v>
      </c>
      <c r="B5173" s="6">
        <v>1.9097222222222099E-2</v>
      </c>
      <c r="C5173" s="5">
        <v>159</v>
      </c>
    </row>
    <row r="5174" spans="1:3">
      <c r="A5174" s="68">
        <v>38111</v>
      </c>
      <c r="B5174" s="6">
        <v>1.9270833333333199E-2</v>
      </c>
      <c r="C5174" s="5">
        <v>170</v>
      </c>
    </row>
    <row r="5175" spans="1:3">
      <c r="A5175" s="68">
        <v>38111</v>
      </c>
      <c r="B5175" s="6">
        <v>1.9444444444444299E-2</v>
      </c>
      <c r="C5175" s="5">
        <v>174</v>
      </c>
    </row>
    <row r="5176" spans="1:3">
      <c r="A5176" s="68">
        <v>38111</v>
      </c>
      <c r="B5176" s="6">
        <v>1.9618055555555399E-2</v>
      </c>
      <c r="C5176" s="5">
        <v>167</v>
      </c>
    </row>
    <row r="5177" spans="1:3">
      <c r="A5177" s="68">
        <v>38111</v>
      </c>
      <c r="B5177" s="6">
        <v>1.9791666666666499E-2</v>
      </c>
      <c r="C5177" s="5">
        <v>157</v>
      </c>
    </row>
    <row r="5178" spans="1:3">
      <c r="A5178" s="68">
        <v>38111</v>
      </c>
      <c r="B5178" s="6">
        <v>1.9965277777777599E-2</v>
      </c>
      <c r="C5178" s="5">
        <v>146</v>
      </c>
    </row>
    <row r="5179" spans="1:3">
      <c r="A5179" s="68">
        <v>38111</v>
      </c>
      <c r="B5179" s="6">
        <v>2.0138888888888699E-2</v>
      </c>
      <c r="C5179" s="5">
        <v>137</v>
      </c>
    </row>
    <row r="5180" spans="1:3">
      <c r="A5180" s="68">
        <v>38111</v>
      </c>
      <c r="B5180" s="6">
        <v>2.0312499999999799E-2</v>
      </c>
      <c r="C5180" s="5">
        <v>135</v>
      </c>
    </row>
    <row r="5181" spans="1:3">
      <c r="A5181" s="68">
        <v>38111</v>
      </c>
      <c r="B5181" s="6">
        <v>2.0486111111111E-2</v>
      </c>
      <c r="C5181" s="5">
        <v>134</v>
      </c>
    </row>
    <row r="5182" spans="1:3">
      <c r="A5182" s="68">
        <v>38111</v>
      </c>
      <c r="B5182" s="6">
        <v>2.06597222222221E-2</v>
      </c>
      <c r="C5182" s="5">
        <v>133</v>
      </c>
    </row>
    <row r="5183" spans="1:3">
      <c r="A5183" s="68">
        <v>38111</v>
      </c>
      <c r="B5183" s="6">
        <v>2.08333333333332E-2</v>
      </c>
      <c r="C5183" s="5">
        <v>133</v>
      </c>
    </row>
    <row r="5184" spans="1:3">
      <c r="A5184" s="68">
        <v>38111</v>
      </c>
      <c r="B5184" s="6">
        <v>2.10069444444443E-2</v>
      </c>
      <c r="C5184" s="5">
        <v>130</v>
      </c>
    </row>
    <row r="5185" spans="1:3">
      <c r="A5185" s="68">
        <v>38111</v>
      </c>
      <c r="B5185" s="6">
        <v>2.1180555555555401E-2</v>
      </c>
      <c r="C5185" s="5">
        <v>128</v>
      </c>
    </row>
    <row r="5186" spans="1:3">
      <c r="A5186" s="68">
        <v>38111</v>
      </c>
      <c r="B5186" s="6">
        <v>2.1354166666666501E-2</v>
      </c>
    </row>
    <row r="5187" spans="1:3">
      <c r="A5187" s="68">
        <v>38111</v>
      </c>
      <c r="B5187" s="6">
        <v>2.1527777777777601E-2</v>
      </c>
      <c r="C5187" s="5">
        <v>126</v>
      </c>
    </row>
    <row r="5188" spans="1:3">
      <c r="A5188" s="68">
        <v>38111</v>
      </c>
      <c r="B5188" s="6">
        <v>2.1701388888888701E-2</v>
      </c>
      <c r="C5188" s="5">
        <v>153</v>
      </c>
    </row>
    <row r="5189" spans="1:3">
      <c r="A5189" s="68">
        <v>38111</v>
      </c>
      <c r="B5189" s="6">
        <v>2.1874999999999801E-2</v>
      </c>
      <c r="C5189" s="5">
        <v>165</v>
      </c>
    </row>
    <row r="5190" spans="1:3">
      <c r="A5190" s="68">
        <v>38111</v>
      </c>
      <c r="B5190" s="6">
        <v>2.2048611111110901E-2</v>
      </c>
      <c r="C5190" s="5">
        <v>170</v>
      </c>
    </row>
    <row r="5191" spans="1:3">
      <c r="A5191" s="68">
        <v>38111</v>
      </c>
      <c r="B5191" s="6">
        <v>2.2222222222222102E-2</v>
      </c>
      <c r="C5191" s="5">
        <v>175</v>
      </c>
    </row>
    <row r="5192" spans="1:3">
      <c r="A5192" s="68">
        <v>38111</v>
      </c>
      <c r="B5192" s="6">
        <v>2.2395833333333202E-2</v>
      </c>
      <c r="C5192" s="5">
        <v>178</v>
      </c>
    </row>
    <row r="5193" spans="1:3">
      <c r="A5193" s="68">
        <v>38111</v>
      </c>
      <c r="B5193" s="6">
        <v>2.2569444444444298E-2</v>
      </c>
      <c r="C5193" s="5">
        <v>180</v>
      </c>
    </row>
    <row r="5194" spans="1:3">
      <c r="A5194" s="68">
        <v>38111</v>
      </c>
      <c r="B5194" s="6">
        <v>2.2743055555555398E-2</v>
      </c>
      <c r="C5194" s="5">
        <v>180</v>
      </c>
    </row>
    <row r="5195" spans="1:3">
      <c r="A5195" s="68">
        <v>38111</v>
      </c>
      <c r="B5195" s="6">
        <v>2.2916666666666499E-2</v>
      </c>
      <c r="C5195" s="5">
        <v>181</v>
      </c>
    </row>
    <row r="5196" spans="1:3">
      <c r="A5196" s="68">
        <v>38111</v>
      </c>
      <c r="B5196" s="6">
        <v>2.3090277777777599E-2</v>
      </c>
      <c r="C5196" s="5">
        <v>182</v>
      </c>
    </row>
    <row r="5197" spans="1:3">
      <c r="A5197" s="68">
        <v>38111</v>
      </c>
      <c r="B5197" s="6">
        <v>2.3263888888888699E-2</v>
      </c>
      <c r="C5197" s="5">
        <v>183</v>
      </c>
    </row>
    <row r="5198" spans="1:3">
      <c r="A5198" s="68">
        <v>38111</v>
      </c>
      <c r="B5198" s="6">
        <v>2.3437499999999799E-2</v>
      </c>
      <c r="C5198" s="5">
        <v>184</v>
      </c>
    </row>
    <row r="5199" spans="1:3">
      <c r="A5199" s="68">
        <v>38111</v>
      </c>
      <c r="B5199" s="6">
        <v>2.3611111111110899E-2</v>
      </c>
      <c r="C5199" s="5">
        <v>185</v>
      </c>
    </row>
    <row r="5200" spans="1:3">
      <c r="A5200" s="68">
        <v>38111</v>
      </c>
      <c r="B5200" s="6">
        <v>2.3784722222221999E-2</v>
      </c>
      <c r="C5200" s="5">
        <v>182</v>
      </c>
    </row>
    <row r="5201" spans="1:3">
      <c r="A5201" s="68">
        <v>38111</v>
      </c>
      <c r="B5201" s="6">
        <v>2.39583333333332E-2</v>
      </c>
      <c r="C5201" s="5">
        <v>175</v>
      </c>
    </row>
    <row r="5202" spans="1:3">
      <c r="A5202" s="68">
        <v>38111</v>
      </c>
      <c r="B5202" s="6">
        <v>2.41319444444443E-2</v>
      </c>
      <c r="C5202" s="5">
        <v>168</v>
      </c>
    </row>
    <row r="5203" spans="1:3">
      <c r="A5203" s="68">
        <v>38111</v>
      </c>
      <c r="B5203" s="6">
        <v>2.43055555555554E-2</v>
      </c>
      <c r="C5203" s="5">
        <v>157</v>
      </c>
    </row>
    <row r="5204" spans="1:3">
      <c r="A5204" s="68">
        <v>38113</v>
      </c>
      <c r="B5204" s="6">
        <v>0</v>
      </c>
      <c r="C5204" s="5">
        <v>108</v>
      </c>
    </row>
    <row r="5205" spans="1:3">
      <c r="A5205" s="68">
        <v>38113</v>
      </c>
      <c r="B5205" s="6">
        <v>5.7870370370370366E-5</v>
      </c>
      <c r="C5205" s="5">
        <v>108</v>
      </c>
    </row>
    <row r="5206" spans="1:3">
      <c r="A5206" s="68">
        <v>38113</v>
      </c>
      <c r="B5206" s="6">
        <v>1.15740740740741E-4</v>
      </c>
      <c r="C5206" s="5">
        <v>135</v>
      </c>
    </row>
    <row r="5207" spans="1:3">
      <c r="A5207" s="68">
        <v>38113</v>
      </c>
      <c r="B5207" s="6">
        <v>1.7361111111111101E-4</v>
      </c>
      <c r="C5207" s="5">
        <v>149</v>
      </c>
    </row>
    <row r="5208" spans="1:3">
      <c r="A5208" s="68">
        <v>38113</v>
      </c>
      <c r="B5208" s="6">
        <v>2.31481481481481E-4</v>
      </c>
      <c r="C5208" s="5">
        <v>156</v>
      </c>
    </row>
    <row r="5209" spans="1:3">
      <c r="A5209" s="68">
        <v>38113</v>
      </c>
      <c r="B5209" s="6">
        <v>2.89351851851852E-4</v>
      </c>
      <c r="C5209" s="5">
        <v>160</v>
      </c>
    </row>
    <row r="5210" spans="1:3">
      <c r="A5210" s="68">
        <v>38113</v>
      </c>
      <c r="B5210" s="6">
        <v>3.4722222222222202E-4</v>
      </c>
      <c r="C5210" s="5">
        <v>163</v>
      </c>
    </row>
    <row r="5211" spans="1:3">
      <c r="A5211" s="68">
        <v>38113</v>
      </c>
      <c r="B5211" s="6">
        <v>4.0509259259259301E-4</v>
      </c>
      <c r="C5211" s="5">
        <v>166</v>
      </c>
    </row>
    <row r="5212" spans="1:3">
      <c r="A5212" s="68">
        <v>38113</v>
      </c>
      <c r="B5212" s="6">
        <v>4.6296296296296298E-4</v>
      </c>
      <c r="C5212" s="5">
        <v>167</v>
      </c>
    </row>
    <row r="5213" spans="1:3">
      <c r="A5213" s="68">
        <v>38113</v>
      </c>
      <c r="B5213" s="6">
        <v>5.20833333333333E-4</v>
      </c>
      <c r="C5213" s="5">
        <v>168</v>
      </c>
    </row>
    <row r="5214" spans="1:3">
      <c r="A5214" s="68">
        <v>38113</v>
      </c>
      <c r="B5214" s="6">
        <v>5.78703703703704E-4</v>
      </c>
      <c r="C5214" s="5">
        <v>168</v>
      </c>
    </row>
    <row r="5215" spans="1:3">
      <c r="A5215" s="68">
        <v>38113</v>
      </c>
      <c r="B5215" s="6">
        <v>6.3657407407407402E-4</v>
      </c>
      <c r="C5215" s="5">
        <v>169</v>
      </c>
    </row>
    <row r="5216" spans="1:3">
      <c r="A5216" s="68">
        <v>38113</v>
      </c>
      <c r="B5216" s="6">
        <v>6.9444444444444404E-4</v>
      </c>
      <c r="C5216" s="5">
        <v>170</v>
      </c>
    </row>
    <row r="5217" spans="1:3">
      <c r="A5217" s="68">
        <v>38113</v>
      </c>
      <c r="B5217" s="6">
        <v>7.5231481481481503E-4</v>
      </c>
      <c r="C5217" s="5">
        <v>171</v>
      </c>
    </row>
    <row r="5218" spans="1:3">
      <c r="A5218" s="68">
        <v>38113</v>
      </c>
      <c r="B5218" s="6">
        <v>8.1018518518518505E-4</v>
      </c>
      <c r="C5218" s="5">
        <v>171</v>
      </c>
    </row>
    <row r="5219" spans="1:3">
      <c r="A5219" s="68">
        <v>38113</v>
      </c>
      <c r="B5219" s="6">
        <v>8.6805555555555605E-4</v>
      </c>
      <c r="C5219" s="5">
        <v>171</v>
      </c>
    </row>
    <row r="5220" spans="1:3">
      <c r="A5220" s="68">
        <v>38113</v>
      </c>
      <c r="B5220" s="6">
        <v>9.2592592592592596E-4</v>
      </c>
      <c r="C5220" s="5">
        <v>172</v>
      </c>
    </row>
    <row r="5221" spans="1:3">
      <c r="A5221" s="68">
        <v>38113</v>
      </c>
      <c r="B5221" s="6">
        <v>9.8379629629629598E-4</v>
      </c>
      <c r="C5221" s="5">
        <v>172</v>
      </c>
    </row>
    <row r="5222" spans="1:3">
      <c r="A5222" s="68">
        <v>38113</v>
      </c>
      <c r="B5222" s="6">
        <v>1.0416666666666699E-3</v>
      </c>
      <c r="C5222" s="5">
        <v>172</v>
      </c>
    </row>
    <row r="5223" spans="1:3">
      <c r="A5223" s="68">
        <v>38113</v>
      </c>
      <c r="B5223" s="6">
        <v>1.0995370370370399E-3</v>
      </c>
      <c r="C5223" s="5">
        <v>172</v>
      </c>
    </row>
    <row r="5224" spans="1:3">
      <c r="A5224" s="68">
        <v>38113</v>
      </c>
      <c r="B5224" s="6">
        <v>1.1574074074074099E-3</v>
      </c>
      <c r="C5224" s="5">
        <v>171</v>
      </c>
    </row>
    <row r="5225" spans="1:3">
      <c r="A5225" s="68">
        <v>38113</v>
      </c>
      <c r="B5225" s="6">
        <v>1.21527777777778E-3</v>
      </c>
      <c r="C5225" s="5">
        <v>171</v>
      </c>
    </row>
    <row r="5226" spans="1:3">
      <c r="A5226" s="68">
        <v>38113</v>
      </c>
      <c r="B5226" s="6">
        <v>1.27314814814815E-3</v>
      </c>
      <c r="C5226" s="5">
        <v>163</v>
      </c>
    </row>
    <row r="5227" spans="1:3">
      <c r="A5227" s="68">
        <v>38113</v>
      </c>
      <c r="B5227" s="6">
        <v>1.33101851851852E-3</v>
      </c>
      <c r="C5227" s="5">
        <v>161</v>
      </c>
    </row>
    <row r="5228" spans="1:3">
      <c r="A5228" s="68">
        <v>38113</v>
      </c>
      <c r="B5228" s="6">
        <v>1.38888888888889E-3</v>
      </c>
      <c r="C5228" s="5">
        <v>161</v>
      </c>
    </row>
    <row r="5229" spans="1:3">
      <c r="A5229" s="68">
        <v>38113</v>
      </c>
      <c r="B5229" s="6">
        <v>1.44675925925926E-3</v>
      </c>
      <c r="C5229" s="5">
        <v>150</v>
      </c>
    </row>
    <row r="5230" spans="1:3">
      <c r="A5230" s="68">
        <v>38113</v>
      </c>
      <c r="B5230" s="6">
        <v>1.5046296296296301E-3</v>
      </c>
      <c r="C5230" s="5">
        <v>147</v>
      </c>
    </row>
    <row r="5231" spans="1:3">
      <c r="A5231" s="68">
        <v>38113</v>
      </c>
      <c r="B5231" s="6">
        <v>1.5625000000000001E-3</v>
      </c>
      <c r="C5231" s="5">
        <v>143</v>
      </c>
    </row>
    <row r="5232" spans="1:3">
      <c r="A5232" s="68">
        <v>38113</v>
      </c>
      <c r="B5232" s="6">
        <v>1.6203703703703701E-3</v>
      </c>
      <c r="C5232" s="5">
        <v>140</v>
      </c>
    </row>
    <row r="5233" spans="1:3">
      <c r="A5233" s="68">
        <v>38113</v>
      </c>
      <c r="B5233" s="6">
        <v>1.6782407407407399E-3</v>
      </c>
      <c r="C5233" s="5">
        <v>136</v>
      </c>
    </row>
    <row r="5234" spans="1:3">
      <c r="A5234" s="68">
        <v>38113</v>
      </c>
      <c r="B5234" s="6">
        <v>1.7361111111111099E-3</v>
      </c>
      <c r="C5234" s="5">
        <v>134</v>
      </c>
    </row>
    <row r="5235" spans="1:3">
      <c r="A5235" s="68">
        <v>38113</v>
      </c>
      <c r="B5235" s="6">
        <v>1.79398148148148E-3</v>
      </c>
      <c r="C5235" s="5">
        <v>130</v>
      </c>
    </row>
    <row r="5236" spans="1:3">
      <c r="A5236" s="68">
        <v>38113</v>
      </c>
      <c r="B5236" s="6">
        <v>1.85185185185185E-3</v>
      </c>
      <c r="C5236" s="5">
        <v>130</v>
      </c>
    </row>
    <row r="5237" spans="1:3">
      <c r="A5237" s="68">
        <v>38113</v>
      </c>
      <c r="B5237" s="6">
        <v>1.90972222222222E-3</v>
      </c>
      <c r="C5237" s="5">
        <v>129</v>
      </c>
    </row>
    <row r="5238" spans="1:3">
      <c r="A5238" s="68">
        <v>38113</v>
      </c>
      <c r="B5238" s="6">
        <v>1.9675925925925898E-3</v>
      </c>
      <c r="C5238" s="5">
        <v>126</v>
      </c>
    </row>
    <row r="5239" spans="1:3">
      <c r="A5239" s="68">
        <v>38113</v>
      </c>
      <c r="B5239" s="6">
        <v>2.0254629629629598E-3</v>
      </c>
      <c r="C5239" s="5">
        <v>124</v>
      </c>
    </row>
    <row r="5240" spans="1:3">
      <c r="A5240" s="68">
        <v>38113</v>
      </c>
      <c r="B5240" s="6">
        <v>2.0833333333333298E-3</v>
      </c>
      <c r="C5240" s="5">
        <v>126</v>
      </c>
    </row>
    <row r="5241" spans="1:3">
      <c r="A5241" s="68">
        <v>38113</v>
      </c>
      <c r="B5241" s="6">
        <v>2.1412037037036999E-3</v>
      </c>
      <c r="C5241" s="5">
        <v>137</v>
      </c>
    </row>
    <row r="5242" spans="1:3">
      <c r="A5242" s="68">
        <v>38113</v>
      </c>
      <c r="B5242" s="6">
        <v>2.1990740740740699E-3</v>
      </c>
      <c r="C5242" s="5">
        <v>147</v>
      </c>
    </row>
    <row r="5243" spans="1:3">
      <c r="A5243" s="68">
        <v>38113</v>
      </c>
      <c r="B5243" s="6">
        <v>2.2569444444444399E-3</v>
      </c>
      <c r="C5243" s="5">
        <v>155</v>
      </c>
    </row>
    <row r="5244" spans="1:3">
      <c r="A5244" s="68">
        <v>38113</v>
      </c>
      <c r="B5244" s="6">
        <v>2.3148148148148099E-3</v>
      </c>
      <c r="C5244" s="5">
        <v>160</v>
      </c>
    </row>
    <row r="5245" spans="1:3">
      <c r="A5245" s="68">
        <v>38113</v>
      </c>
      <c r="B5245" s="6">
        <v>2.3726851851851899E-3</v>
      </c>
      <c r="C5245" s="5">
        <v>164</v>
      </c>
    </row>
    <row r="5246" spans="1:3">
      <c r="A5246" s="68">
        <v>38113</v>
      </c>
      <c r="B5246" s="6">
        <v>2.4305555555555599E-3</v>
      </c>
      <c r="C5246" s="5">
        <v>167</v>
      </c>
    </row>
    <row r="5247" spans="1:3">
      <c r="A5247" s="68">
        <v>38113</v>
      </c>
      <c r="B5247" s="6">
        <v>2.48842592592593E-3</v>
      </c>
      <c r="C5247" s="5">
        <v>169</v>
      </c>
    </row>
    <row r="5248" spans="1:3">
      <c r="A5248" s="68">
        <v>38113</v>
      </c>
      <c r="B5248" s="6">
        <v>2.5462962962963E-3</v>
      </c>
      <c r="C5248" s="5">
        <v>170</v>
      </c>
    </row>
    <row r="5249" spans="1:3">
      <c r="A5249" s="68">
        <v>38113</v>
      </c>
      <c r="B5249" s="6">
        <v>2.60416666666667E-3</v>
      </c>
      <c r="C5249" s="5">
        <v>172</v>
      </c>
    </row>
    <row r="5250" spans="1:3">
      <c r="A5250" s="68">
        <v>38113</v>
      </c>
      <c r="B5250" s="6">
        <v>2.66203703703704E-3</v>
      </c>
      <c r="C5250" s="5">
        <v>173</v>
      </c>
    </row>
    <row r="5251" spans="1:3">
      <c r="A5251" s="68">
        <v>38113</v>
      </c>
      <c r="B5251" s="6">
        <v>2.71990740740741E-3</v>
      </c>
      <c r="C5251" s="5">
        <v>174</v>
      </c>
    </row>
    <row r="5252" spans="1:3">
      <c r="A5252" s="68">
        <v>38113</v>
      </c>
      <c r="B5252" s="6">
        <v>2.7777777777777801E-3</v>
      </c>
      <c r="C5252" s="5">
        <v>175</v>
      </c>
    </row>
    <row r="5253" spans="1:3">
      <c r="A5253" s="68">
        <v>38113</v>
      </c>
      <c r="B5253" s="6">
        <v>2.8356481481481501E-3</v>
      </c>
      <c r="C5253" s="5">
        <v>176</v>
      </c>
    </row>
    <row r="5254" spans="1:3">
      <c r="A5254" s="68">
        <v>38113</v>
      </c>
      <c r="B5254" s="6">
        <v>2.8935185185185201E-3</v>
      </c>
      <c r="C5254" s="5">
        <v>176</v>
      </c>
    </row>
    <row r="5255" spans="1:3">
      <c r="A5255" s="68">
        <v>38113</v>
      </c>
      <c r="B5255" s="6">
        <v>2.9513888888888901E-3</v>
      </c>
      <c r="C5255" s="5">
        <v>177</v>
      </c>
    </row>
    <row r="5256" spans="1:3">
      <c r="A5256" s="68">
        <v>38113</v>
      </c>
      <c r="B5256" s="6">
        <v>3.0092592592592601E-3</v>
      </c>
      <c r="C5256" s="5">
        <v>177</v>
      </c>
    </row>
    <row r="5257" spans="1:3">
      <c r="A5257" s="68">
        <v>38113</v>
      </c>
      <c r="B5257" s="6">
        <v>3.0671296296296302E-3</v>
      </c>
      <c r="C5257" s="5">
        <v>178</v>
      </c>
    </row>
    <row r="5258" spans="1:3">
      <c r="A5258" s="68">
        <v>38113</v>
      </c>
      <c r="B5258" s="6">
        <v>3.1250000000000002E-3</v>
      </c>
      <c r="C5258" s="5">
        <v>178</v>
      </c>
    </row>
    <row r="5259" spans="1:3">
      <c r="A5259" s="68">
        <v>38113</v>
      </c>
      <c r="B5259" s="6">
        <v>3.1828703703703702E-3</v>
      </c>
      <c r="C5259" s="5">
        <v>179</v>
      </c>
    </row>
    <row r="5260" spans="1:3">
      <c r="A5260" s="68">
        <v>38113</v>
      </c>
      <c r="B5260" s="6">
        <v>3.2407407407407402E-3</v>
      </c>
      <c r="C5260" s="5">
        <v>177</v>
      </c>
    </row>
    <row r="5261" spans="1:3">
      <c r="A5261" s="68">
        <v>38113</v>
      </c>
      <c r="B5261" s="6">
        <v>3.2986111111111098E-3</v>
      </c>
      <c r="C5261" s="5">
        <v>178</v>
      </c>
    </row>
    <row r="5262" spans="1:3">
      <c r="A5262" s="68">
        <v>38113</v>
      </c>
      <c r="B5262" s="6">
        <v>3.3564814814814798E-3</v>
      </c>
      <c r="C5262" s="5">
        <v>177</v>
      </c>
    </row>
    <row r="5263" spans="1:3">
      <c r="A5263" s="68">
        <v>38113</v>
      </c>
      <c r="B5263" s="6">
        <v>3.4143518518518498E-3</v>
      </c>
      <c r="C5263" s="5">
        <v>178</v>
      </c>
    </row>
    <row r="5264" spans="1:3">
      <c r="A5264" s="68">
        <v>38113</v>
      </c>
      <c r="B5264" s="6">
        <v>3.4722222222222199E-3</v>
      </c>
      <c r="C5264" s="5">
        <v>178</v>
      </c>
    </row>
    <row r="5265" spans="1:3">
      <c r="A5265" s="68">
        <v>38113</v>
      </c>
      <c r="B5265" s="6">
        <v>3.5300925925925899E-3</v>
      </c>
      <c r="C5265" s="5">
        <v>178</v>
      </c>
    </row>
    <row r="5266" spans="1:3">
      <c r="A5266" s="68">
        <v>38113</v>
      </c>
      <c r="B5266" s="6">
        <v>3.5879629629629599E-3</v>
      </c>
      <c r="C5266" s="5">
        <v>178</v>
      </c>
    </row>
    <row r="5267" spans="1:3">
      <c r="A5267" s="68">
        <v>38113</v>
      </c>
      <c r="B5267" s="6">
        <v>3.6458333333333299E-3</v>
      </c>
      <c r="C5267" s="5">
        <v>179</v>
      </c>
    </row>
    <row r="5268" spans="1:3">
      <c r="A5268" s="68">
        <v>38113</v>
      </c>
      <c r="B5268" s="6">
        <v>3.7037037037036999E-3</v>
      </c>
      <c r="C5268" s="5">
        <v>179</v>
      </c>
    </row>
    <row r="5269" spans="1:3">
      <c r="A5269" s="68">
        <v>38113</v>
      </c>
      <c r="B5269" s="6">
        <v>3.76157407407407E-3</v>
      </c>
      <c r="C5269" s="5">
        <v>179</v>
      </c>
    </row>
    <row r="5270" spans="1:3">
      <c r="A5270" s="68">
        <v>38113</v>
      </c>
      <c r="B5270" s="6">
        <v>3.81944444444444E-3</v>
      </c>
      <c r="C5270" s="5">
        <v>179</v>
      </c>
    </row>
    <row r="5271" spans="1:3">
      <c r="A5271" s="68">
        <v>38113</v>
      </c>
      <c r="B5271" s="6">
        <v>3.87731481481481E-3</v>
      </c>
      <c r="C5271" s="5">
        <v>180</v>
      </c>
    </row>
    <row r="5272" spans="1:3">
      <c r="A5272" s="68">
        <v>38113</v>
      </c>
      <c r="B5272" s="6">
        <v>3.9351851851851796E-3</v>
      </c>
      <c r="C5272" s="5">
        <v>179</v>
      </c>
    </row>
    <row r="5273" spans="1:3">
      <c r="A5273" s="68">
        <v>38113</v>
      </c>
      <c r="B5273" s="6">
        <v>3.9930555555555596E-3</v>
      </c>
      <c r="C5273" s="5">
        <v>180</v>
      </c>
    </row>
    <row r="5274" spans="1:3">
      <c r="A5274" s="68">
        <v>38113</v>
      </c>
      <c r="B5274" s="6">
        <v>4.05092592592593E-3</v>
      </c>
      <c r="C5274" s="5">
        <v>180</v>
      </c>
    </row>
    <row r="5275" spans="1:3">
      <c r="A5275" s="68">
        <v>38113</v>
      </c>
      <c r="B5275" s="6">
        <v>4.1087962962962996E-3</v>
      </c>
      <c r="C5275" s="5">
        <v>180</v>
      </c>
    </row>
    <row r="5276" spans="1:3">
      <c r="A5276" s="68">
        <v>38113</v>
      </c>
      <c r="B5276" s="6">
        <v>4.1666666666666701E-3</v>
      </c>
      <c r="C5276" s="5">
        <v>180</v>
      </c>
    </row>
    <row r="5277" spans="1:3">
      <c r="A5277" s="68">
        <v>38113</v>
      </c>
      <c r="B5277" s="6">
        <v>4.2245370370370397E-3</v>
      </c>
      <c r="C5277" s="5">
        <v>180</v>
      </c>
    </row>
    <row r="5278" spans="1:3">
      <c r="A5278" s="68">
        <v>38113</v>
      </c>
      <c r="B5278" s="6">
        <v>4.2824074074074101E-3</v>
      </c>
      <c r="C5278" s="5">
        <v>180</v>
      </c>
    </row>
    <row r="5279" spans="1:3">
      <c r="A5279" s="68">
        <v>38113</v>
      </c>
      <c r="B5279" s="6">
        <v>4.3402777777777797E-3</v>
      </c>
      <c r="C5279" s="5">
        <v>177</v>
      </c>
    </row>
    <row r="5280" spans="1:3">
      <c r="A5280" s="68">
        <v>38113</v>
      </c>
      <c r="B5280" s="6">
        <v>4.3981481481481502E-3</v>
      </c>
      <c r="C5280" s="5">
        <v>175</v>
      </c>
    </row>
    <row r="5281" spans="1:3">
      <c r="A5281" s="68">
        <v>38113</v>
      </c>
      <c r="B5281" s="6">
        <v>4.4560185185185197E-3</v>
      </c>
      <c r="C5281" s="5">
        <v>170</v>
      </c>
    </row>
    <row r="5282" spans="1:3">
      <c r="A5282" s="68">
        <v>38113</v>
      </c>
      <c r="B5282" s="6">
        <v>4.5138888888888902E-3</v>
      </c>
      <c r="C5282" s="5">
        <v>162</v>
      </c>
    </row>
    <row r="5283" spans="1:3">
      <c r="A5283" s="68">
        <v>38113</v>
      </c>
      <c r="B5283" s="6">
        <v>4.5717592592592598E-3</v>
      </c>
      <c r="C5283" s="5">
        <v>155</v>
      </c>
    </row>
    <row r="5284" spans="1:3">
      <c r="A5284" s="68">
        <v>38113</v>
      </c>
      <c r="B5284" s="6">
        <v>4.6296296296296302E-3</v>
      </c>
      <c r="C5284" s="5">
        <v>153</v>
      </c>
    </row>
    <row r="5285" spans="1:3">
      <c r="A5285" s="68">
        <v>38113</v>
      </c>
      <c r="B5285" s="6">
        <v>4.6874999999999998E-3</v>
      </c>
      <c r="C5285" s="5">
        <v>149</v>
      </c>
    </row>
    <row r="5286" spans="1:3">
      <c r="A5286" s="68">
        <v>38113</v>
      </c>
      <c r="B5286" s="6">
        <v>4.7453703703703703E-3</v>
      </c>
      <c r="C5286" s="5">
        <v>146</v>
      </c>
    </row>
    <row r="5287" spans="1:3">
      <c r="A5287" s="68">
        <v>38113</v>
      </c>
      <c r="B5287" s="6">
        <v>4.8032407407407399E-3</v>
      </c>
      <c r="C5287" s="5">
        <v>143</v>
      </c>
    </row>
    <row r="5288" spans="1:3">
      <c r="A5288" s="68">
        <v>38113</v>
      </c>
      <c r="B5288" s="6">
        <v>4.8611111111111103E-3</v>
      </c>
      <c r="C5288" s="5">
        <v>139</v>
      </c>
    </row>
    <row r="5289" spans="1:3">
      <c r="A5289" s="68">
        <v>38113</v>
      </c>
      <c r="B5289" s="6">
        <v>4.9189814814814799E-3</v>
      </c>
      <c r="C5289" s="5">
        <v>138</v>
      </c>
    </row>
    <row r="5290" spans="1:3">
      <c r="A5290" s="68">
        <v>38113</v>
      </c>
      <c r="B5290" s="6">
        <v>4.9768518518518504E-3</v>
      </c>
      <c r="C5290" s="5">
        <v>136</v>
      </c>
    </row>
    <row r="5291" spans="1:3">
      <c r="A5291" s="68">
        <v>38113</v>
      </c>
      <c r="B5291" s="6">
        <v>5.0347222222222199E-3</v>
      </c>
      <c r="C5291" s="5">
        <v>134</v>
      </c>
    </row>
    <row r="5292" spans="1:3">
      <c r="A5292" s="68">
        <v>38113</v>
      </c>
      <c r="B5292" s="6">
        <v>5.0925925925925904E-3</v>
      </c>
      <c r="C5292" s="5">
        <v>131</v>
      </c>
    </row>
    <row r="5293" spans="1:3">
      <c r="A5293" s="68">
        <v>38113</v>
      </c>
      <c r="B5293" s="6">
        <v>5.15046296296296E-3</v>
      </c>
      <c r="C5293" s="5">
        <v>128</v>
      </c>
    </row>
    <row r="5294" spans="1:3">
      <c r="A5294" s="68">
        <v>38113</v>
      </c>
      <c r="B5294" s="6">
        <v>5.2083333333333296E-3</v>
      </c>
      <c r="C5294" s="5">
        <v>127</v>
      </c>
    </row>
    <row r="5295" spans="1:3">
      <c r="A5295" s="68">
        <v>38113</v>
      </c>
      <c r="B5295" s="6">
        <v>5.2662037037037E-3</v>
      </c>
      <c r="C5295" s="5">
        <v>129</v>
      </c>
    </row>
    <row r="5296" spans="1:3">
      <c r="A5296" s="68">
        <v>38113</v>
      </c>
      <c r="B5296" s="6">
        <v>5.3240740740740696E-3</v>
      </c>
      <c r="C5296" s="5">
        <v>130</v>
      </c>
    </row>
    <row r="5297" spans="1:3">
      <c r="A5297" s="68">
        <v>38113</v>
      </c>
      <c r="B5297" s="6">
        <v>5.3819444444444401E-3</v>
      </c>
      <c r="C5297" s="5">
        <v>131</v>
      </c>
    </row>
    <row r="5298" spans="1:3">
      <c r="A5298" s="68">
        <v>38113</v>
      </c>
      <c r="B5298" s="6">
        <v>5.4398148148148097E-3</v>
      </c>
      <c r="C5298" s="5">
        <v>131</v>
      </c>
    </row>
    <row r="5299" spans="1:3">
      <c r="A5299" s="68">
        <v>38113</v>
      </c>
      <c r="B5299" s="6">
        <v>5.4976851851851801E-3</v>
      </c>
      <c r="C5299" s="5">
        <v>127</v>
      </c>
    </row>
    <row r="5300" spans="1:3">
      <c r="A5300" s="68">
        <v>38113</v>
      </c>
      <c r="B5300" s="6">
        <v>5.5555555555555497E-3</v>
      </c>
      <c r="C5300" s="5">
        <v>128</v>
      </c>
    </row>
    <row r="5301" spans="1:3">
      <c r="A5301" s="68">
        <v>38113</v>
      </c>
      <c r="B5301" s="6">
        <v>5.6134259259259297E-3</v>
      </c>
      <c r="C5301" s="5">
        <v>131</v>
      </c>
    </row>
    <row r="5302" spans="1:3">
      <c r="A5302" s="68">
        <v>38113</v>
      </c>
      <c r="B5302" s="6">
        <v>5.6712962962963001E-3</v>
      </c>
      <c r="C5302" s="5">
        <v>140</v>
      </c>
    </row>
    <row r="5303" spans="1:3">
      <c r="A5303" s="68">
        <v>38113</v>
      </c>
      <c r="B5303" s="6">
        <v>5.7291666666666697E-3</v>
      </c>
      <c r="C5303" s="5">
        <v>150</v>
      </c>
    </row>
    <row r="5304" spans="1:3">
      <c r="A5304" s="68">
        <v>38113</v>
      </c>
      <c r="B5304" s="6">
        <v>5.7870370370370402E-3</v>
      </c>
      <c r="C5304" s="5">
        <v>156</v>
      </c>
    </row>
    <row r="5305" spans="1:3">
      <c r="A5305" s="68">
        <v>38113</v>
      </c>
      <c r="B5305" s="6">
        <v>5.8449074074074098E-3</v>
      </c>
      <c r="C5305" s="5">
        <v>160</v>
      </c>
    </row>
    <row r="5306" spans="1:3">
      <c r="A5306" s="68">
        <v>38113</v>
      </c>
      <c r="B5306" s="6">
        <v>5.9027777777777802E-3</v>
      </c>
      <c r="C5306" s="5">
        <v>163</v>
      </c>
    </row>
    <row r="5307" spans="1:3">
      <c r="A5307" s="68">
        <v>38113</v>
      </c>
      <c r="B5307" s="6">
        <v>5.9606481481481498E-3</v>
      </c>
      <c r="C5307" s="5">
        <v>166</v>
      </c>
    </row>
    <row r="5308" spans="1:3">
      <c r="A5308" s="68">
        <v>38113</v>
      </c>
      <c r="B5308" s="6">
        <v>6.0185185185185203E-3</v>
      </c>
      <c r="C5308" s="5">
        <v>168</v>
      </c>
    </row>
    <row r="5309" spans="1:3">
      <c r="A5309" s="68">
        <v>38113</v>
      </c>
      <c r="B5309" s="6">
        <v>6.0763888888888899E-3</v>
      </c>
      <c r="C5309" s="5">
        <v>170</v>
      </c>
    </row>
    <row r="5310" spans="1:3">
      <c r="A5310" s="68">
        <v>38113</v>
      </c>
      <c r="B5310" s="6">
        <v>6.1342592592592603E-3</v>
      </c>
      <c r="C5310" s="5">
        <v>172</v>
      </c>
    </row>
    <row r="5311" spans="1:3">
      <c r="A5311" s="68">
        <v>38113</v>
      </c>
      <c r="B5311" s="6">
        <v>6.1921296296296299E-3</v>
      </c>
      <c r="C5311" s="5">
        <v>174</v>
      </c>
    </row>
    <row r="5312" spans="1:3">
      <c r="A5312" s="68">
        <v>38113</v>
      </c>
      <c r="B5312" s="6">
        <v>6.2500000000000003E-3</v>
      </c>
      <c r="C5312" s="5">
        <v>175</v>
      </c>
    </row>
    <row r="5313" spans="1:3">
      <c r="A5313" s="68">
        <v>38113</v>
      </c>
      <c r="B5313" s="6">
        <v>6.3078703703703699E-3</v>
      </c>
      <c r="C5313" s="5">
        <v>176</v>
      </c>
    </row>
    <row r="5314" spans="1:3">
      <c r="A5314" s="68">
        <v>38113</v>
      </c>
      <c r="B5314" s="6">
        <v>6.3657407407407404E-3</v>
      </c>
      <c r="C5314" s="5">
        <v>177</v>
      </c>
    </row>
    <row r="5315" spans="1:3">
      <c r="A5315" s="68">
        <v>38113</v>
      </c>
      <c r="B5315" s="6">
        <v>6.42361111111111E-3</v>
      </c>
      <c r="C5315" s="5">
        <v>177</v>
      </c>
    </row>
    <row r="5316" spans="1:3">
      <c r="A5316" s="68">
        <v>38113</v>
      </c>
      <c r="B5316" s="6">
        <v>6.4814814814814804E-3</v>
      </c>
      <c r="C5316" s="5">
        <v>179</v>
      </c>
    </row>
    <row r="5317" spans="1:3">
      <c r="A5317" s="68">
        <v>38113</v>
      </c>
      <c r="B5317" s="6">
        <v>6.53935185185185E-3</v>
      </c>
      <c r="C5317" s="5">
        <v>179</v>
      </c>
    </row>
    <row r="5318" spans="1:3">
      <c r="A5318" s="68">
        <v>38113</v>
      </c>
      <c r="B5318" s="6">
        <v>6.5972222222222196E-3</v>
      </c>
      <c r="C5318" s="5">
        <v>179</v>
      </c>
    </row>
    <row r="5319" spans="1:3">
      <c r="A5319" s="68">
        <v>38113</v>
      </c>
      <c r="B5319" s="6">
        <v>6.6550925925925901E-3</v>
      </c>
      <c r="C5319" s="5">
        <v>179</v>
      </c>
    </row>
    <row r="5320" spans="1:3">
      <c r="A5320" s="68">
        <v>38113</v>
      </c>
      <c r="B5320" s="6">
        <v>6.7129629629629596E-3</v>
      </c>
      <c r="C5320" s="5">
        <v>181</v>
      </c>
    </row>
    <row r="5321" spans="1:3">
      <c r="A5321" s="68">
        <v>38113</v>
      </c>
      <c r="B5321" s="6">
        <v>6.7708333333333301E-3</v>
      </c>
      <c r="C5321" s="5">
        <v>181</v>
      </c>
    </row>
    <row r="5322" spans="1:3">
      <c r="A5322" s="68">
        <v>38113</v>
      </c>
      <c r="B5322" s="6">
        <v>6.8287037037036997E-3</v>
      </c>
      <c r="C5322" s="5">
        <v>182</v>
      </c>
    </row>
    <row r="5323" spans="1:3">
      <c r="A5323" s="68">
        <v>38113</v>
      </c>
      <c r="B5323" s="6">
        <v>6.8865740740740701E-3</v>
      </c>
      <c r="C5323" s="5">
        <v>182</v>
      </c>
    </row>
    <row r="5324" spans="1:3">
      <c r="A5324" s="68">
        <v>38113</v>
      </c>
      <c r="B5324" s="6">
        <v>6.9444444444444397E-3</v>
      </c>
      <c r="C5324" s="5">
        <v>182</v>
      </c>
    </row>
    <row r="5325" spans="1:3">
      <c r="A5325" s="68">
        <v>38113</v>
      </c>
      <c r="B5325" s="6">
        <v>7.0023148148148102E-3</v>
      </c>
      <c r="C5325" s="5">
        <v>182</v>
      </c>
    </row>
    <row r="5326" spans="1:3">
      <c r="A5326" s="68">
        <v>38113</v>
      </c>
      <c r="B5326" s="6">
        <v>7.0601851851851798E-3</v>
      </c>
      <c r="C5326" s="5">
        <v>182</v>
      </c>
    </row>
    <row r="5327" spans="1:3">
      <c r="A5327" s="68">
        <v>38113</v>
      </c>
      <c r="B5327" s="6">
        <v>7.1180555555555598E-3</v>
      </c>
      <c r="C5327" s="5">
        <v>182</v>
      </c>
    </row>
    <row r="5328" spans="1:3">
      <c r="A5328" s="68">
        <v>38113</v>
      </c>
      <c r="B5328" s="6">
        <v>7.1759259259259302E-3</v>
      </c>
      <c r="C5328" s="5">
        <v>182</v>
      </c>
    </row>
    <row r="5329" spans="1:3">
      <c r="A5329" s="68">
        <v>38113</v>
      </c>
      <c r="B5329" s="6">
        <v>7.2337962962962998E-3</v>
      </c>
      <c r="C5329" s="5">
        <v>181</v>
      </c>
    </row>
    <row r="5330" spans="1:3">
      <c r="A5330" s="68">
        <v>38113</v>
      </c>
      <c r="B5330" s="6">
        <v>7.2916666666666703E-3</v>
      </c>
      <c r="C5330" s="5">
        <v>183</v>
      </c>
    </row>
    <row r="5331" spans="1:3">
      <c r="A5331" s="68">
        <v>38113</v>
      </c>
      <c r="B5331" s="6">
        <v>7.3495370370370398E-3</v>
      </c>
      <c r="C5331" s="5">
        <v>183</v>
      </c>
    </row>
    <row r="5332" spans="1:3">
      <c r="A5332" s="68">
        <v>38113</v>
      </c>
      <c r="B5332" s="6">
        <v>7.4074074074074103E-3</v>
      </c>
      <c r="C5332" s="5">
        <v>183</v>
      </c>
    </row>
    <row r="5333" spans="1:3">
      <c r="A5333" s="68">
        <v>38113</v>
      </c>
      <c r="B5333" s="6">
        <v>7.4652777777777799E-3</v>
      </c>
      <c r="C5333" s="5">
        <v>184</v>
      </c>
    </row>
    <row r="5334" spans="1:3">
      <c r="A5334" s="68">
        <v>38113</v>
      </c>
      <c r="B5334" s="6">
        <v>7.5231481481481503E-3</v>
      </c>
      <c r="C5334" s="5">
        <v>184</v>
      </c>
    </row>
    <row r="5335" spans="1:3">
      <c r="A5335" s="68">
        <v>38113</v>
      </c>
      <c r="B5335" s="6">
        <v>7.5810185185185199E-3</v>
      </c>
      <c r="C5335" s="5">
        <v>183</v>
      </c>
    </row>
    <row r="5336" spans="1:3">
      <c r="A5336" s="68">
        <v>38113</v>
      </c>
      <c r="B5336" s="6">
        <v>7.6388888888888904E-3</v>
      </c>
      <c r="C5336" s="5">
        <v>184</v>
      </c>
    </row>
    <row r="5337" spans="1:3">
      <c r="A5337" s="68">
        <v>38113</v>
      </c>
      <c r="B5337" s="6">
        <v>7.69675925925926E-3</v>
      </c>
      <c r="C5337" s="5">
        <v>184</v>
      </c>
    </row>
    <row r="5338" spans="1:3">
      <c r="A5338" s="68">
        <v>38113</v>
      </c>
      <c r="B5338" s="6">
        <v>7.7546296296296304E-3</v>
      </c>
      <c r="C5338" s="5">
        <v>183</v>
      </c>
    </row>
    <row r="5339" spans="1:3">
      <c r="A5339" s="68">
        <v>38113</v>
      </c>
      <c r="B5339" s="6">
        <v>7.8125E-3</v>
      </c>
      <c r="C5339" s="5">
        <v>184</v>
      </c>
    </row>
    <row r="5340" spans="1:3">
      <c r="A5340" s="68">
        <v>38113</v>
      </c>
      <c r="B5340" s="6">
        <v>7.8703703703703696E-3</v>
      </c>
      <c r="C5340" s="5">
        <v>184</v>
      </c>
    </row>
    <row r="5341" spans="1:3">
      <c r="A5341" s="68">
        <v>38113</v>
      </c>
      <c r="B5341" s="6">
        <v>7.9282407407407392E-3</v>
      </c>
      <c r="C5341" s="5">
        <v>183</v>
      </c>
    </row>
    <row r="5342" spans="1:3">
      <c r="A5342" s="68">
        <v>38113</v>
      </c>
      <c r="B5342" s="6">
        <v>7.9861111111111105E-3</v>
      </c>
      <c r="C5342" s="5">
        <v>183</v>
      </c>
    </row>
    <row r="5343" spans="1:3">
      <c r="A5343" s="68">
        <v>38113</v>
      </c>
      <c r="B5343" s="6">
        <v>8.0439814814814801E-3</v>
      </c>
      <c r="C5343" s="5">
        <v>183</v>
      </c>
    </row>
    <row r="5344" spans="1:3">
      <c r="A5344" s="68">
        <v>38113</v>
      </c>
      <c r="B5344" s="6">
        <v>8.1018518518518497E-3</v>
      </c>
      <c r="C5344" s="5">
        <v>182</v>
      </c>
    </row>
    <row r="5345" spans="1:3">
      <c r="A5345" s="68">
        <v>38113</v>
      </c>
      <c r="B5345" s="6">
        <v>8.1597222222222193E-3</v>
      </c>
      <c r="C5345" s="5">
        <v>183</v>
      </c>
    </row>
    <row r="5346" spans="1:3">
      <c r="A5346" s="68">
        <v>38113</v>
      </c>
      <c r="B5346" s="6">
        <v>8.2175925925925906E-3</v>
      </c>
      <c r="C5346" s="5">
        <v>183</v>
      </c>
    </row>
    <row r="5347" spans="1:3">
      <c r="A5347" s="68">
        <v>38113</v>
      </c>
      <c r="B5347" s="6">
        <v>8.2754629629629602E-3</v>
      </c>
      <c r="C5347" s="5">
        <v>182</v>
      </c>
    </row>
    <row r="5348" spans="1:3">
      <c r="A5348" s="68">
        <v>38113</v>
      </c>
      <c r="B5348" s="6">
        <v>8.3333333333333297E-3</v>
      </c>
      <c r="C5348" s="5">
        <v>183</v>
      </c>
    </row>
    <row r="5349" spans="1:3">
      <c r="A5349" s="68">
        <v>38113</v>
      </c>
      <c r="B5349" s="6">
        <v>8.3912037037036993E-3</v>
      </c>
      <c r="C5349" s="5">
        <v>183</v>
      </c>
    </row>
    <row r="5350" spans="1:3">
      <c r="A5350" s="68">
        <v>38113</v>
      </c>
      <c r="B5350" s="6">
        <v>8.4490740740740707E-3</v>
      </c>
      <c r="C5350" s="5">
        <v>182</v>
      </c>
    </row>
    <row r="5351" spans="1:3">
      <c r="A5351" s="68">
        <v>38113</v>
      </c>
      <c r="B5351" s="6">
        <v>8.5069444444444402E-3</v>
      </c>
      <c r="C5351" s="5">
        <v>183</v>
      </c>
    </row>
    <row r="5352" spans="1:3">
      <c r="A5352" s="68">
        <v>38113</v>
      </c>
      <c r="B5352" s="6">
        <v>8.5648148148148098E-3</v>
      </c>
      <c r="C5352" s="5">
        <v>182</v>
      </c>
    </row>
    <row r="5353" spans="1:3">
      <c r="A5353" s="68">
        <v>38113</v>
      </c>
      <c r="B5353" s="6">
        <v>8.6226851851851794E-3</v>
      </c>
      <c r="C5353" s="5">
        <v>182</v>
      </c>
    </row>
    <row r="5354" spans="1:3">
      <c r="A5354" s="68">
        <v>38113</v>
      </c>
      <c r="B5354" s="6">
        <v>8.6805555555555507E-3</v>
      </c>
      <c r="C5354" s="5">
        <v>182</v>
      </c>
    </row>
    <row r="5355" spans="1:3">
      <c r="A5355" s="68">
        <v>38113</v>
      </c>
      <c r="B5355" s="6">
        <v>8.7384259259259307E-3</v>
      </c>
      <c r="C5355" s="5">
        <v>182</v>
      </c>
    </row>
    <row r="5356" spans="1:3">
      <c r="A5356" s="68">
        <v>38113</v>
      </c>
      <c r="B5356" s="6">
        <v>8.7962962962963003E-3</v>
      </c>
      <c r="C5356" s="5">
        <v>181</v>
      </c>
    </row>
    <row r="5357" spans="1:3">
      <c r="A5357" s="68">
        <v>38113</v>
      </c>
      <c r="B5357" s="6">
        <v>8.8541666666666699E-3</v>
      </c>
      <c r="C5357" s="5">
        <v>178</v>
      </c>
    </row>
    <row r="5358" spans="1:3">
      <c r="A5358" s="68">
        <v>38113</v>
      </c>
      <c r="B5358" s="6">
        <v>8.9120370370370395E-3</v>
      </c>
      <c r="C5358" s="5">
        <v>179</v>
      </c>
    </row>
    <row r="5359" spans="1:3">
      <c r="A5359" s="68">
        <v>38113</v>
      </c>
      <c r="B5359" s="6">
        <v>8.9699074074074108E-3</v>
      </c>
      <c r="C5359" s="5">
        <v>178</v>
      </c>
    </row>
    <row r="5360" spans="1:3">
      <c r="A5360" s="68">
        <v>38113</v>
      </c>
      <c r="B5360" s="6">
        <v>9.0277777777777804E-3</v>
      </c>
      <c r="C5360" s="5">
        <v>174</v>
      </c>
    </row>
    <row r="5361" spans="1:3">
      <c r="A5361" s="68">
        <v>38113</v>
      </c>
      <c r="B5361" s="6">
        <v>9.08564814814815E-3</v>
      </c>
      <c r="C5361" s="5">
        <v>170</v>
      </c>
    </row>
    <row r="5362" spans="1:3">
      <c r="A5362" s="68">
        <v>38113</v>
      </c>
      <c r="B5362" s="6">
        <v>9.1435185185185196E-3</v>
      </c>
      <c r="C5362" s="5">
        <v>165</v>
      </c>
    </row>
    <row r="5363" spans="1:3">
      <c r="A5363" s="68">
        <v>38113</v>
      </c>
      <c r="B5363" s="6">
        <v>9.2013888888888892E-3</v>
      </c>
      <c r="C5363" s="5">
        <v>160</v>
      </c>
    </row>
    <row r="5364" spans="1:3">
      <c r="A5364" s="68">
        <v>38113</v>
      </c>
      <c r="B5364" s="6">
        <v>9.2592592592592605E-3</v>
      </c>
      <c r="C5364" s="5">
        <v>153</v>
      </c>
    </row>
    <row r="5365" spans="1:3">
      <c r="A5365" s="68">
        <v>38113</v>
      </c>
      <c r="B5365" s="6">
        <v>9.3171296296296301E-3</v>
      </c>
      <c r="C5365" s="5">
        <v>149</v>
      </c>
    </row>
    <row r="5366" spans="1:3">
      <c r="A5366" s="68">
        <v>38113</v>
      </c>
      <c r="B5366" s="6">
        <v>9.3749999999999997E-3</v>
      </c>
      <c r="C5366" s="5">
        <v>146</v>
      </c>
    </row>
    <row r="5367" spans="1:3">
      <c r="A5367" s="68">
        <v>38113</v>
      </c>
      <c r="B5367" s="6">
        <v>9.4328703703703692E-3</v>
      </c>
      <c r="C5367" s="5">
        <v>145</v>
      </c>
    </row>
    <row r="5368" spans="1:3">
      <c r="A5368" s="68">
        <v>38113</v>
      </c>
      <c r="B5368" s="6">
        <v>9.4907407407407406E-3</v>
      </c>
      <c r="C5368" s="5">
        <v>144</v>
      </c>
    </row>
    <row r="5369" spans="1:3">
      <c r="A5369" s="68">
        <v>38113</v>
      </c>
      <c r="B5369" s="6">
        <v>9.5486111111111101E-3</v>
      </c>
      <c r="C5369" s="5">
        <v>140</v>
      </c>
    </row>
    <row r="5370" spans="1:3">
      <c r="A5370" s="68">
        <v>38113</v>
      </c>
      <c r="B5370" s="6">
        <v>9.6064814814814797E-3</v>
      </c>
      <c r="C5370" s="5">
        <v>138</v>
      </c>
    </row>
    <row r="5371" spans="1:3">
      <c r="A5371" s="68">
        <v>38113</v>
      </c>
      <c r="B5371" s="6">
        <v>9.6643518518518493E-3</v>
      </c>
      <c r="C5371" s="5">
        <v>138</v>
      </c>
    </row>
    <row r="5372" spans="1:3">
      <c r="A5372" s="68">
        <v>38113</v>
      </c>
      <c r="B5372" s="6">
        <v>9.7222222222222206E-3</v>
      </c>
      <c r="C5372" s="5">
        <v>138</v>
      </c>
    </row>
    <row r="5373" spans="1:3">
      <c r="A5373" s="68">
        <v>38113</v>
      </c>
      <c r="B5373" s="6">
        <v>9.7800925925925902E-3</v>
      </c>
      <c r="C5373" s="5">
        <v>136</v>
      </c>
    </row>
    <row r="5374" spans="1:3">
      <c r="A5374" s="68">
        <v>38113</v>
      </c>
      <c r="B5374" s="6">
        <v>9.8379629629629598E-3</v>
      </c>
      <c r="C5374" s="5">
        <v>135</v>
      </c>
    </row>
    <row r="5375" spans="1:3">
      <c r="A5375" s="68">
        <v>38113</v>
      </c>
      <c r="B5375" s="6">
        <v>9.8958333333333294E-3</v>
      </c>
      <c r="C5375" s="5">
        <v>135</v>
      </c>
    </row>
    <row r="5376" spans="1:3">
      <c r="A5376" s="68">
        <v>38113</v>
      </c>
      <c r="B5376" s="6">
        <v>9.9537037037037007E-3</v>
      </c>
      <c r="C5376" s="5">
        <v>126</v>
      </c>
    </row>
    <row r="5377" spans="1:3">
      <c r="A5377" s="68">
        <v>38113</v>
      </c>
      <c r="B5377" s="6">
        <v>1.00115740740741E-2</v>
      </c>
      <c r="C5377" s="5">
        <v>130</v>
      </c>
    </row>
    <row r="5378" spans="1:3">
      <c r="A5378" s="68">
        <v>38113</v>
      </c>
      <c r="B5378" s="6">
        <v>1.00694444444444E-2</v>
      </c>
      <c r="C5378" s="5">
        <v>129</v>
      </c>
    </row>
    <row r="5379" spans="1:3">
      <c r="A5379" s="68">
        <v>38113</v>
      </c>
      <c r="B5379" s="6">
        <v>1.0127314814814801E-2</v>
      </c>
      <c r="C5379" s="5">
        <v>128</v>
      </c>
    </row>
    <row r="5380" spans="1:3">
      <c r="A5380" s="68">
        <v>38113</v>
      </c>
      <c r="B5380" s="6">
        <v>1.01851851851852E-2</v>
      </c>
      <c r="C5380" s="5">
        <v>128</v>
      </c>
    </row>
    <row r="5381" spans="1:3">
      <c r="A5381" s="68">
        <v>38113</v>
      </c>
      <c r="B5381" s="6">
        <v>1.0243055555555601E-2</v>
      </c>
      <c r="C5381" s="5">
        <v>128</v>
      </c>
    </row>
    <row r="5382" spans="1:3">
      <c r="A5382" s="68">
        <v>38113</v>
      </c>
      <c r="B5382" s="6">
        <v>1.0300925925925899E-2</v>
      </c>
      <c r="C5382" s="5">
        <v>126</v>
      </c>
    </row>
    <row r="5383" spans="1:3">
      <c r="A5383" s="68">
        <v>38113</v>
      </c>
      <c r="B5383" s="6">
        <v>1.03587962962963E-2</v>
      </c>
      <c r="C5383" s="5">
        <v>124</v>
      </c>
    </row>
    <row r="5384" spans="1:3">
      <c r="A5384" s="68">
        <v>38113</v>
      </c>
      <c r="B5384" s="6">
        <v>1.0416666666666701E-2</v>
      </c>
      <c r="C5384" s="5">
        <v>125</v>
      </c>
    </row>
    <row r="5385" spans="1:3">
      <c r="A5385" s="68">
        <v>38113</v>
      </c>
      <c r="B5385" s="6">
        <v>1.0474537037036999E-2</v>
      </c>
      <c r="C5385" s="5">
        <v>126</v>
      </c>
    </row>
    <row r="5386" spans="1:3">
      <c r="A5386" s="68">
        <v>38113</v>
      </c>
      <c r="B5386" s="6">
        <v>1.05324074074074E-2</v>
      </c>
      <c r="C5386" s="5">
        <v>128</v>
      </c>
    </row>
    <row r="5387" spans="1:3">
      <c r="A5387" s="68">
        <v>38113</v>
      </c>
      <c r="B5387" s="6">
        <v>1.0590277777777799E-2</v>
      </c>
      <c r="C5387" s="5">
        <v>135</v>
      </c>
    </row>
    <row r="5388" spans="1:3">
      <c r="A5388" s="68">
        <v>38113</v>
      </c>
      <c r="B5388" s="6">
        <v>1.0648148148148099E-2</v>
      </c>
      <c r="C5388" s="5">
        <v>142</v>
      </c>
    </row>
    <row r="5389" spans="1:3">
      <c r="A5389" s="68">
        <v>38113</v>
      </c>
      <c r="B5389" s="6">
        <v>1.07060185185185E-2</v>
      </c>
      <c r="C5389" s="5">
        <v>149</v>
      </c>
    </row>
    <row r="5390" spans="1:3">
      <c r="A5390" s="68">
        <v>38113</v>
      </c>
      <c r="B5390" s="6">
        <v>1.0763888888888899E-2</v>
      </c>
      <c r="C5390" s="5">
        <v>159</v>
      </c>
    </row>
    <row r="5391" spans="1:3">
      <c r="A5391" s="68">
        <v>38113</v>
      </c>
      <c r="B5391" s="6">
        <v>1.08217592592593E-2</v>
      </c>
      <c r="C5391" s="5">
        <v>161</v>
      </c>
    </row>
    <row r="5392" spans="1:3">
      <c r="A5392" s="68">
        <v>38113</v>
      </c>
      <c r="B5392" s="6">
        <v>1.08796296296296E-2</v>
      </c>
      <c r="C5392" s="5">
        <v>164</v>
      </c>
    </row>
    <row r="5393" spans="1:3">
      <c r="A5393" s="68">
        <v>38113</v>
      </c>
      <c r="B5393" s="6">
        <v>1.0937499999999999E-2</v>
      </c>
      <c r="C5393" s="5">
        <v>165</v>
      </c>
    </row>
    <row r="5394" spans="1:3">
      <c r="A5394" s="68">
        <v>38113</v>
      </c>
      <c r="B5394" s="6">
        <v>1.09953703703704E-2</v>
      </c>
      <c r="C5394" s="5">
        <v>168</v>
      </c>
    </row>
    <row r="5395" spans="1:3">
      <c r="A5395" s="68">
        <v>38113</v>
      </c>
      <c r="B5395" s="6">
        <v>1.10532407407407E-2</v>
      </c>
      <c r="C5395" s="5">
        <v>170</v>
      </c>
    </row>
    <row r="5396" spans="1:3">
      <c r="A5396" s="68">
        <v>38113</v>
      </c>
      <c r="B5396" s="6">
        <v>1.1111111111111099E-2</v>
      </c>
      <c r="C5396" s="5">
        <v>171</v>
      </c>
    </row>
    <row r="5397" spans="1:3">
      <c r="A5397" s="68">
        <v>38113</v>
      </c>
      <c r="B5397" s="6">
        <v>1.11689814814815E-2</v>
      </c>
      <c r="C5397" s="5">
        <v>172</v>
      </c>
    </row>
    <row r="5398" spans="1:3">
      <c r="A5398" s="68">
        <v>38113</v>
      </c>
      <c r="B5398" s="6">
        <v>1.1226851851851899E-2</v>
      </c>
      <c r="C5398" s="5">
        <v>173</v>
      </c>
    </row>
    <row r="5399" spans="1:3">
      <c r="A5399" s="68">
        <v>38113</v>
      </c>
      <c r="B5399" s="6">
        <v>1.1284722222222199E-2</v>
      </c>
      <c r="C5399" s="5">
        <v>174</v>
      </c>
    </row>
    <row r="5400" spans="1:3">
      <c r="A5400" s="68">
        <v>38113</v>
      </c>
      <c r="B5400" s="6">
        <v>1.13425925925926E-2</v>
      </c>
      <c r="C5400" s="5">
        <v>175</v>
      </c>
    </row>
    <row r="5401" spans="1:3">
      <c r="A5401" s="68">
        <v>38113</v>
      </c>
      <c r="B5401" s="6">
        <v>1.1400462962962999E-2</v>
      </c>
      <c r="C5401" s="5">
        <v>176</v>
      </c>
    </row>
    <row r="5402" spans="1:3">
      <c r="A5402" s="68">
        <v>38113</v>
      </c>
      <c r="B5402" s="6">
        <v>1.14583333333333E-2</v>
      </c>
      <c r="C5402" s="5">
        <v>177</v>
      </c>
    </row>
    <row r="5403" spans="1:3">
      <c r="A5403" s="68">
        <v>38113</v>
      </c>
      <c r="B5403" s="6">
        <v>1.15162037037037E-2</v>
      </c>
      <c r="C5403" s="5">
        <v>178</v>
      </c>
    </row>
    <row r="5404" spans="1:3">
      <c r="A5404" s="68">
        <v>38113</v>
      </c>
      <c r="B5404" s="6">
        <v>1.1574074074074099E-2</v>
      </c>
      <c r="C5404" s="5">
        <v>179</v>
      </c>
    </row>
    <row r="5405" spans="1:3">
      <c r="A5405" s="68">
        <v>38113</v>
      </c>
      <c r="B5405" s="6">
        <v>1.16319444444444E-2</v>
      </c>
      <c r="C5405" s="5">
        <v>179</v>
      </c>
    </row>
    <row r="5406" spans="1:3">
      <c r="A5406" s="68">
        <v>38113</v>
      </c>
      <c r="B5406" s="6">
        <v>1.16898148148148E-2</v>
      </c>
      <c r="C5406" s="5">
        <v>180</v>
      </c>
    </row>
    <row r="5407" spans="1:3">
      <c r="A5407" s="68">
        <v>38113</v>
      </c>
      <c r="B5407" s="6">
        <v>1.17476851851852E-2</v>
      </c>
      <c r="C5407" s="5">
        <v>180</v>
      </c>
    </row>
    <row r="5408" spans="1:3">
      <c r="A5408" s="68">
        <v>38113</v>
      </c>
      <c r="B5408" s="6">
        <v>1.18055555555556E-2</v>
      </c>
      <c r="C5408" s="5">
        <v>181</v>
      </c>
    </row>
    <row r="5409" spans="1:3">
      <c r="A5409" s="68">
        <v>38113</v>
      </c>
      <c r="B5409" s="6">
        <v>1.1863425925925901E-2</v>
      </c>
      <c r="C5409" s="5">
        <v>181</v>
      </c>
    </row>
    <row r="5410" spans="1:3">
      <c r="A5410" s="68">
        <v>38113</v>
      </c>
      <c r="B5410" s="6">
        <v>1.19212962962963E-2</v>
      </c>
      <c r="C5410" s="5">
        <v>181</v>
      </c>
    </row>
    <row r="5411" spans="1:3">
      <c r="A5411" s="68">
        <v>38113</v>
      </c>
      <c r="B5411" s="6">
        <v>1.19791666666667E-2</v>
      </c>
      <c r="C5411" s="5">
        <v>182</v>
      </c>
    </row>
    <row r="5412" spans="1:3">
      <c r="A5412" s="68">
        <v>38113</v>
      </c>
      <c r="B5412" s="6">
        <v>1.2037037037037001E-2</v>
      </c>
      <c r="C5412" s="5">
        <v>181</v>
      </c>
    </row>
    <row r="5413" spans="1:3">
      <c r="A5413" s="68">
        <v>38113</v>
      </c>
      <c r="B5413" s="6">
        <v>1.20949074074074E-2</v>
      </c>
      <c r="C5413" s="5">
        <v>182</v>
      </c>
    </row>
    <row r="5414" spans="1:3">
      <c r="A5414" s="68">
        <v>38113</v>
      </c>
      <c r="B5414" s="6">
        <v>1.2152777777777801E-2</v>
      </c>
      <c r="C5414" s="5">
        <v>182</v>
      </c>
    </row>
    <row r="5415" spans="1:3">
      <c r="A5415" s="68">
        <v>38113</v>
      </c>
      <c r="B5415" s="6">
        <v>1.2210648148148101E-2</v>
      </c>
      <c r="C5415" s="5">
        <v>182</v>
      </c>
    </row>
    <row r="5416" spans="1:3">
      <c r="A5416" s="68">
        <v>38113</v>
      </c>
      <c r="B5416" s="6">
        <v>1.22685185185185E-2</v>
      </c>
      <c r="C5416" s="5">
        <v>182</v>
      </c>
    </row>
    <row r="5417" spans="1:3">
      <c r="A5417" s="68">
        <v>38113</v>
      </c>
      <c r="B5417" s="6">
        <v>1.2326388888888901E-2</v>
      </c>
      <c r="C5417" s="5">
        <v>182</v>
      </c>
    </row>
    <row r="5418" spans="1:3">
      <c r="A5418" s="68">
        <v>38113</v>
      </c>
      <c r="B5418" s="6">
        <v>1.23842592592593E-2</v>
      </c>
      <c r="C5418" s="5">
        <v>182</v>
      </c>
    </row>
    <row r="5419" spans="1:3">
      <c r="A5419" s="68">
        <v>38113</v>
      </c>
      <c r="B5419" s="6">
        <v>1.24421296296296E-2</v>
      </c>
      <c r="C5419" s="5">
        <v>183</v>
      </c>
    </row>
    <row r="5420" spans="1:3">
      <c r="A5420" s="68">
        <v>38113</v>
      </c>
      <c r="B5420" s="6">
        <v>1.2500000000000001E-2</v>
      </c>
      <c r="C5420" s="5">
        <v>183</v>
      </c>
    </row>
    <row r="5421" spans="1:3">
      <c r="A5421" s="68">
        <v>38113</v>
      </c>
      <c r="B5421" s="6">
        <v>1.25578703703704E-2</v>
      </c>
      <c r="C5421" s="5">
        <v>182</v>
      </c>
    </row>
    <row r="5422" spans="1:3">
      <c r="A5422" s="68">
        <v>38113</v>
      </c>
      <c r="B5422" s="6">
        <v>1.26157407407407E-2</v>
      </c>
      <c r="C5422" s="5">
        <v>183</v>
      </c>
    </row>
    <row r="5423" spans="1:3">
      <c r="A5423" s="68">
        <v>38113</v>
      </c>
      <c r="B5423" s="6">
        <v>1.2673611111111101E-2</v>
      </c>
      <c r="C5423" s="5">
        <v>183</v>
      </c>
    </row>
    <row r="5424" spans="1:3">
      <c r="A5424" s="68">
        <v>38113</v>
      </c>
      <c r="B5424" s="6">
        <v>1.27314814814815E-2</v>
      </c>
      <c r="C5424" s="5">
        <v>183</v>
      </c>
    </row>
    <row r="5425" spans="1:3">
      <c r="A5425" s="68">
        <v>38113</v>
      </c>
      <c r="B5425" s="6">
        <v>1.2789351851851901E-2</v>
      </c>
      <c r="C5425" s="5">
        <v>183</v>
      </c>
    </row>
    <row r="5426" spans="1:3">
      <c r="A5426" s="68">
        <v>38113</v>
      </c>
      <c r="B5426" s="6">
        <v>1.2847222222222201E-2</v>
      </c>
      <c r="C5426" s="5">
        <v>183</v>
      </c>
    </row>
    <row r="5427" spans="1:3">
      <c r="A5427" s="68">
        <v>38113</v>
      </c>
      <c r="B5427" s="6">
        <v>1.29050925925926E-2</v>
      </c>
      <c r="C5427" s="5">
        <v>183</v>
      </c>
    </row>
    <row r="5428" spans="1:3">
      <c r="A5428" s="68">
        <v>38113</v>
      </c>
      <c r="B5428" s="6">
        <v>1.2962962962963001E-2</v>
      </c>
      <c r="C5428" s="5">
        <v>184</v>
      </c>
    </row>
    <row r="5429" spans="1:3">
      <c r="A5429" s="68">
        <v>38113</v>
      </c>
      <c r="B5429" s="6">
        <v>1.3020833333333299E-2</v>
      </c>
      <c r="C5429" s="5">
        <v>183</v>
      </c>
    </row>
    <row r="5430" spans="1:3">
      <c r="A5430" s="68">
        <v>38113</v>
      </c>
      <c r="B5430" s="6">
        <v>1.30787037037037E-2</v>
      </c>
      <c r="C5430" s="5">
        <v>183</v>
      </c>
    </row>
    <row r="5431" spans="1:3">
      <c r="A5431" s="68">
        <v>38113</v>
      </c>
      <c r="B5431" s="6">
        <v>1.3136574074074101E-2</v>
      </c>
      <c r="C5431" s="5">
        <v>183</v>
      </c>
    </row>
    <row r="5432" spans="1:3">
      <c r="A5432" s="68">
        <v>38113</v>
      </c>
      <c r="B5432" s="6">
        <v>1.3194444444444399E-2</v>
      </c>
      <c r="C5432" s="5">
        <v>182</v>
      </c>
    </row>
    <row r="5433" spans="1:3">
      <c r="A5433" s="68">
        <v>38113</v>
      </c>
      <c r="B5433" s="6">
        <v>1.32523148148148E-2</v>
      </c>
      <c r="C5433" s="5">
        <v>183</v>
      </c>
    </row>
    <row r="5434" spans="1:3">
      <c r="A5434" s="68">
        <v>38113</v>
      </c>
      <c r="B5434" s="6">
        <v>1.3310185185185199E-2</v>
      </c>
      <c r="C5434" s="5">
        <v>183</v>
      </c>
    </row>
    <row r="5435" spans="1:3">
      <c r="A5435" s="68">
        <v>38113</v>
      </c>
      <c r="B5435" s="6">
        <v>1.33680555555556E-2</v>
      </c>
      <c r="C5435" s="5">
        <v>183</v>
      </c>
    </row>
    <row r="5436" spans="1:3">
      <c r="A5436" s="68">
        <v>38113</v>
      </c>
      <c r="B5436" s="6">
        <v>1.34259259259259E-2</v>
      </c>
      <c r="C5436" s="5">
        <v>183</v>
      </c>
    </row>
    <row r="5437" spans="1:3">
      <c r="A5437" s="68">
        <v>38113</v>
      </c>
      <c r="B5437" s="6">
        <v>1.3483796296296299E-2</v>
      </c>
      <c r="C5437" s="5">
        <v>183</v>
      </c>
    </row>
    <row r="5438" spans="1:3">
      <c r="A5438" s="68">
        <v>38113</v>
      </c>
      <c r="B5438" s="6">
        <v>1.35416666666667E-2</v>
      </c>
      <c r="C5438" s="5">
        <v>183</v>
      </c>
    </row>
    <row r="5439" spans="1:3">
      <c r="A5439" s="68">
        <v>38113</v>
      </c>
      <c r="B5439" s="6">
        <v>1.3599537037037E-2</v>
      </c>
      <c r="C5439" s="5">
        <v>183</v>
      </c>
    </row>
    <row r="5440" spans="1:3">
      <c r="A5440" s="68">
        <v>38113</v>
      </c>
      <c r="B5440" s="6">
        <v>1.3657407407407399E-2</v>
      </c>
      <c r="C5440" s="5">
        <v>184</v>
      </c>
    </row>
    <row r="5441" spans="1:3">
      <c r="A5441" s="68">
        <v>38113</v>
      </c>
      <c r="B5441" s="6">
        <v>1.37152777777778E-2</v>
      </c>
      <c r="C5441" s="5">
        <v>183</v>
      </c>
    </row>
    <row r="5442" spans="1:3">
      <c r="A5442" s="68">
        <v>38113</v>
      </c>
      <c r="B5442" s="6">
        <v>1.37731481481481E-2</v>
      </c>
      <c r="C5442" s="5">
        <v>183</v>
      </c>
    </row>
    <row r="5443" spans="1:3">
      <c r="A5443" s="68">
        <v>38113</v>
      </c>
      <c r="B5443" s="6">
        <v>1.3831018518518499E-2</v>
      </c>
      <c r="C5443" s="5">
        <v>184</v>
      </c>
    </row>
    <row r="5444" spans="1:3">
      <c r="A5444" s="68">
        <v>38113</v>
      </c>
      <c r="B5444" s="6">
        <v>1.38888888888889E-2</v>
      </c>
      <c r="C5444" s="5">
        <v>183</v>
      </c>
    </row>
    <row r="5445" spans="1:3">
      <c r="A5445" s="68">
        <v>38113</v>
      </c>
      <c r="B5445" s="6">
        <v>1.3946759259259299E-2</v>
      </c>
      <c r="C5445" s="5">
        <v>183</v>
      </c>
    </row>
    <row r="5446" spans="1:3">
      <c r="A5446" s="68">
        <v>38113</v>
      </c>
      <c r="B5446" s="6">
        <v>1.40046296296296E-2</v>
      </c>
      <c r="C5446" s="5">
        <v>183</v>
      </c>
    </row>
    <row r="5447" spans="1:3">
      <c r="A5447" s="68">
        <v>38113</v>
      </c>
      <c r="B5447" s="6">
        <v>1.40625E-2</v>
      </c>
      <c r="C5447" s="5">
        <v>183</v>
      </c>
    </row>
    <row r="5448" spans="1:3">
      <c r="A5448" s="68">
        <v>38113</v>
      </c>
      <c r="B5448" s="6">
        <v>1.4120370370370399E-2</v>
      </c>
      <c r="C5448" s="5">
        <v>183</v>
      </c>
    </row>
    <row r="5449" spans="1:3">
      <c r="A5449" s="68">
        <v>38113</v>
      </c>
      <c r="B5449" s="6">
        <v>1.41782407407407E-2</v>
      </c>
      <c r="C5449" s="5">
        <v>183</v>
      </c>
    </row>
    <row r="5450" spans="1:3">
      <c r="A5450" s="68">
        <v>38113</v>
      </c>
      <c r="B5450" s="6">
        <v>1.42361111111111E-2</v>
      </c>
      <c r="C5450" s="5">
        <v>183</v>
      </c>
    </row>
    <row r="5451" spans="1:3">
      <c r="A5451" s="68">
        <v>38113</v>
      </c>
      <c r="B5451" s="6">
        <v>1.42939814814815E-2</v>
      </c>
      <c r="C5451" s="5">
        <v>183</v>
      </c>
    </row>
    <row r="5452" spans="1:3">
      <c r="A5452" s="68">
        <v>38113</v>
      </c>
      <c r="B5452" s="6">
        <v>1.43518518518519E-2</v>
      </c>
      <c r="C5452" s="5">
        <v>184</v>
      </c>
    </row>
    <row r="5453" spans="1:3">
      <c r="A5453" s="68">
        <v>38113</v>
      </c>
      <c r="B5453" s="6">
        <v>1.4409722222222201E-2</v>
      </c>
      <c r="C5453" s="5">
        <v>184</v>
      </c>
    </row>
    <row r="5454" spans="1:3">
      <c r="A5454" s="68">
        <v>38113</v>
      </c>
      <c r="B5454" s="6">
        <v>1.44675925925926E-2</v>
      </c>
      <c r="C5454" s="5">
        <v>184</v>
      </c>
    </row>
    <row r="5455" spans="1:3">
      <c r="A5455" s="68">
        <v>38113</v>
      </c>
      <c r="B5455" s="6">
        <v>1.4525462962963E-2</v>
      </c>
      <c r="C5455" s="5">
        <v>184</v>
      </c>
    </row>
    <row r="5456" spans="1:3">
      <c r="A5456" s="68">
        <v>38113</v>
      </c>
      <c r="B5456" s="6">
        <v>1.4583333333333301E-2</v>
      </c>
      <c r="C5456" s="5">
        <v>184</v>
      </c>
    </row>
    <row r="5457" spans="1:3">
      <c r="A5457" s="68">
        <v>38113</v>
      </c>
      <c r="B5457" s="6">
        <v>1.46412037037037E-2</v>
      </c>
      <c r="C5457" s="5">
        <v>184</v>
      </c>
    </row>
    <row r="5458" spans="1:3">
      <c r="A5458" s="68">
        <v>38113</v>
      </c>
      <c r="B5458" s="6">
        <v>1.46990740740741E-2</v>
      </c>
      <c r="C5458" s="5">
        <v>184</v>
      </c>
    </row>
    <row r="5459" spans="1:3">
      <c r="A5459" s="68">
        <v>38113</v>
      </c>
      <c r="B5459" s="6">
        <v>1.4756944444444401E-2</v>
      </c>
      <c r="C5459" s="5">
        <v>184</v>
      </c>
    </row>
    <row r="5460" spans="1:3">
      <c r="A5460" s="68">
        <v>38113</v>
      </c>
      <c r="B5460" s="6">
        <v>1.48148148148148E-2</v>
      </c>
      <c r="C5460" s="5">
        <v>184</v>
      </c>
    </row>
    <row r="5461" spans="1:3">
      <c r="A5461" s="68">
        <v>38113</v>
      </c>
      <c r="B5461" s="6">
        <v>1.4872685185185201E-2</v>
      </c>
      <c r="C5461" s="5">
        <v>184</v>
      </c>
    </row>
    <row r="5462" spans="1:3">
      <c r="A5462" s="68">
        <v>38113</v>
      </c>
      <c r="B5462" s="6">
        <v>1.49305555555556E-2</v>
      </c>
      <c r="C5462" s="5">
        <v>183</v>
      </c>
    </row>
    <row r="5463" spans="1:3">
      <c r="A5463" s="68">
        <v>38113</v>
      </c>
      <c r="B5463" s="6">
        <v>1.49884259259259E-2</v>
      </c>
      <c r="C5463" s="5">
        <v>183</v>
      </c>
    </row>
    <row r="5464" spans="1:3">
      <c r="A5464" s="68">
        <v>38113</v>
      </c>
      <c r="B5464" s="6">
        <v>1.5046296296296301E-2</v>
      </c>
      <c r="C5464" s="5">
        <v>182</v>
      </c>
    </row>
    <row r="5465" spans="1:3">
      <c r="A5465" s="68">
        <v>38113</v>
      </c>
      <c r="B5465" s="6">
        <v>1.51041666666667E-2</v>
      </c>
      <c r="C5465" s="5">
        <v>180</v>
      </c>
    </row>
    <row r="5466" spans="1:3">
      <c r="A5466" s="68">
        <v>38113</v>
      </c>
      <c r="B5466" s="6">
        <v>1.5162037037037E-2</v>
      </c>
      <c r="C5466" s="5">
        <v>176</v>
      </c>
    </row>
    <row r="5467" spans="1:3">
      <c r="A5467" s="68">
        <v>38113</v>
      </c>
      <c r="B5467" s="6">
        <v>1.5219907407407401E-2</v>
      </c>
      <c r="C5467" s="5">
        <v>174</v>
      </c>
    </row>
    <row r="5468" spans="1:3">
      <c r="A5468" s="68">
        <v>38113</v>
      </c>
      <c r="B5468" s="6">
        <v>1.52777777777778E-2</v>
      </c>
      <c r="C5468" s="5">
        <v>169</v>
      </c>
    </row>
    <row r="5469" spans="1:3">
      <c r="A5469" s="68">
        <v>38113</v>
      </c>
      <c r="B5469" s="6">
        <v>1.53356481481481E-2</v>
      </c>
      <c r="C5469" s="5">
        <v>164</v>
      </c>
    </row>
    <row r="5470" spans="1:3">
      <c r="A5470" s="68">
        <v>38113</v>
      </c>
      <c r="B5470" s="6">
        <v>1.5393518518518501E-2</v>
      </c>
      <c r="C5470" s="5">
        <v>156</v>
      </c>
    </row>
    <row r="5471" spans="1:3">
      <c r="A5471" s="68">
        <v>38113</v>
      </c>
      <c r="B5471" s="6">
        <v>1.54513888888889E-2</v>
      </c>
      <c r="C5471" s="5">
        <v>150</v>
      </c>
    </row>
    <row r="5472" spans="1:3">
      <c r="A5472" s="68">
        <v>38113</v>
      </c>
      <c r="B5472" s="6">
        <v>1.5509259259259301E-2</v>
      </c>
      <c r="C5472" s="5">
        <v>148</v>
      </c>
    </row>
    <row r="5473" spans="1:3">
      <c r="A5473" s="68">
        <v>38113</v>
      </c>
      <c r="B5473" s="6">
        <v>1.5567129629629599E-2</v>
      </c>
      <c r="C5473" s="5">
        <v>145</v>
      </c>
    </row>
    <row r="5474" spans="1:3">
      <c r="A5474" s="68">
        <v>38113</v>
      </c>
      <c r="B5474" s="6">
        <v>1.5625E-2</v>
      </c>
      <c r="C5474" s="5">
        <v>142</v>
      </c>
    </row>
    <row r="5475" spans="1:3">
      <c r="A5475" s="68">
        <v>38113</v>
      </c>
      <c r="B5475" s="6">
        <v>1.5682870370370399E-2</v>
      </c>
      <c r="C5475" s="5">
        <v>137</v>
      </c>
    </row>
    <row r="5476" spans="1:3">
      <c r="A5476" s="68">
        <v>38113</v>
      </c>
      <c r="B5476" s="6">
        <v>1.5740740740740701E-2</v>
      </c>
      <c r="C5476" s="5">
        <v>136</v>
      </c>
    </row>
    <row r="5477" spans="1:3">
      <c r="A5477" s="68">
        <v>38113</v>
      </c>
      <c r="B5477" s="6">
        <v>1.57986111111111E-2</v>
      </c>
      <c r="C5477" s="5">
        <v>135</v>
      </c>
    </row>
    <row r="5478" spans="1:3">
      <c r="A5478" s="68">
        <v>38113</v>
      </c>
      <c r="B5478" s="6">
        <v>1.5856481481481499E-2</v>
      </c>
      <c r="C5478" s="5">
        <v>135</v>
      </c>
    </row>
    <row r="5479" spans="1:3">
      <c r="A5479" s="68">
        <v>38113</v>
      </c>
      <c r="B5479" s="6">
        <v>1.5914351851851801E-2</v>
      </c>
      <c r="C5479" s="5">
        <v>134</v>
      </c>
    </row>
    <row r="5480" spans="1:3">
      <c r="A5480" s="68">
        <v>38113</v>
      </c>
      <c r="B5480" s="6">
        <v>1.59722222222222E-2</v>
      </c>
      <c r="C5480" s="5">
        <v>133</v>
      </c>
    </row>
    <row r="5481" spans="1:3">
      <c r="A5481" s="68">
        <v>38113</v>
      </c>
      <c r="B5481" s="6">
        <v>1.6030092592592599E-2</v>
      </c>
      <c r="C5481" s="5">
        <v>133</v>
      </c>
    </row>
    <row r="5482" spans="1:3">
      <c r="A5482" s="68">
        <v>38113</v>
      </c>
      <c r="B5482" s="6">
        <v>1.6087962962962998E-2</v>
      </c>
      <c r="C5482" s="5">
        <v>133</v>
      </c>
    </row>
    <row r="5483" spans="1:3">
      <c r="A5483" s="68">
        <v>38113</v>
      </c>
      <c r="B5483" s="6">
        <v>1.61458333333333E-2</v>
      </c>
      <c r="C5483" s="5">
        <v>133</v>
      </c>
    </row>
    <row r="5484" spans="1:3">
      <c r="A5484" s="68">
        <v>38113</v>
      </c>
      <c r="B5484" s="6">
        <v>1.6203703703703699E-2</v>
      </c>
      <c r="C5484" s="5">
        <v>133</v>
      </c>
    </row>
    <row r="5485" spans="1:3">
      <c r="A5485" s="68">
        <v>38113</v>
      </c>
      <c r="B5485" s="6">
        <v>1.6261574074074098E-2</v>
      </c>
      <c r="C5485" s="5">
        <v>133</v>
      </c>
    </row>
    <row r="5486" spans="1:3">
      <c r="A5486" s="68">
        <v>38113</v>
      </c>
      <c r="B5486" s="6">
        <v>1.63194444444444E-2</v>
      </c>
      <c r="C5486" s="5">
        <v>132</v>
      </c>
    </row>
    <row r="5487" spans="1:3">
      <c r="A5487" s="68">
        <v>38113</v>
      </c>
      <c r="B5487" s="6">
        <v>1.6377314814814799E-2</v>
      </c>
      <c r="C5487" s="5">
        <v>131</v>
      </c>
    </row>
    <row r="5488" spans="1:3">
      <c r="A5488" s="68">
        <v>38113</v>
      </c>
      <c r="B5488" s="6">
        <v>1.6435185185185198E-2</v>
      </c>
      <c r="C5488" s="5">
        <v>132</v>
      </c>
    </row>
    <row r="5489" spans="1:3">
      <c r="A5489" s="68">
        <v>38113</v>
      </c>
      <c r="B5489" s="6">
        <v>1.6493055555555601E-2</v>
      </c>
      <c r="C5489" s="5">
        <v>131</v>
      </c>
    </row>
    <row r="5490" spans="1:3">
      <c r="A5490" s="68">
        <v>38113</v>
      </c>
      <c r="B5490" s="6">
        <v>1.65509259259259E-2</v>
      </c>
      <c r="C5490" s="5">
        <v>131</v>
      </c>
    </row>
    <row r="5491" spans="1:3">
      <c r="A5491" s="68">
        <v>38113</v>
      </c>
      <c r="B5491" s="6">
        <v>1.6608796296296299E-2</v>
      </c>
      <c r="C5491" s="5">
        <v>132</v>
      </c>
    </row>
    <row r="5492" spans="1:3">
      <c r="A5492" s="68">
        <v>38113</v>
      </c>
      <c r="B5492" s="6">
        <v>1.6666666666666701E-2</v>
      </c>
      <c r="C5492" s="5">
        <v>130</v>
      </c>
    </row>
    <row r="5493" spans="1:3">
      <c r="A5493" s="68">
        <v>38113</v>
      </c>
      <c r="B5493" s="6">
        <v>1.6724537037037E-2</v>
      </c>
      <c r="C5493" s="5">
        <v>129</v>
      </c>
    </row>
    <row r="5494" spans="1:3">
      <c r="A5494" s="68">
        <v>38113</v>
      </c>
      <c r="B5494" s="6">
        <v>1.6782407407407399E-2</v>
      </c>
      <c r="C5494" s="5">
        <v>129</v>
      </c>
    </row>
    <row r="5495" spans="1:3">
      <c r="A5495" s="68">
        <v>38113</v>
      </c>
      <c r="B5495" s="6">
        <v>1.6840277777777801E-2</v>
      </c>
      <c r="C5495" s="5">
        <v>128</v>
      </c>
    </row>
    <row r="5496" spans="1:3">
      <c r="A5496" s="68">
        <v>38113</v>
      </c>
      <c r="B5496" s="6">
        <v>1.68981481481481E-2</v>
      </c>
      <c r="C5496" s="5">
        <v>128</v>
      </c>
    </row>
    <row r="5497" spans="1:3">
      <c r="A5497" s="68">
        <v>38113</v>
      </c>
      <c r="B5497" s="6">
        <v>1.6956018518518499E-2</v>
      </c>
      <c r="C5497" s="5">
        <v>135</v>
      </c>
    </row>
    <row r="5498" spans="1:3">
      <c r="A5498" s="68">
        <v>38113</v>
      </c>
      <c r="B5498" s="6">
        <v>1.7013888888888901E-2</v>
      </c>
      <c r="C5498" s="5">
        <v>134</v>
      </c>
    </row>
    <row r="5499" spans="1:3">
      <c r="A5499" s="68">
        <v>38113</v>
      </c>
      <c r="B5499" s="6">
        <v>1.70717592592593E-2</v>
      </c>
      <c r="C5499" s="5">
        <v>137</v>
      </c>
    </row>
    <row r="5500" spans="1:3">
      <c r="A5500" s="68">
        <v>38113</v>
      </c>
      <c r="B5500" s="6">
        <v>1.7129629629629599E-2</v>
      </c>
      <c r="C5500" s="5">
        <v>144</v>
      </c>
    </row>
    <row r="5501" spans="1:3">
      <c r="A5501" s="68">
        <v>38113</v>
      </c>
      <c r="B5501" s="6">
        <v>1.7187500000000001E-2</v>
      </c>
      <c r="C5501" s="5">
        <v>151</v>
      </c>
    </row>
    <row r="5502" spans="1:3">
      <c r="A5502" s="68">
        <v>38113</v>
      </c>
      <c r="B5502" s="6">
        <v>1.72453703703704E-2</v>
      </c>
      <c r="C5502" s="5">
        <v>157</v>
      </c>
    </row>
    <row r="5503" spans="1:3">
      <c r="A5503" s="68">
        <v>38113</v>
      </c>
      <c r="B5503" s="6">
        <v>1.7303240740740699E-2</v>
      </c>
      <c r="C5503" s="5">
        <v>162</v>
      </c>
    </row>
    <row r="5504" spans="1:3">
      <c r="A5504" s="68">
        <v>38113</v>
      </c>
      <c r="B5504" s="6">
        <v>1.7361111111111101E-2</v>
      </c>
      <c r="C5504" s="5">
        <v>165</v>
      </c>
    </row>
    <row r="5505" spans="1:3">
      <c r="A5505" s="68">
        <v>38113</v>
      </c>
      <c r="B5505" s="6">
        <v>1.7418981481481501E-2</v>
      </c>
      <c r="C5505" s="5">
        <v>167</v>
      </c>
    </row>
    <row r="5506" spans="1:3">
      <c r="A5506" s="68">
        <v>38113</v>
      </c>
      <c r="B5506" s="6">
        <v>1.74768518518519E-2</v>
      </c>
      <c r="C5506" s="5">
        <v>170</v>
      </c>
    </row>
    <row r="5507" spans="1:3">
      <c r="A5507" s="68">
        <v>38113</v>
      </c>
      <c r="B5507" s="6">
        <v>1.7534722222222202E-2</v>
      </c>
      <c r="C5507" s="5">
        <v>172</v>
      </c>
    </row>
    <row r="5508" spans="1:3">
      <c r="A5508" s="68">
        <v>38113</v>
      </c>
      <c r="B5508" s="6">
        <v>1.7592592592592601E-2</v>
      </c>
      <c r="C5508" s="5">
        <v>173</v>
      </c>
    </row>
    <row r="5509" spans="1:3">
      <c r="A5509" s="68">
        <v>38113</v>
      </c>
      <c r="B5509" s="6">
        <v>1.7650462962963E-2</v>
      </c>
      <c r="C5509" s="5">
        <v>176</v>
      </c>
    </row>
    <row r="5510" spans="1:3">
      <c r="A5510" s="68">
        <v>38113</v>
      </c>
      <c r="B5510" s="6">
        <v>1.7708333333333302E-2</v>
      </c>
      <c r="C5510" s="5">
        <v>176</v>
      </c>
    </row>
    <row r="5511" spans="1:3">
      <c r="A5511" s="68">
        <v>38113</v>
      </c>
      <c r="B5511" s="6">
        <v>1.7766203703703701E-2</v>
      </c>
      <c r="C5511" s="5">
        <v>177</v>
      </c>
    </row>
    <row r="5512" spans="1:3">
      <c r="A5512" s="68">
        <v>38113</v>
      </c>
      <c r="B5512" s="6">
        <v>1.78240740740741E-2</v>
      </c>
      <c r="C5512" s="5">
        <v>178</v>
      </c>
    </row>
    <row r="5513" spans="1:3">
      <c r="A5513" s="68">
        <v>38113</v>
      </c>
      <c r="B5513" s="6">
        <v>1.7881944444444402E-2</v>
      </c>
      <c r="C5513" s="5">
        <v>179</v>
      </c>
    </row>
    <row r="5514" spans="1:3">
      <c r="A5514" s="68">
        <v>38113</v>
      </c>
      <c r="B5514" s="6">
        <v>1.7939814814814801E-2</v>
      </c>
      <c r="C5514" s="5">
        <v>180</v>
      </c>
    </row>
    <row r="5515" spans="1:3">
      <c r="A5515" s="68">
        <v>38113</v>
      </c>
      <c r="B5515" s="6">
        <v>1.79976851851852E-2</v>
      </c>
      <c r="C5515" s="5">
        <v>181</v>
      </c>
    </row>
    <row r="5516" spans="1:3">
      <c r="A5516" s="68">
        <v>38113</v>
      </c>
      <c r="B5516" s="6">
        <v>1.8055555555555599E-2</v>
      </c>
      <c r="C5516" s="5">
        <v>181</v>
      </c>
    </row>
    <row r="5517" spans="1:3">
      <c r="A5517" s="68">
        <v>38113</v>
      </c>
      <c r="B5517" s="6">
        <v>1.8113425925925901E-2</v>
      </c>
      <c r="C5517" s="5">
        <v>182</v>
      </c>
    </row>
    <row r="5518" spans="1:3">
      <c r="A5518" s="68">
        <v>38113</v>
      </c>
      <c r="B5518" s="6">
        <v>1.81712962962963E-2</v>
      </c>
      <c r="C5518" s="5">
        <v>182</v>
      </c>
    </row>
    <row r="5519" spans="1:3">
      <c r="A5519" s="68">
        <v>38113</v>
      </c>
      <c r="B5519" s="6">
        <v>1.8229166666666699E-2</v>
      </c>
      <c r="C5519" s="5">
        <v>183</v>
      </c>
    </row>
    <row r="5520" spans="1:3">
      <c r="A5520" s="68">
        <v>38113</v>
      </c>
      <c r="B5520" s="6">
        <v>1.8287037037037001E-2</v>
      </c>
      <c r="C5520" s="5">
        <v>182</v>
      </c>
    </row>
    <row r="5521" spans="1:3">
      <c r="A5521" s="68">
        <v>38113</v>
      </c>
      <c r="B5521" s="6">
        <v>1.83449074074074E-2</v>
      </c>
      <c r="C5521" s="5">
        <v>183</v>
      </c>
    </row>
    <row r="5522" spans="1:3">
      <c r="A5522" s="68">
        <v>38113</v>
      </c>
      <c r="B5522" s="6">
        <v>1.8402777777777799E-2</v>
      </c>
      <c r="C5522" s="5">
        <v>184</v>
      </c>
    </row>
    <row r="5523" spans="1:3">
      <c r="A5523" s="68">
        <v>38113</v>
      </c>
      <c r="B5523" s="6">
        <v>1.8460648148148101E-2</v>
      </c>
      <c r="C5523" s="5">
        <v>184</v>
      </c>
    </row>
    <row r="5524" spans="1:3">
      <c r="A5524" s="68">
        <v>38113</v>
      </c>
      <c r="B5524" s="6">
        <v>1.85185185185185E-2</v>
      </c>
      <c r="C5524" s="5">
        <v>184</v>
      </c>
    </row>
    <row r="5525" spans="1:3">
      <c r="A5525" s="68">
        <v>38113</v>
      </c>
      <c r="B5525" s="6">
        <v>1.8576388888888899E-2</v>
      </c>
      <c r="C5525" s="5">
        <v>184</v>
      </c>
    </row>
    <row r="5526" spans="1:3">
      <c r="A5526" s="68">
        <v>38113</v>
      </c>
      <c r="B5526" s="6">
        <v>1.8634259259259298E-2</v>
      </c>
      <c r="C5526" s="5">
        <v>185</v>
      </c>
    </row>
    <row r="5527" spans="1:3">
      <c r="A5527" s="68">
        <v>38113</v>
      </c>
      <c r="B5527" s="6">
        <v>1.86921296296296E-2</v>
      </c>
      <c r="C5527" s="5">
        <v>185</v>
      </c>
    </row>
    <row r="5528" spans="1:3">
      <c r="A5528" s="68">
        <v>38113</v>
      </c>
      <c r="B5528" s="6">
        <v>1.8749999999999999E-2</v>
      </c>
      <c r="C5528" s="5">
        <v>185</v>
      </c>
    </row>
    <row r="5529" spans="1:3">
      <c r="A5529" s="68">
        <v>38113</v>
      </c>
      <c r="B5529" s="6">
        <v>1.8807870370370398E-2</v>
      </c>
      <c r="C5529" s="5">
        <v>185</v>
      </c>
    </row>
    <row r="5530" spans="1:3">
      <c r="A5530" s="68">
        <v>38113</v>
      </c>
      <c r="B5530" s="6">
        <v>1.88657407407407E-2</v>
      </c>
      <c r="C5530" s="5">
        <v>185</v>
      </c>
    </row>
    <row r="5531" spans="1:3">
      <c r="A5531" s="68">
        <v>38113</v>
      </c>
      <c r="B5531" s="6">
        <v>1.8923611111111099E-2</v>
      </c>
      <c r="C5531" s="5">
        <v>185</v>
      </c>
    </row>
    <row r="5532" spans="1:3">
      <c r="A5532" s="68">
        <v>38113</v>
      </c>
      <c r="B5532" s="6">
        <v>1.8981481481481498E-2</v>
      </c>
      <c r="C5532" s="5">
        <v>185</v>
      </c>
    </row>
    <row r="5533" spans="1:3">
      <c r="A5533" s="68">
        <v>38113</v>
      </c>
      <c r="B5533" s="6">
        <v>1.90393518518518E-2</v>
      </c>
      <c r="C5533" s="5">
        <v>185</v>
      </c>
    </row>
    <row r="5534" spans="1:3">
      <c r="A5534" s="68">
        <v>38113</v>
      </c>
      <c r="B5534" s="6">
        <v>1.9097222222222199E-2</v>
      </c>
      <c r="C5534" s="5">
        <v>186</v>
      </c>
    </row>
    <row r="5535" spans="1:3">
      <c r="A5535" s="68">
        <v>38113</v>
      </c>
      <c r="B5535" s="6">
        <v>1.9155092592592599E-2</v>
      </c>
      <c r="C5535" s="5">
        <v>186</v>
      </c>
    </row>
    <row r="5536" spans="1:3">
      <c r="A5536" s="68">
        <v>38113</v>
      </c>
      <c r="B5536" s="6">
        <v>1.9212962962963001E-2</v>
      </c>
      <c r="C5536" s="5">
        <v>186</v>
      </c>
    </row>
    <row r="5537" spans="1:3">
      <c r="A5537" s="68">
        <v>38113</v>
      </c>
      <c r="B5537" s="6">
        <v>1.92708333333333E-2</v>
      </c>
      <c r="C5537" s="5">
        <v>187</v>
      </c>
    </row>
    <row r="5538" spans="1:3">
      <c r="A5538" s="68">
        <v>38113</v>
      </c>
      <c r="B5538" s="6">
        <v>1.9328703703703699E-2</v>
      </c>
      <c r="C5538" s="5">
        <v>186</v>
      </c>
    </row>
    <row r="5539" spans="1:3">
      <c r="A5539" s="68">
        <v>38113</v>
      </c>
      <c r="B5539" s="6">
        <v>1.9386574074074101E-2</v>
      </c>
      <c r="C5539" s="5">
        <v>186</v>
      </c>
    </row>
    <row r="5540" spans="1:3">
      <c r="A5540" s="68">
        <v>38113</v>
      </c>
      <c r="B5540" s="6">
        <v>1.94444444444444E-2</v>
      </c>
      <c r="C5540" s="5">
        <v>187</v>
      </c>
    </row>
    <row r="5541" spans="1:3">
      <c r="A5541" s="68">
        <v>38113</v>
      </c>
      <c r="B5541" s="6">
        <v>1.9502314814814799E-2</v>
      </c>
      <c r="C5541" s="5">
        <v>187</v>
      </c>
    </row>
    <row r="5542" spans="1:3">
      <c r="A5542" s="68">
        <v>38113</v>
      </c>
      <c r="B5542" s="6">
        <v>1.9560185185185201E-2</v>
      </c>
      <c r="C5542" s="5">
        <v>187</v>
      </c>
    </row>
    <row r="5543" spans="1:3">
      <c r="A5543" s="68">
        <v>38113</v>
      </c>
      <c r="B5543" s="6">
        <v>1.96180555555556E-2</v>
      </c>
      <c r="C5543" s="5">
        <v>187</v>
      </c>
    </row>
    <row r="5544" spans="1:3">
      <c r="A5544" s="68">
        <v>38113</v>
      </c>
      <c r="B5544" s="6">
        <v>1.9675925925925899E-2</v>
      </c>
      <c r="C5544" s="5">
        <v>186</v>
      </c>
    </row>
    <row r="5545" spans="1:3">
      <c r="A5545" s="68">
        <v>38113</v>
      </c>
      <c r="B5545" s="6">
        <v>1.9733796296296301E-2</v>
      </c>
      <c r="C5545" s="5">
        <v>186</v>
      </c>
    </row>
    <row r="5546" spans="1:3">
      <c r="A5546" s="68">
        <v>38113</v>
      </c>
      <c r="B5546" s="6">
        <v>1.97916666666667E-2</v>
      </c>
      <c r="C5546" s="5">
        <v>187</v>
      </c>
    </row>
    <row r="5547" spans="1:3">
      <c r="A5547" s="68">
        <v>38113</v>
      </c>
      <c r="B5547" s="6">
        <v>1.9849537037036999E-2</v>
      </c>
      <c r="C5547" s="5">
        <v>187</v>
      </c>
    </row>
    <row r="5548" spans="1:3">
      <c r="A5548" s="68">
        <v>38113</v>
      </c>
      <c r="B5548" s="6">
        <v>1.9907407407407401E-2</v>
      </c>
      <c r="C5548" s="5">
        <v>187</v>
      </c>
    </row>
    <row r="5549" spans="1:3">
      <c r="A5549" s="68">
        <v>38113</v>
      </c>
      <c r="B5549" s="6">
        <v>1.9965277777777801E-2</v>
      </c>
      <c r="C5549" s="5">
        <v>186</v>
      </c>
    </row>
    <row r="5550" spans="1:3">
      <c r="A5550" s="68">
        <v>38113</v>
      </c>
      <c r="B5550" s="6">
        <v>2.0023148148148099E-2</v>
      </c>
      <c r="C5550" s="5">
        <v>187</v>
      </c>
    </row>
    <row r="5551" spans="1:3">
      <c r="A5551" s="68">
        <v>38113</v>
      </c>
      <c r="B5551" s="6">
        <v>2.0081018518518502E-2</v>
      </c>
      <c r="C5551" s="5">
        <v>186</v>
      </c>
    </row>
    <row r="5552" spans="1:3">
      <c r="A5552" s="68">
        <v>38113</v>
      </c>
      <c r="B5552" s="6">
        <v>2.0138888888888901E-2</v>
      </c>
      <c r="C5552" s="5">
        <v>186</v>
      </c>
    </row>
    <row r="5553" spans="1:3">
      <c r="A5553" s="68">
        <v>38113</v>
      </c>
      <c r="B5553" s="6">
        <v>2.01967592592593E-2</v>
      </c>
      <c r="C5553" s="5">
        <v>186</v>
      </c>
    </row>
    <row r="5554" spans="1:3">
      <c r="A5554" s="68">
        <v>38113</v>
      </c>
      <c r="B5554" s="6">
        <v>2.0254629629629602E-2</v>
      </c>
      <c r="C5554" s="5">
        <v>187</v>
      </c>
    </row>
    <row r="5555" spans="1:3">
      <c r="A5555" s="68">
        <v>38113</v>
      </c>
      <c r="B5555" s="6">
        <v>2.0312500000000001E-2</v>
      </c>
      <c r="C5555" s="5">
        <v>185</v>
      </c>
    </row>
    <row r="5556" spans="1:3">
      <c r="A5556" s="68">
        <v>38113</v>
      </c>
      <c r="B5556" s="6">
        <v>2.03703703703704E-2</v>
      </c>
      <c r="C5556" s="5">
        <v>183</v>
      </c>
    </row>
    <row r="5557" spans="1:3">
      <c r="A5557" s="68">
        <v>38113</v>
      </c>
      <c r="B5557" s="6">
        <v>2.0428240740740702E-2</v>
      </c>
      <c r="C5557" s="5">
        <v>180</v>
      </c>
    </row>
    <row r="5558" spans="1:3">
      <c r="A5558" s="68">
        <v>38113</v>
      </c>
      <c r="B5558" s="6">
        <v>2.0486111111111101E-2</v>
      </c>
      <c r="C5558" s="5">
        <v>177</v>
      </c>
    </row>
    <row r="5559" spans="1:3">
      <c r="A5559" s="68">
        <v>38113</v>
      </c>
      <c r="B5559" s="6">
        <v>2.05439814814815E-2</v>
      </c>
      <c r="C5559" s="5">
        <v>173</v>
      </c>
    </row>
    <row r="5560" spans="1:3">
      <c r="A5560" s="68">
        <v>38113</v>
      </c>
      <c r="B5560" s="6">
        <v>2.0601851851851899E-2</v>
      </c>
      <c r="C5560" s="5">
        <v>170</v>
      </c>
    </row>
    <row r="5561" spans="1:3">
      <c r="A5561" s="68">
        <v>38113</v>
      </c>
      <c r="B5561" s="6">
        <v>2.0659722222222201E-2</v>
      </c>
      <c r="C5561" s="5">
        <v>164</v>
      </c>
    </row>
    <row r="5562" spans="1:3">
      <c r="A5562" s="68">
        <v>38113</v>
      </c>
      <c r="B5562" s="6">
        <v>2.07175925925926E-2</v>
      </c>
      <c r="C5562" s="5">
        <v>158</v>
      </c>
    </row>
    <row r="5563" spans="1:3">
      <c r="A5563" s="68">
        <v>38113</v>
      </c>
      <c r="B5563" s="6">
        <v>2.0775462962962999E-2</v>
      </c>
      <c r="C5563" s="5">
        <v>153</v>
      </c>
    </row>
    <row r="5564" spans="1:3">
      <c r="A5564" s="68">
        <v>38113</v>
      </c>
      <c r="B5564" s="6">
        <v>2.0833333333333301E-2</v>
      </c>
      <c r="C5564" s="5">
        <v>149</v>
      </c>
    </row>
    <row r="5565" spans="1:3">
      <c r="A5565" s="68">
        <v>38113</v>
      </c>
      <c r="B5565" s="6">
        <v>2.08912037037037E-2</v>
      </c>
      <c r="C5565" s="5">
        <v>148</v>
      </c>
    </row>
    <row r="5566" spans="1:3">
      <c r="A5566" s="68">
        <v>38113</v>
      </c>
      <c r="B5566" s="6">
        <v>2.0949074074074099E-2</v>
      </c>
      <c r="C5566" s="5">
        <v>146</v>
      </c>
    </row>
    <row r="5567" spans="1:3">
      <c r="A5567" s="68">
        <v>38113</v>
      </c>
      <c r="B5567" s="6">
        <v>2.1006944444444401E-2</v>
      </c>
      <c r="C5567" s="5">
        <v>143</v>
      </c>
    </row>
    <row r="5568" spans="1:3">
      <c r="A5568" s="68">
        <v>38113</v>
      </c>
      <c r="B5568" s="6">
        <v>2.10648148148148E-2</v>
      </c>
      <c r="C5568" s="5">
        <v>143</v>
      </c>
    </row>
    <row r="5569" spans="1:3">
      <c r="A5569" s="68">
        <v>38113</v>
      </c>
      <c r="B5569" s="6">
        <v>2.1122685185185199E-2</v>
      </c>
      <c r="C5569" s="5">
        <v>142</v>
      </c>
    </row>
    <row r="5570" spans="1:3">
      <c r="A5570" s="68">
        <v>38113</v>
      </c>
      <c r="B5570" s="6">
        <v>2.1180555555555598E-2</v>
      </c>
      <c r="C5570" s="5">
        <v>141</v>
      </c>
    </row>
    <row r="5571" spans="1:3">
      <c r="A5571" s="68">
        <v>38113</v>
      </c>
      <c r="B5571" s="6">
        <v>2.12384259259259E-2</v>
      </c>
      <c r="C5571" s="5">
        <v>137</v>
      </c>
    </row>
    <row r="5572" spans="1:3">
      <c r="A5572" s="68">
        <v>38113</v>
      </c>
      <c r="B5572" s="6">
        <v>2.1296296296296299E-2</v>
      </c>
      <c r="C5572" s="5">
        <v>135</v>
      </c>
    </row>
    <row r="5573" spans="1:3">
      <c r="A5573" s="68">
        <v>38113</v>
      </c>
      <c r="B5573" s="6">
        <v>2.1354166666666698E-2</v>
      </c>
      <c r="C5573" s="5">
        <v>133</v>
      </c>
    </row>
    <row r="5574" spans="1:3">
      <c r="A5574" s="68">
        <v>38113</v>
      </c>
      <c r="B5574" s="6">
        <v>2.1412037037037E-2</v>
      </c>
      <c r="C5574" s="5">
        <v>133</v>
      </c>
    </row>
    <row r="5575" spans="1:3">
      <c r="A5575" s="68">
        <v>38113</v>
      </c>
      <c r="B5575" s="6">
        <v>2.1469907407407399E-2</v>
      </c>
      <c r="C5575" s="5">
        <v>133</v>
      </c>
    </row>
    <row r="5576" spans="1:3">
      <c r="A5576" s="68">
        <v>38113</v>
      </c>
      <c r="B5576" s="6">
        <v>2.1527777777777798E-2</v>
      </c>
      <c r="C5576" s="5">
        <v>132</v>
      </c>
    </row>
    <row r="5577" spans="1:3">
      <c r="A5577" s="68">
        <v>38113</v>
      </c>
      <c r="B5577" s="6">
        <v>2.15856481481481E-2</v>
      </c>
      <c r="C5577" s="5">
        <v>133</v>
      </c>
    </row>
    <row r="5578" spans="1:3">
      <c r="A5578" s="68">
        <v>38113</v>
      </c>
      <c r="B5578" s="6">
        <v>2.1643518518518499E-2</v>
      </c>
      <c r="C5578" s="5">
        <v>132</v>
      </c>
    </row>
    <row r="5579" spans="1:3">
      <c r="A5579" s="68">
        <v>38113</v>
      </c>
      <c r="B5579" s="6">
        <v>2.1701388888888899E-2</v>
      </c>
      <c r="C5579" s="5">
        <v>131</v>
      </c>
    </row>
    <row r="5580" spans="1:3">
      <c r="A5580" s="68">
        <v>38113</v>
      </c>
      <c r="B5580" s="6">
        <v>2.1759259259259301E-2</v>
      </c>
      <c r="C5580" s="5">
        <v>132</v>
      </c>
    </row>
    <row r="5581" spans="1:3">
      <c r="A5581" s="68">
        <v>38113</v>
      </c>
      <c r="B5581" s="6">
        <v>2.18171296296296E-2</v>
      </c>
      <c r="C5581" s="5">
        <v>128</v>
      </c>
    </row>
    <row r="5582" spans="1:3">
      <c r="A5582" s="68">
        <v>38113</v>
      </c>
      <c r="B5582" s="6">
        <v>2.1874999999999999E-2</v>
      </c>
      <c r="C5582" s="5">
        <v>129</v>
      </c>
    </row>
    <row r="5583" spans="1:3">
      <c r="A5583" s="68">
        <v>38113</v>
      </c>
      <c r="B5583" s="6">
        <v>2.1932870370370401E-2</v>
      </c>
      <c r="C5583" s="5">
        <v>132</v>
      </c>
    </row>
    <row r="5584" spans="1:3">
      <c r="A5584" s="68">
        <v>38113</v>
      </c>
      <c r="B5584" s="6">
        <v>2.19907407407407E-2</v>
      </c>
      <c r="C5584" s="5">
        <v>133</v>
      </c>
    </row>
    <row r="5585" spans="1:3">
      <c r="A5585" s="68">
        <v>38113</v>
      </c>
      <c r="B5585" s="6">
        <v>2.2048611111111099E-2</v>
      </c>
      <c r="C5585" s="5">
        <v>137</v>
      </c>
    </row>
    <row r="5586" spans="1:3">
      <c r="A5586" s="68">
        <v>38113</v>
      </c>
      <c r="B5586" s="6">
        <v>2.2106481481481501E-2</v>
      </c>
      <c r="C5586" s="5">
        <v>151</v>
      </c>
    </row>
    <row r="5587" spans="1:3">
      <c r="A5587" s="68">
        <v>38113</v>
      </c>
      <c r="B5587" s="6">
        <v>2.21643518518519E-2</v>
      </c>
      <c r="C5587" s="5">
        <v>155</v>
      </c>
    </row>
    <row r="5588" spans="1:3">
      <c r="A5588" s="68">
        <v>38113</v>
      </c>
      <c r="B5588" s="6">
        <v>2.2222222222222199E-2</v>
      </c>
      <c r="C5588" s="5">
        <v>162</v>
      </c>
    </row>
    <row r="5589" spans="1:3">
      <c r="A5589" s="68">
        <v>38113</v>
      </c>
      <c r="B5589" s="6">
        <v>2.2280092592592601E-2</v>
      </c>
      <c r="C5589" s="5">
        <v>166</v>
      </c>
    </row>
    <row r="5590" spans="1:3">
      <c r="A5590" s="68">
        <v>38113</v>
      </c>
      <c r="B5590" s="6">
        <v>2.2337962962963E-2</v>
      </c>
      <c r="C5590" s="5">
        <v>169</v>
      </c>
    </row>
    <row r="5591" spans="1:3">
      <c r="A5591" s="68">
        <v>38113</v>
      </c>
      <c r="B5591" s="6">
        <v>2.2395833333333299E-2</v>
      </c>
      <c r="C5591" s="5">
        <v>172</v>
      </c>
    </row>
    <row r="5592" spans="1:3">
      <c r="A5592" s="68">
        <v>38113</v>
      </c>
      <c r="B5592" s="6">
        <v>2.2453703703703701E-2</v>
      </c>
      <c r="C5592" s="5">
        <v>174</v>
      </c>
    </row>
    <row r="5593" spans="1:3">
      <c r="A5593" s="68">
        <v>38113</v>
      </c>
      <c r="B5593" s="6">
        <v>2.25115740740741E-2</v>
      </c>
      <c r="C5593" s="5">
        <v>175</v>
      </c>
    </row>
    <row r="5594" spans="1:3">
      <c r="A5594" s="68">
        <v>38113</v>
      </c>
      <c r="B5594" s="6">
        <v>2.2569444444444399E-2</v>
      </c>
      <c r="C5594" s="5">
        <v>177</v>
      </c>
    </row>
    <row r="5595" spans="1:3">
      <c r="A5595" s="68">
        <v>38113</v>
      </c>
      <c r="B5595" s="6">
        <v>2.2627314814814802E-2</v>
      </c>
      <c r="C5595" s="5">
        <v>178</v>
      </c>
    </row>
    <row r="5596" spans="1:3">
      <c r="A5596" s="68">
        <v>38113</v>
      </c>
      <c r="B5596" s="6">
        <v>2.2685185185185201E-2</v>
      </c>
      <c r="C5596" s="5">
        <v>179</v>
      </c>
    </row>
    <row r="5597" spans="1:3">
      <c r="A5597" s="68">
        <v>38113</v>
      </c>
      <c r="B5597" s="6">
        <v>2.27430555555556E-2</v>
      </c>
      <c r="C5597" s="5">
        <v>181</v>
      </c>
    </row>
    <row r="5598" spans="1:3">
      <c r="A5598" s="68">
        <v>38113</v>
      </c>
      <c r="B5598" s="6">
        <v>2.2800925925925902E-2</v>
      </c>
      <c r="C5598" s="5">
        <v>182</v>
      </c>
    </row>
    <row r="5599" spans="1:3">
      <c r="A5599" s="68">
        <v>38113</v>
      </c>
      <c r="B5599" s="6">
        <v>2.2858796296296301E-2</v>
      </c>
      <c r="C5599" s="5">
        <v>182</v>
      </c>
    </row>
    <row r="5600" spans="1:3">
      <c r="A5600" s="68">
        <v>38113</v>
      </c>
      <c r="B5600" s="6">
        <v>2.29166666666667E-2</v>
      </c>
      <c r="C5600" s="5">
        <v>182</v>
      </c>
    </row>
    <row r="5601" spans="1:3">
      <c r="A5601" s="68">
        <v>38113</v>
      </c>
      <c r="B5601" s="6">
        <v>2.2974537037037002E-2</v>
      </c>
      <c r="C5601" s="5">
        <v>183</v>
      </c>
    </row>
    <row r="5602" spans="1:3">
      <c r="A5602" s="68">
        <v>38113</v>
      </c>
      <c r="B5602" s="6">
        <v>2.3032407407407401E-2</v>
      </c>
      <c r="C5602" s="5">
        <v>185</v>
      </c>
    </row>
    <row r="5603" spans="1:3">
      <c r="A5603" s="68">
        <v>38113</v>
      </c>
      <c r="B5603" s="6">
        <v>2.30902777777778E-2</v>
      </c>
      <c r="C5603" s="5">
        <v>184</v>
      </c>
    </row>
    <row r="5604" spans="1:3">
      <c r="A5604" s="68">
        <v>38113</v>
      </c>
      <c r="B5604" s="6">
        <v>2.3148148148148098E-2</v>
      </c>
      <c r="C5604" s="5">
        <v>185</v>
      </c>
    </row>
    <row r="5605" spans="1:3">
      <c r="A5605" s="68">
        <v>38113</v>
      </c>
      <c r="B5605" s="6">
        <v>2.3206018518518501E-2</v>
      </c>
      <c r="C5605" s="5">
        <v>185</v>
      </c>
    </row>
    <row r="5606" spans="1:3">
      <c r="A5606" s="68">
        <v>38113</v>
      </c>
      <c r="B5606" s="6">
        <v>2.32638888888889E-2</v>
      </c>
      <c r="C5606" s="5">
        <v>186</v>
      </c>
    </row>
    <row r="5607" spans="1:3">
      <c r="A5607" s="68">
        <v>38113</v>
      </c>
      <c r="B5607" s="6">
        <v>2.3321759259259299E-2</v>
      </c>
      <c r="C5607" s="5">
        <v>186</v>
      </c>
    </row>
    <row r="5608" spans="1:3">
      <c r="A5608" s="68">
        <v>38113</v>
      </c>
      <c r="B5608" s="6">
        <v>2.3379629629629601E-2</v>
      </c>
      <c r="C5608" s="5">
        <v>187</v>
      </c>
    </row>
    <row r="5609" spans="1:3">
      <c r="A5609" s="68">
        <v>38113</v>
      </c>
      <c r="B5609" s="6">
        <v>2.34375E-2</v>
      </c>
      <c r="C5609" s="5">
        <v>187</v>
      </c>
    </row>
    <row r="5610" spans="1:3">
      <c r="A5610" s="68">
        <v>38113</v>
      </c>
      <c r="B5610" s="6">
        <v>2.3495370370370399E-2</v>
      </c>
      <c r="C5610" s="5">
        <v>186</v>
      </c>
    </row>
    <row r="5611" spans="1:3">
      <c r="A5611" s="68">
        <v>38113</v>
      </c>
      <c r="B5611" s="6">
        <v>2.3553240740740701E-2</v>
      </c>
      <c r="C5611" s="5">
        <v>187</v>
      </c>
    </row>
    <row r="5612" spans="1:3">
      <c r="A5612" s="68">
        <v>38113</v>
      </c>
      <c r="B5612" s="6">
        <v>2.36111111111111E-2</v>
      </c>
      <c r="C5612" s="5">
        <v>188</v>
      </c>
    </row>
    <row r="5613" spans="1:3">
      <c r="A5613" s="68">
        <v>38113</v>
      </c>
      <c r="B5613" s="6">
        <v>2.3668981481481499E-2</v>
      </c>
      <c r="C5613" s="5">
        <v>188</v>
      </c>
    </row>
    <row r="5614" spans="1:3">
      <c r="A5614" s="68">
        <v>38113</v>
      </c>
      <c r="B5614" s="6">
        <v>2.3726851851851801E-2</v>
      </c>
      <c r="C5614" s="5">
        <v>187</v>
      </c>
    </row>
    <row r="5615" spans="1:3">
      <c r="A5615" s="68">
        <v>38113</v>
      </c>
      <c r="B5615" s="6">
        <v>2.37847222222222E-2</v>
      </c>
      <c r="C5615" s="5">
        <v>187</v>
      </c>
    </row>
    <row r="5616" spans="1:3">
      <c r="A5616" s="68">
        <v>38113</v>
      </c>
      <c r="B5616" s="6">
        <v>2.3842592592592599E-2</v>
      </c>
      <c r="C5616" s="5">
        <v>187</v>
      </c>
    </row>
    <row r="5617" spans="1:3">
      <c r="A5617" s="68">
        <v>38113</v>
      </c>
      <c r="B5617" s="6">
        <v>2.3900462962962998E-2</v>
      </c>
      <c r="C5617" s="5">
        <v>187</v>
      </c>
    </row>
    <row r="5618" spans="1:3">
      <c r="A5618" s="68">
        <v>38113</v>
      </c>
      <c r="B5618" s="6">
        <v>2.39583333333333E-2</v>
      </c>
      <c r="C5618" s="5">
        <v>187</v>
      </c>
    </row>
    <row r="5619" spans="1:3">
      <c r="A5619" s="68">
        <v>38113</v>
      </c>
      <c r="B5619" s="6">
        <v>2.4016203703703699E-2</v>
      </c>
      <c r="C5619" s="5">
        <v>187</v>
      </c>
    </row>
    <row r="5620" spans="1:3">
      <c r="A5620" s="68">
        <v>38113</v>
      </c>
      <c r="B5620" s="6">
        <v>2.4074074074074098E-2</v>
      </c>
      <c r="C5620" s="5">
        <v>187</v>
      </c>
    </row>
    <row r="5621" spans="1:3">
      <c r="A5621" s="68">
        <v>38113</v>
      </c>
      <c r="B5621" s="6">
        <v>2.41319444444444E-2</v>
      </c>
      <c r="C5621" s="5">
        <v>186</v>
      </c>
    </row>
    <row r="5622" spans="1:3">
      <c r="A5622" s="68">
        <v>38113</v>
      </c>
      <c r="B5622" s="6">
        <v>2.4189814814814799E-2</v>
      </c>
      <c r="C5622" s="5">
        <v>185</v>
      </c>
    </row>
    <row r="5623" spans="1:3">
      <c r="A5623" s="68">
        <v>38113</v>
      </c>
      <c r="B5623" s="6">
        <v>2.4247685185185198E-2</v>
      </c>
      <c r="C5623" s="5">
        <v>183</v>
      </c>
    </row>
    <row r="5624" spans="1:3">
      <c r="A5624" s="68">
        <v>38113</v>
      </c>
      <c r="B5624" s="6">
        <v>2.4305555555555601E-2</v>
      </c>
      <c r="C5624" s="5">
        <v>180</v>
      </c>
    </row>
    <row r="5625" spans="1:3">
      <c r="A5625" s="68">
        <v>38113</v>
      </c>
      <c r="B5625" s="6">
        <v>2.43634259259259E-2</v>
      </c>
      <c r="C5625" s="5">
        <v>177</v>
      </c>
    </row>
    <row r="5626" spans="1:3">
      <c r="A5626" s="68">
        <v>38113</v>
      </c>
      <c r="B5626" s="6">
        <v>2.4421296296296299E-2</v>
      </c>
      <c r="C5626" s="5">
        <v>175</v>
      </c>
    </row>
    <row r="5627" spans="1:3">
      <c r="A5627" s="68">
        <v>38113</v>
      </c>
      <c r="B5627" s="6">
        <v>2.4479166666666701E-2</v>
      </c>
      <c r="C5627" s="5">
        <v>171</v>
      </c>
    </row>
    <row r="5628" spans="1:3">
      <c r="A5628" s="68">
        <v>38113</v>
      </c>
      <c r="B5628" s="6">
        <v>2.4537037037037E-2</v>
      </c>
      <c r="C5628" s="5">
        <v>169</v>
      </c>
    </row>
    <row r="5629" spans="1:3">
      <c r="A5629" s="68">
        <v>38113</v>
      </c>
      <c r="B5629" s="6">
        <v>2.4594907407407399E-2</v>
      </c>
      <c r="C5629" s="5">
        <v>165</v>
      </c>
    </row>
    <row r="5630" spans="1:3">
      <c r="A5630" s="68">
        <v>38113</v>
      </c>
      <c r="B5630" s="6">
        <v>2.4652777777777801E-2</v>
      </c>
      <c r="C5630" s="5">
        <v>160</v>
      </c>
    </row>
    <row r="5631" spans="1:3">
      <c r="A5631" s="68">
        <v>38113</v>
      </c>
      <c r="B5631" s="6">
        <v>2.47106481481481E-2</v>
      </c>
      <c r="C5631" s="5">
        <v>155</v>
      </c>
    </row>
    <row r="5632" spans="1:3">
      <c r="A5632" s="68">
        <v>38113</v>
      </c>
      <c r="B5632" s="6">
        <v>2.4768518518518499E-2</v>
      </c>
      <c r="C5632" s="5">
        <v>153</v>
      </c>
    </row>
    <row r="5633" spans="1:3">
      <c r="A5633" s="68">
        <v>38113</v>
      </c>
      <c r="B5633" s="6">
        <v>2.4826388888888901E-2</v>
      </c>
      <c r="C5633" s="5">
        <v>151</v>
      </c>
    </row>
    <row r="5634" spans="1:3">
      <c r="A5634" s="68">
        <v>38113</v>
      </c>
      <c r="B5634" s="6">
        <v>2.48842592592593E-2</v>
      </c>
      <c r="C5634" s="5">
        <v>147</v>
      </c>
    </row>
    <row r="5635" spans="1:3">
      <c r="A5635" s="68">
        <v>38113</v>
      </c>
      <c r="B5635" s="6">
        <v>2.4942129629629599E-2</v>
      </c>
      <c r="C5635" s="5">
        <v>145</v>
      </c>
    </row>
    <row r="5636" spans="1:3">
      <c r="A5636" s="68">
        <v>38113</v>
      </c>
      <c r="B5636" s="6">
        <v>2.5000000000000001E-2</v>
      </c>
      <c r="C5636" s="5">
        <v>143</v>
      </c>
    </row>
    <row r="5637" spans="1:3">
      <c r="A5637" s="68">
        <v>38113</v>
      </c>
      <c r="B5637" s="6">
        <v>2.50578703703704E-2</v>
      </c>
      <c r="C5637" s="5">
        <v>144</v>
      </c>
    </row>
    <row r="5638" spans="1:3">
      <c r="A5638" s="68">
        <v>38113</v>
      </c>
      <c r="B5638" s="6">
        <v>2.5115740740740699E-2</v>
      </c>
      <c r="C5638" s="5">
        <v>141</v>
      </c>
    </row>
    <row r="5639" spans="1:3">
      <c r="A5639" s="68">
        <v>38113</v>
      </c>
      <c r="B5639" s="6">
        <v>2.5173611111111101E-2</v>
      </c>
      <c r="C5639" s="5">
        <v>140</v>
      </c>
    </row>
    <row r="5640" spans="1:3">
      <c r="A5640" s="68">
        <v>38113</v>
      </c>
      <c r="B5640" s="6">
        <v>2.5231481481481501E-2</v>
      </c>
      <c r="C5640" s="5">
        <v>138</v>
      </c>
    </row>
    <row r="5641" spans="1:3">
      <c r="A5641" s="68">
        <v>38113</v>
      </c>
      <c r="B5641" s="6">
        <v>2.52893518518519E-2</v>
      </c>
      <c r="C5641" s="5">
        <v>137</v>
      </c>
    </row>
    <row r="5642" spans="1:3">
      <c r="A5642" s="68">
        <v>38113</v>
      </c>
      <c r="B5642" s="6">
        <v>2.5347222222222202E-2</v>
      </c>
      <c r="C5642" s="5">
        <v>138</v>
      </c>
    </row>
    <row r="5643" spans="1:3">
      <c r="A5643" s="68">
        <v>38113</v>
      </c>
      <c r="B5643" s="6">
        <v>2.5405092592592601E-2</v>
      </c>
      <c r="C5643" s="5">
        <v>138</v>
      </c>
    </row>
    <row r="5644" spans="1:3">
      <c r="A5644" s="68">
        <v>38113</v>
      </c>
      <c r="B5644" s="6">
        <v>2.5462962962963E-2</v>
      </c>
      <c r="C5644" s="5">
        <v>138</v>
      </c>
    </row>
    <row r="5645" spans="1:3">
      <c r="A5645" s="68">
        <v>38113</v>
      </c>
      <c r="B5645" s="6">
        <v>2.5520833333333302E-2</v>
      </c>
      <c r="C5645" s="5">
        <v>147</v>
      </c>
    </row>
    <row r="5646" spans="1:3">
      <c r="A5646" s="68">
        <v>38113</v>
      </c>
      <c r="B5646" s="6">
        <v>2.5578703703703701E-2</v>
      </c>
      <c r="C5646" s="5">
        <v>155</v>
      </c>
    </row>
    <row r="5647" spans="1:3">
      <c r="A5647" s="68">
        <v>38113</v>
      </c>
      <c r="B5647" s="6">
        <v>2.56365740740741E-2</v>
      </c>
      <c r="C5647" s="5">
        <v>162</v>
      </c>
    </row>
    <row r="5648" spans="1:3">
      <c r="A5648" s="68">
        <v>38113</v>
      </c>
      <c r="B5648" s="6">
        <v>2.5694444444444402E-2</v>
      </c>
      <c r="C5648" s="5">
        <v>166</v>
      </c>
    </row>
    <row r="5649" spans="1:3">
      <c r="A5649" s="68">
        <v>38113</v>
      </c>
      <c r="B5649" s="6">
        <v>2.5752314814814801E-2</v>
      </c>
      <c r="C5649" s="5">
        <v>170</v>
      </c>
    </row>
    <row r="5650" spans="1:3">
      <c r="A5650" s="68">
        <v>38113</v>
      </c>
      <c r="B5650" s="6">
        <v>2.58101851851852E-2</v>
      </c>
      <c r="C5650" s="5">
        <v>174</v>
      </c>
    </row>
    <row r="5651" spans="1:3">
      <c r="A5651" s="68">
        <v>38113</v>
      </c>
      <c r="B5651" s="6">
        <v>2.5868055555555599E-2</v>
      </c>
      <c r="C5651" s="5">
        <v>177</v>
      </c>
    </row>
    <row r="5652" spans="1:3">
      <c r="A5652" s="68">
        <v>38113</v>
      </c>
      <c r="B5652" s="6">
        <v>2.5925925925925901E-2</v>
      </c>
      <c r="C5652" s="5">
        <v>177</v>
      </c>
    </row>
    <row r="5653" spans="1:3">
      <c r="A5653" s="68">
        <v>38113</v>
      </c>
      <c r="B5653" s="6">
        <v>2.59837962962963E-2</v>
      </c>
      <c r="C5653" s="5">
        <v>182</v>
      </c>
    </row>
    <row r="5654" spans="1:3">
      <c r="A5654" s="68">
        <v>38113</v>
      </c>
      <c r="B5654" s="6">
        <v>2.6041666666666699E-2</v>
      </c>
      <c r="C5654" s="5">
        <v>183</v>
      </c>
    </row>
    <row r="5655" spans="1:3">
      <c r="A5655" s="68">
        <v>38113</v>
      </c>
      <c r="B5655" s="6">
        <v>2.6099537037037001E-2</v>
      </c>
      <c r="C5655" s="5">
        <v>185</v>
      </c>
    </row>
    <row r="5656" spans="1:3">
      <c r="A5656" s="68">
        <v>38113</v>
      </c>
      <c r="B5656" s="6">
        <v>2.61574074074074E-2</v>
      </c>
      <c r="C5656" s="5">
        <v>185</v>
      </c>
    </row>
    <row r="5657" spans="1:3">
      <c r="A5657" s="68">
        <v>38113</v>
      </c>
      <c r="B5657" s="6">
        <v>2.6215277777777799E-2</v>
      </c>
      <c r="C5657" s="5">
        <v>186</v>
      </c>
    </row>
    <row r="5658" spans="1:3">
      <c r="A5658" s="68">
        <v>38113</v>
      </c>
      <c r="B5658" s="6">
        <v>2.6273148148148101E-2</v>
      </c>
      <c r="C5658" s="5">
        <v>187</v>
      </c>
    </row>
    <row r="5659" spans="1:3">
      <c r="A5659" s="68">
        <v>38113</v>
      </c>
      <c r="B5659" s="6">
        <v>2.63310185185185E-2</v>
      </c>
      <c r="C5659" s="5">
        <v>188</v>
      </c>
    </row>
    <row r="5660" spans="1:3">
      <c r="A5660" s="68">
        <v>38113</v>
      </c>
      <c r="B5660" s="6">
        <v>2.6388888888888899E-2</v>
      </c>
      <c r="C5660" s="5">
        <v>189</v>
      </c>
    </row>
    <row r="5661" spans="1:3">
      <c r="A5661" s="68">
        <v>38156</v>
      </c>
      <c r="B5661" s="6">
        <v>0</v>
      </c>
    </row>
    <row r="5662" spans="1:3">
      <c r="A5662" s="68">
        <v>38156</v>
      </c>
      <c r="B5662" s="6">
        <v>6.9444444444444447E-4</v>
      </c>
      <c r="C5662" s="5">
        <v>132</v>
      </c>
    </row>
    <row r="5663" spans="1:3">
      <c r="A5663" s="68">
        <v>38156</v>
      </c>
      <c r="B5663" s="6">
        <v>1.38888888888889E-3</v>
      </c>
      <c r="C5663" s="5">
        <v>132</v>
      </c>
    </row>
    <row r="5664" spans="1:3">
      <c r="A5664" s="68">
        <v>38156</v>
      </c>
      <c r="B5664" s="6">
        <v>2.0833333333333298E-3</v>
      </c>
    </row>
    <row r="5665" spans="1:3">
      <c r="A5665" s="68">
        <v>38156</v>
      </c>
      <c r="B5665" s="6">
        <v>2.7777777777777801E-3</v>
      </c>
      <c r="C5665" s="5">
        <v>133</v>
      </c>
    </row>
    <row r="5666" spans="1:3">
      <c r="A5666" s="68">
        <v>38156</v>
      </c>
      <c r="B5666" s="6">
        <v>3.4722222222222199E-3</v>
      </c>
      <c r="C5666" s="5">
        <v>134</v>
      </c>
    </row>
    <row r="5667" spans="1:3">
      <c r="A5667" s="68">
        <v>38156</v>
      </c>
      <c r="B5667" s="6">
        <v>4.1666666666666701E-3</v>
      </c>
      <c r="C5667" s="5">
        <v>137</v>
      </c>
    </row>
    <row r="5668" spans="1:3">
      <c r="A5668" s="68">
        <v>38156</v>
      </c>
      <c r="B5668" s="6">
        <v>4.8611111111111103E-3</v>
      </c>
      <c r="C5668" s="5">
        <v>137</v>
      </c>
    </row>
    <row r="5669" spans="1:3">
      <c r="A5669" s="68">
        <v>38156</v>
      </c>
      <c r="B5669" s="6">
        <v>5.5555555555555601E-3</v>
      </c>
      <c r="C5669" s="5">
        <v>143</v>
      </c>
    </row>
    <row r="5670" spans="1:3">
      <c r="A5670" s="68">
        <v>38156</v>
      </c>
      <c r="B5670" s="6">
        <v>6.2500000000000003E-3</v>
      </c>
      <c r="C5670" s="5">
        <v>146</v>
      </c>
    </row>
    <row r="5671" spans="1:3">
      <c r="A5671" s="68">
        <v>38156</v>
      </c>
      <c r="B5671" s="6">
        <v>6.9444444444444397E-3</v>
      </c>
      <c r="C5671" s="5">
        <v>134</v>
      </c>
    </row>
    <row r="5672" spans="1:3">
      <c r="A5672" s="68">
        <v>38156</v>
      </c>
      <c r="B5672" s="6">
        <v>7.6388888888888904E-3</v>
      </c>
      <c r="C5672" s="5">
        <v>144</v>
      </c>
    </row>
    <row r="5673" spans="1:3">
      <c r="A5673" s="68">
        <v>38156</v>
      </c>
      <c r="B5673" s="6">
        <v>8.3333333333333297E-3</v>
      </c>
      <c r="C5673" s="5">
        <v>139</v>
      </c>
    </row>
    <row r="5674" spans="1:3">
      <c r="A5674" s="68">
        <v>38156</v>
      </c>
      <c r="B5674" s="6">
        <v>9.0277777777777804E-3</v>
      </c>
      <c r="C5674" s="5">
        <v>139</v>
      </c>
    </row>
    <row r="5675" spans="1:3">
      <c r="A5675" s="68">
        <v>38156</v>
      </c>
      <c r="B5675" s="6">
        <v>9.7222222222222206E-3</v>
      </c>
      <c r="C5675" s="5">
        <v>138</v>
      </c>
    </row>
    <row r="5676" spans="1:3">
      <c r="A5676" s="68">
        <v>38156</v>
      </c>
      <c r="B5676" s="6">
        <v>1.0416666666666701E-2</v>
      </c>
      <c r="C5676" s="5">
        <v>139</v>
      </c>
    </row>
    <row r="5677" spans="1:3">
      <c r="A5677" s="68">
        <v>38156</v>
      </c>
      <c r="B5677" s="6">
        <v>1.1111111111111099E-2</v>
      </c>
      <c r="C5677" s="5">
        <v>138</v>
      </c>
    </row>
    <row r="5678" spans="1:3">
      <c r="A5678" s="68">
        <v>38156</v>
      </c>
      <c r="B5678" s="6">
        <v>1.18055555555556E-2</v>
      </c>
      <c r="C5678" s="5">
        <v>142</v>
      </c>
    </row>
    <row r="5679" spans="1:3">
      <c r="A5679" s="68">
        <v>38156</v>
      </c>
      <c r="B5679" s="6">
        <v>1.2500000000000001E-2</v>
      </c>
      <c r="C5679" s="5">
        <v>141</v>
      </c>
    </row>
    <row r="5680" spans="1:3">
      <c r="A5680" s="68">
        <v>38156</v>
      </c>
      <c r="B5680" s="6">
        <v>1.3194444444444399E-2</v>
      </c>
      <c r="C5680" s="5">
        <v>139</v>
      </c>
    </row>
    <row r="5681" spans="1:3">
      <c r="A5681" s="68">
        <v>38156</v>
      </c>
      <c r="B5681" s="6">
        <v>1.38888888888889E-2</v>
      </c>
      <c r="C5681" s="5">
        <v>139</v>
      </c>
    </row>
    <row r="5682" spans="1:3">
      <c r="A5682" s="68">
        <v>38156</v>
      </c>
      <c r="B5682" s="6">
        <v>1.4583333333333301E-2</v>
      </c>
      <c r="C5682" s="5">
        <v>143</v>
      </c>
    </row>
    <row r="5683" spans="1:3">
      <c r="A5683" s="68">
        <v>38156</v>
      </c>
      <c r="B5683" s="6">
        <v>1.52777777777778E-2</v>
      </c>
      <c r="C5683" s="5">
        <v>142</v>
      </c>
    </row>
    <row r="5684" spans="1:3">
      <c r="A5684" s="68">
        <v>38156</v>
      </c>
      <c r="B5684" s="6">
        <v>1.59722222222222E-2</v>
      </c>
      <c r="C5684" s="5">
        <v>146</v>
      </c>
    </row>
    <row r="5685" spans="1:3">
      <c r="A5685" s="68">
        <v>38156</v>
      </c>
      <c r="B5685" s="6">
        <v>1.6666666666666701E-2</v>
      </c>
      <c r="C5685" s="5">
        <v>138</v>
      </c>
    </row>
    <row r="5686" spans="1:3">
      <c r="A5686" s="68">
        <v>38156</v>
      </c>
      <c r="B5686" s="6">
        <v>1.7361111111111101E-2</v>
      </c>
      <c r="C5686" s="5">
        <v>140</v>
      </c>
    </row>
    <row r="5687" spans="1:3">
      <c r="A5687" s="68">
        <v>38156</v>
      </c>
      <c r="B5687" s="6">
        <v>1.8055555555555599E-2</v>
      </c>
      <c r="C5687" s="5">
        <v>136</v>
      </c>
    </row>
    <row r="5688" spans="1:3">
      <c r="A5688" s="68">
        <v>38156</v>
      </c>
      <c r="B5688" s="6">
        <v>1.8749999999999999E-2</v>
      </c>
      <c r="C5688" s="5">
        <v>142</v>
      </c>
    </row>
    <row r="5689" spans="1:3">
      <c r="A5689" s="68">
        <v>38156</v>
      </c>
      <c r="B5689" s="6">
        <v>1.94444444444444E-2</v>
      </c>
      <c r="C5689" s="5">
        <v>142</v>
      </c>
    </row>
    <row r="5690" spans="1:3">
      <c r="A5690" s="68">
        <v>38156</v>
      </c>
      <c r="B5690" s="6">
        <v>2.0138888888888901E-2</v>
      </c>
      <c r="C5690" s="5">
        <v>143</v>
      </c>
    </row>
    <row r="5691" spans="1:3">
      <c r="A5691" s="68">
        <v>38156</v>
      </c>
      <c r="B5691" s="6">
        <v>2.0833333333333301E-2</v>
      </c>
      <c r="C5691" s="5">
        <v>141</v>
      </c>
    </row>
    <row r="5692" spans="1:3">
      <c r="A5692" s="68">
        <v>38156</v>
      </c>
      <c r="B5692" s="6">
        <v>2.1527777777777798E-2</v>
      </c>
      <c r="C5692" s="5">
        <v>141</v>
      </c>
    </row>
    <row r="5693" spans="1:3">
      <c r="A5693" s="68">
        <v>38156</v>
      </c>
      <c r="B5693" s="6">
        <v>2.2222222222222199E-2</v>
      </c>
      <c r="C5693" s="5">
        <v>140</v>
      </c>
    </row>
    <row r="5694" spans="1:3">
      <c r="A5694" s="68">
        <v>38156</v>
      </c>
      <c r="B5694" s="6">
        <v>2.29166666666667E-2</v>
      </c>
      <c r="C5694" s="5">
        <v>143</v>
      </c>
    </row>
    <row r="5695" spans="1:3">
      <c r="A5695" s="68">
        <v>38156</v>
      </c>
      <c r="B5695" s="6">
        <v>2.36111111111111E-2</v>
      </c>
      <c r="C5695" s="5">
        <v>143</v>
      </c>
    </row>
    <row r="5696" spans="1:3">
      <c r="A5696" s="68">
        <v>38156</v>
      </c>
      <c r="B5696" s="6">
        <v>2.4305555555555601E-2</v>
      </c>
      <c r="C5696" s="5">
        <v>141</v>
      </c>
    </row>
    <row r="5697" spans="1:3">
      <c r="A5697" s="68">
        <v>38156</v>
      </c>
      <c r="B5697" s="6">
        <v>2.5000000000000001E-2</v>
      </c>
      <c r="C5697" s="5">
        <v>139</v>
      </c>
    </row>
    <row r="5698" spans="1:3">
      <c r="A5698" s="68">
        <v>38156</v>
      </c>
      <c r="B5698" s="6">
        <v>2.5694444444444402E-2</v>
      </c>
      <c r="C5698" s="5">
        <v>140</v>
      </c>
    </row>
    <row r="5699" spans="1:3">
      <c r="A5699" s="68">
        <v>38156</v>
      </c>
      <c r="B5699" s="6">
        <v>2.6388888888888899E-2</v>
      </c>
      <c r="C5699" s="5">
        <v>138</v>
      </c>
    </row>
    <row r="5700" spans="1:3">
      <c r="A5700" s="68">
        <v>38156</v>
      </c>
      <c r="B5700" s="6">
        <v>2.70833333333333E-2</v>
      </c>
      <c r="C5700" s="5">
        <v>140</v>
      </c>
    </row>
    <row r="5701" spans="1:3">
      <c r="A5701" s="68">
        <v>38156</v>
      </c>
      <c r="B5701" s="6">
        <v>2.7777777777777801E-2</v>
      </c>
      <c r="C5701" s="5">
        <v>139</v>
      </c>
    </row>
    <row r="5702" spans="1:3">
      <c r="A5702" s="68">
        <v>38156</v>
      </c>
      <c r="B5702" s="6">
        <v>2.8472222222222201E-2</v>
      </c>
      <c r="C5702" s="5">
        <v>142</v>
      </c>
    </row>
    <row r="5703" spans="1:3">
      <c r="A5703" s="68">
        <v>38156</v>
      </c>
      <c r="B5703" s="6">
        <v>2.9166666666666698E-2</v>
      </c>
      <c r="C5703" s="5">
        <v>139</v>
      </c>
    </row>
    <row r="5704" spans="1:3">
      <c r="A5704" s="68">
        <v>38156</v>
      </c>
      <c r="B5704" s="6">
        <v>2.9861111111111099E-2</v>
      </c>
      <c r="C5704" s="5">
        <v>136</v>
      </c>
    </row>
    <row r="5705" spans="1:3">
      <c r="A5705" s="68">
        <v>38156</v>
      </c>
      <c r="B5705" s="6">
        <v>3.05555555555556E-2</v>
      </c>
      <c r="C5705" s="5">
        <v>134</v>
      </c>
    </row>
    <row r="5706" spans="1:3">
      <c r="A5706" s="68">
        <v>38156</v>
      </c>
      <c r="B5706" s="6">
        <v>3.125E-2</v>
      </c>
      <c r="C5706" s="5">
        <v>136</v>
      </c>
    </row>
    <row r="5707" spans="1:3">
      <c r="A5707" s="68">
        <v>38156</v>
      </c>
      <c r="B5707" s="6">
        <v>3.19444444444444E-2</v>
      </c>
      <c r="C5707" s="5">
        <v>143</v>
      </c>
    </row>
    <row r="5708" spans="1:3">
      <c r="A5708" s="68">
        <v>38156</v>
      </c>
      <c r="B5708" s="6">
        <v>3.2638888888888898E-2</v>
      </c>
      <c r="C5708" s="5">
        <v>136</v>
      </c>
    </row>
    <row r="5709" spans="1:3">
      <c r="A5709" s="68">
        <v>38294</v>
      </c>
      <c r="B5709" s="6">
        <v>3.1250000000000002E-3</v>
      </c>
      <c r="C5709" s="5">
        <v>138</v>
      </c>
    </row>
    <row r="5710" spans="1:3">
      <c r="A5710" s="68">
        <v>38294</v>
      </c>
      <c r="B5710" s="6">
        <v>3.2986111111111111E-3</v>
      </c>
      <c r="C5710" s="5">
        <v>135</v>
      </c>
    </row>
    <row r="5711" spans="1:3">
      <c r="A5711" s="68">
        <v>38294</v>
      </c>
      <c r="B5711" s="6">
        <v>3.4722222222222199E-3</v>
      </c>
      <c r="C5711" s="5">
        <v>134</v>
      </c>
    </row>
    <row r="5712" spans="1:3">
      <c r="A5712" s="68">
        <v>38294</v>
      </c>
      <c r="B5712" s="6">
        <v>3.6458333333333299E-3</v>
      </c>
      <c r="C5712" s="5">
        <v>135</v>
      </c>
    </row>
    <row r="5713" spans="1:3">
      <c r="A5713" s="68">
        <v>38294</v>
      </c>
      <c r="B5713" s="6">
        <v>3.81944444444444E-3</v>
      </c>
      <c r="C5713" s="5">
        <v>137</v>
      </c>
    </row>
    <row r="5714" spans="1:3">
      <c r="A5714" s="68">
        <v>38294</v>
      </c>
      <c r="B5714" s="6">
        <v>3.9930555555555596E-3</v>
      </c>
      <c r="C5714" s="5">
        <v>137</v>
      </c>
    </row>
    <row r="5715" spans="1:3">
      <c r="A5715" s="68">
        <v>38294</v>
      </c>
      <c r="B5715" s="6">
        <v>4.1666666666666701E-3</v>
      </c>
      <c r="C5715" s="5">
        <v>141</v>
      </c>
    </row>
    <row r="5716" spans="1:3">
      <c r="A5716" s="68">
        <v>38294</v>
      </c>
      <c r="B5716" s="6">
        <v>4.3402777777777797E-3</v>
      </c>
      <c r="C5716" s="5">
        <v>141</v>
      </c>
    </row>
    <row r="5717" spans="1:3">
      <c r="A5717" s="68">
        <v>38294</v>
      </c>
      <c r="B5717" s="6">
        <v>4.5138888888888902E-3</v>
      </c>
      <c r="C5717" s="5">
        <v>143</v>
      </c>
    </row>
    <row r="5718" spans="1:3">
      <c r="A5718" s="68">
        <v>38294</v>
      </c>
      <c r="B5718" s="6">
        <v>4.6874999999999998E-3</v>
      </c>
      <c r="C5718" s="5">
        <v>144</v>
      </c>
    </row>
    <row r="5719" spans="1:3">
      <c r="A5719" s="68">
        <v>38294</v>
      </c>
      <c r="B5719" s="6">
        <v>4.8611111111111103E-3</v>
      </c>
      <c r="C5719" s="5">
        <v>144</v>
      </c>
    </row>
    <row r="5720" spans="1:3">
      <c r="A5720" s="68">
        <v>38294</v>
      </c>
      <c r="B5720" s="6">
        <v>5.0347222222222199E-3</v>
      </c>
      <c r="C5720" s="5">
        <v>144</v>
      </c>
    </row>
    <row r="5721" spans="1:3">
      <c r="A5721" s="68">
        <v>38294</v>
      </c>
      <c r="B5721" s="6">
        <v>5.2083333333333296E-3</v>
      </c>
      <c r="C5721" s="5">
        <v>142</v>
      </c>
    </row>
    <row r="5722" spans="1:3">
      <c r="A5722" s="68">
        <v>38294</v>
      </c>
      <c r="B5722" s="6">
        <v>5.3819444444444401E-3</v>
      </c>
    </row>
    <row r="5723" spans="1:3">
      <c r="A5723" s="68">
        <v>38294</v>
      </c>
      <c r="B5723" s="6">
        <v>5.5555555555555497E-3</v>
      </c>
      <c r="C5723" s="5">
        <v>143</v>
      </c>
    </row>
    <row r="5724" spans="1:3">
      <c r="A5724" s="68">
        <v>38294</v>
      </c>
      <c r="B5724" s="6">
        <v>5.7291666666666602E-3</v>
      </c>
    </row>
    <row r="5725" spans="1:3">
      <c r="A5725" s="68">
        <v>38294</v>
      </c>
      <c r="B5725" s="6">
        <v>5.9027777777777698E-3</v>
      </c>
    </row>
    <row r="5726" spans="1:3">
      <c r="A5726" s="68">
        <v>38294</v>
      </c>
      <c r="B5726" s="6">
        <v>6.0763888888888899E-3</v>
      </c>
      <c r="C5726" s="5">
        <v>142</v>
      </c>
    </row>
    <row r="5727" spans="1:3">
      <c r="A5727" s="68">
        <v>38294</v>
      </c>
      <c r="B5727" s="6">
        <v>6.2500000000000003E-3</v>
      </c>
      <c r="C5727" s="5">
        <v>144</v>
      </c>
    </row>
    <row r="5728" spans="1:3">
      <c r="A5728" s="68">
        <v>38294</v>
      </c>
      <c r="B5728" s="6">
        <v>6.42361111111111E-3</v>
      </c>
      <c r="C5728" s="5">
        <v>140</v>
      </c>
    </row>
    <row r="5729" spans="1:3">
      <c r="A5729" s="68">
        <v>38294</v>
      </c>
      <c r="B5729" s="6">
        <v>6.5972222222222196E-3</v>
      </c>
      <c r="C5729" s="5">
        <v>142</v>
      </c>
    </row>
    <row r="5730" spans="1:3">
      <c r="A5730" s="68">
        <v>38294</v>
      </c>
      <c r="B5730" s="6">
        <v>6.7708333333333301E-3</v>
      </c>
      <c r="C5730" s="5">
        <v>142</v>
      </c>
    </row>
    <row r="5731" spans="1:3">
      <c r="A5731" s="68">
        <v>38294</v>
      </c>
      <c r="B5731" s="6">
        <v>6.9444444444444397E-3</v>
      </c>
      <c r="C5731" s="5">
        <v>141</v>
      </c>
    </row>
    <row r="5732" spans="1:3">
      <c r="A5732" s="68">
        <v>38294</v>
      </c>
      <c r="B5732" s="6">
        <v>7.1180555555555502E-3</v>
      </c>
      <c r="C5732" s="5">
        <v>139</v>
      </c>
    </row>
    <row r="5733" spans="1:3">
      <c r="A5733" s="68">
        <v>38294</v>
      </c>
      <c r="B5733" s="6">
        <v>7.2916666666666598E-3</v>
      </c>
      <c r="C5733" s="5">
        <v>140</v>
      </c>
    </row>
    <row r="5734" spans="1:3">
      <c r="A5734" s="68">
        <v>38294</v>
      </c>
      <c r="B5734" s="6">
        <v>7.4652777777777703E-3</v>
      </c>
      <c r="C5734" s="5">
        <v>143</v>
      </c>
    </row>
    <row r="5735" spans="1:3">
      <c r="A5735" s="68">
        <v>38294</v>
      </c>
      <c r="B5735" s="6">
        <v>7.63888888888888E-3</v>
      </c>
      <c r="C5735" s="5">
        <v>145</v>
      </c>
    </row>
    <row r="5736" spans="1:3">
      <c r="A5736" s="68">
        <v>38294</v>
      </c>
      <c r="B5736" s="6">
        <v>7.8125E-3</v>
      </c>
      <c r="C5736" s="5">
        <v>148</v>
      </c>
    </row>
    <row r="5737" spans="1:3">
      <c r="A5737" s="68">
        <v>38294</v>
      </c>
      <c r="B5737" s="6">
        <v>7.9861111111111105E-3</v>
      </c>
      <c r="C5737" s="5">
        <v>151</v>
      </c>
    </row>
    <row r="5738" spans="1:3">
      <c r="A5738" s="68">
        <v>38294</v>
      </c>
      <c r="B5738" s="6">
        <v>8.1597222222222193E-3</v>
      </c>
      <c r="C5738" s="5">
        <v>140</v>
      </c>
    </row>
    <row r="5739" spans="1:3">
      <c r="A5739" s="68">
        <v>38294</v>
      </c>
      <c r="B5739" s="6">
        <v>8.3333333333333297E-3</v>
      </c>
      <c r="C5739" s="5">
        <v>142</v>
      </c>
    </row>
    <row r="5740" spans="1:3">
      <c r="A5740" s="68">
        <v>38294</v>
      </c>
      <c r="B5740" s="6">
        <v>8.5069444444444402E-3</v>
      </c>
      <c r="C5740" s="5">
        <v>141</v>
      </c>
    </row>
    <row r="5741" spans="1:3">
      <c r="A5741" s="68">
        <v>38294</v>
      </c>
      <c r="B5741" s="6">
        <v>8.6805555555555507E-3</v>
      </c>
      <c r="C5741" s="5">
        <v>141</v>
      </c>
    </row>
    <row r="5742" spans="1:3">
      <c r="A5742" s="68">
        <v>38294</v>
      </c>
      <c r="B5742" s="6">
        <v>8.8541666666666595E-3</v>
      </c>
      <c r="C5742" s="5">
        <v>141</v>
      </c>
    </row>
    <row r="5743" spans="1:3">
      <c r="A5743" s="68">
        <v>38294</v>
      </c>
      <c r="B5743" s="6">
        <v>9.02777777777777E-3</v>
      </c>
      <c r="C5743" s="5">
        <v>141</v>
      </c>
    </row>
    <row r="5744" spans="1:3">
      <c r="A5744" s="68">
        <v>38294</v>
      </c>
      <c r="B5744" s="6">
        <v>9.2013888888888805E-3</v>
      </c>
      <c r="C5744" s="5">
        <v>141</v>
      </c>
    </row>
    <row r="5745" spans="1:3">
      <c r="A5745" s="68">
        <v>38294</v>
      </c>
      <c r="B5745" s="6">
        <v>9.3749999999999892E-3</v>
      </c>
      <c r="C5745" s="5">
        <v>142</v>
      </c>
    </row>
    <row r="5746" spans="1:3">
      <c r="A5746" s="68">
        <v>38294</v>
      </c>
      <c r="B5746" s="6">
        <v>9.5486111111110997E-3</v>
      </c>
      <c r="C5746" s="5">
        <v>143</v>
      </c>
    </row>
    <row r="5747" spans="1:3">
      <c r="A5747" s="68">
        <v>38294</v>
      </c>
      <c r="B5747" s="6">
        <v>9.7222222222222206E-3</v>
      </c>
      <c r="C5747" s="5">
        <v>145</v>
      </c>
    </row>
    <row r="5748" spans="1:3">
      <c r="A5748" s="68">
        <v>38294</v>
      </c>
      <c r="B5748" s="6">
        <v>9.8958333333333294E-3</v>
      </c>
      <c r="C5748" s="5">
        <v>144</v>
      </c>
    </row>
    <row r="5749" spans="1:3">
      <c r="A5749" s="68">
        <v>38294</v>
      </c>
      <c r="B5749" s="6">
        <v>1.00694444444444E-2</v>
      </c>
      <c r="C5749" s="5">
        <v>142</v>
      </c>
    </row>
    <row r="5750" spans="1:3">
      <c r="A5750" s="68">
        <v>38294</v>
      </c>
      <c r="B5750" s="6">
        <v>1.0243055555555601E-2</v>
      </c>
      <c r="C5750" s="5">
        <v>144</v>
      </c>
    </row>
    <row r="5751" spans="1:3">
      <c r="A5751" s="68">
        <v>38294</v>
      </c>
      <c r="B5751" s="6">
        <v>1.0416666666666701E-2</v>
      </c>
      <c r="C5751" s="5">
        <v>145</v>
      </c>
    </row>
    <row r="5752" spans="1:3">
      <c r="A5752" s="68">
        <v>38294</v>
      </c>
      <c r="B5752" s="6">
        <v>1.0590277777777799E-2</v>
      </c>
      <c r="C5752" s="5">
        <v>145</v>
      </c>
    </row>
    <row r="5753" spans="1:3">
      <c r="A5753" s="68">
        <v>38294</v>
      </c>
      <c r="B5753" s="6">
        <v>1.0763888888888899E-2</v>
      </c>
      <c r="C5753" s="5">
        <v>146</v>
      </c>
    </row>
    <row r="5754" spans="1:3">
      <c r="A5754" s="68">
        <v>38294</v>
      </c>
      <c r="B5754" s="6">
        <v>1.0937499999999999E-2</v>
      </c>
      <c r="C5754" s="5">
        <v>146</v>
      </c>
    </row>
    <row r="5755" spans="1:3">
      <c r="A5755" s="68">
        <v>38294</v>
      </c>
      <c r="B5755" s="6">
        <v>1.1111111111111099E-2</v>
      </c>
      <c r="C5755" s="5">
        <v>146</v>
      </c>
    </row>
    <row r="5756" spans="1:3">
      <c r="A5756" s="68">
        <v>38294</v>
      </c>
      <c r="B5756" s="6">
        <v>1.1284722222222199E-2</v>
      </c>
      <c r="C5756" s="5">
        <v>142</v>
      </c>
    </row>
    <row r="5757" spans="1:3">
      <c r="A5757" s="68">
        <v>38294</v>
      </c>
      <c r="B5757" s="6">
        <v>1.14583333333333E-2</v>
      </c>
      <c r="C5757" s="5">
        <v>141</v>
      </c>
    </row>
    <row r="5758" spans="1:3">
      <c r="A5758" s="68">
        <v>38294</v>
      </c>
      <c r="B5758" s="6">
        <v>1.16319444444444E-2</v>
      </c>
      <c r="C5758" s="5">
        <v>144</v>
      </c>
    </row>
    <row r="5759" spans="1:3">
      <c r="A5759" s="68">
        <v>38294</v>
      </c>
      <c r="B5759" s="6">
        <v>1.18055555555556E-2</v>
      </c>
      <c r="C5759" s="5">
        <v>144</v>
      </c>
    </row>
    <row r="5760" spans="1:3">
      <c r="A5760" s="68">
        <v>38294</v>
      </c>
      <c r="B5760" s="6">
        <v>1.19791666666667E-2</v>
      </c>
      <c r="C5760" s="5">
        <v>145</v>
      </c>
    </row>
    <row r="5761" spans="1:3">
      <c r="A5761" s="68">
        <v>38294</v>
      </c>
      <c r="B5761" s="6">
        <v>1.2152777777777801E-2</v>
      </c>
      <c r="C5761" s="5">
        <v>144</v>
      </c>
    </row>
    <row r="5762" spans="1:3">
      <c r="A5762" s="68">
        <v>38294</v>
      </c>
      <c r="B5762" s="6">
        <v>1.2326388888888901E-2</v>
      </c>
      <c r="C5762" s="5">
        <v>144</v>
      </c>
    </row>
    <row r="5763" spans="1:3">
      <c r="A5763" s="68">
        <v>38294</v>
      </c>
      <c r="B5763" s="6">
        <v>1.2500000000000001E-2</v>
      </c>
      <c r="C5763" s="5">
        <v>147</v>
      </c>
    </row>
    <row r="5764" spans="1:3">
      <c r="A5764" s="68">
        <v>38294</v>
      </c>
      <c r="B5764" s="6">
        <v>1.2673611111111101E-2</v>
      </c>
      <c r="C5764" s="5">
        <v>150</v>
      </c>
    </row>
    <row r="5765" spans="1:3">
      <c r="A5765" s="68">
        <v>38294</v>
      </c>
      <c r="B5765" s="6">
        <v>1.2847222222222201E-2</v>
      </c>
      <c r="C5765" s="5">
        <v>150</v>
      </c>
    </row>
    <row r="5766" spans="1:3">
      <c r="A5766" s="68">
        <v>38294</v>
      </c>
      <c r="B5766" s="6">
        <v>1.3020833333333299E-2</v>
      </c>
      <c r="C5766" s="5">
        <v>149</v>
      </c>
    </row>
    <row r="5767" spans="1:3">
      <c r="A5767" s="68">
        <v>38294</v>
      </c>
      <c r="B5767" s="6">
        <v>1.3194444444444399E-2</v>
      </c>
      <c r="C5767" s="5">
        <v>147</v>
      </c>
    </row>
    <row r="5768" spans="1:3">
      <c r="A5768" s="68">
        <v>38294</v>
      </c>
      <c r="B5768" s="6">
        <v>1.3368055555555499E-2</v>
      </c>
      <c r="C5768" s="5">
        <v>147</v>
      </c>
    </row>
    <row r="5769" spans="1:3">
      <c r="A5769" s="68">
        <v>38294</v>
      </c>
      <c r="B5769" s="6">
        <v>1.35416666666667E-2</v>
      </c>
      <c r="C5769" s="5">
        <v>145</v>
      </c>
    </row>
    <row r="5770" spans="1:3">
      <c r="A5770" s="68">
        <v>38294</v>
      </c>
      <c r="B5770" s="6">
        <v>1.37152777777778E-2</v>
      </c>
      <c r="C5770" s="5">
        <v>143</v>
      </c>
    </row>
    <row r="5771" spans="1:3">
      <c r="A5771" s="68">
        <v>38294</v>
      </c>
      <c r="B5771" s="6">
        <v>1.38888888888889E-2</v>
      </c>
      <c r="C5771" s="5">
        <v>142</v>
      </c>
    </row>
    <row r="5772" spans="1:3">
      <c r="A5772" s="68">
        <v>38294</v>
      </c>
      <c r="B5772" s="6">
        <v>1.40625E-2</v>
      </c>
      <c r="C5772" s="5">
        <v>143</v>
      </c>
    </row>
    <row r="5773" spans="1:3">
      <c r="A5773" s="68">
        <v>38294</v>
      </c>
      <c r="B5773" s="6">
        <v>1.42361111111111E-2</v>
      </c>
      <c r="C5773" s="5">
        <v>143</v>
      </c>
    </row>
    <row r="5774" spans="1:3">
      <c r="A5774" s="68">
        <v>38294</v>
      </c>
      <c r="B5774" s="6">
        <v>1.4409722222222201E-2</v>
      </c>
      <c r="C5774" s="5">
        <v>143</v>
      </c>
    </row>
    <row r="5775" spans="1:3">
      <c r="A5775" s="68">
        <v>38294</v>
      </c>
      <c r="B5775" s="6">
        <v>1.4583333333333301E-2</v>
      </c>
      <c r="C5775" s="5">
        <v>143</v>
      </c>
    </row>
    <row r="5776" spans="1:3">
      <c r="A5776" s="68">
        <v>38294</v>
      </c>
      <c r="B5776" s="6">
        <v>1.4756944444444401E-2</v>
      </c>
      <c r="C5776" s="5">
        <v>146</v>
      </c>
    </row>
    <row r="5777" spans="1:3">
      <c r="A5777" s="68">
        <v>38294</v>
      </c>
      <c r="B5777" s="6">
        <v>1.4930555555555501E-2</v>
      </c>
      <c r="C5777" s="5">
        <v>145</v>
      </c>
    </row>
    <row r="5778" spans="1:3">
      <c r="A5778" s="68">
        <v>38294</v>
      </c>
      <c r="B5778" s="6">
        <v>1.51041666666667E-2</v>
      </c>
      <c r="C5778" s="5">
        <v>146</v>
      </c>
    </row>
    <row r="5779" spans="1:3">
      <c r="A5779" s="68">
        <v>38294</v>
      </c>
      <c r="B5779" s="6">
        <v>1.52777777777778E-2</v>
      </c>
      <c r="C5779" s="5">
        <v>145</v>
      </c>
    </row>
    <row r="5780" spans="1:3">
      <c r="A5780" s="68">
        <v>38294</v>
      </c>
      <c r="B5780" s="6">
        <v>1.54513888888889E-2</v>
      </c>
      <c r="C5780" s="5">
        <v>146</v>
      </c>
    </row>
    <row r="5781" spans="1:3">
      <c r="A5781" s="68">
        <v>38294</v>
      </c>
      <c r="B5781" s="6">
        <v>1.5625E-2</v>
      </c>
      <c r="C5781" s="5">
        <v>149</v>
      </c>
    </row>
    <row r="5782" spans="1:3">
      <c r="A5782" s="68">
        <v>38294</v>
      </c>
      <c r="B5782" s="6">
        <v>1.57986111111111E-2</v>
      </c>
      <c r="C5782" s="5">
        <v>149</v>
      </c>
    </row>
    <row r="5783" spans="1:3">
      <c r="A5783" s="68">
        <v>38294</v>
      </c>
      <c r="B5783" s="6">
        <v>1.59722222222222E-2</v>
      </c>
      <c r="C5783" s="5">
        <v>146</v>
      </c>
    </row>
    <row r="5784" spans="1:3">
      <c r="A5784" s="68">
        <v>38294</v>
      </c>
      <c r="B5784" s="6">
        <v>1.61458333333333E-2</v>
      </c>
      <c r="C5784" s="5">
        <v>144</v>
      </c>
    </row>
    <row r="5785" spans="1:3">
      <c r="A5785" s="68">
        <v>38294</v>
      </c>
      <c r="B5785" s="6">
        <v>1.63194444444444E-2</v>
      </c>
      <c r="C5785" s="5">
        <v>145</v>
      </c>
    </row>
    <row r="5786" spans="1:3">
      <c r="A5786" s="68">
        <v>38294</v>
      </c>
      <c r="B5786" s="6">
        <v>1.64930555555555E-2</v>
      </c>
      <c r="C5786" s="5">
        <v>145</v>
      </c>
    </row>
    <row r="5787" spans="1:3">
      <c r="A5787" s="68">
        <v>38294</v>
      </c>
      <c r="B5787" s="6">
        <v>1.6666666666666701E-2</v>
      </c>
      <c r="C5787" s="5">
        <v>145</v>
      </c>
    </row>
    <row r="5788" spans="1:3">
      <c r="A5788" s="68">
        <v>38294</v>
      </c>
      <c r="B5788" s="6">
        <v>1.6840277777777801E-2</v>
      </c>
      <c r="C5788" s="5">
        <v>147</v>
      </c>
    </row>
    <row r="5789" spans="1:3">
      <c r="A5789" s="68">
        <v>38294</v>
      </c>
      <c r="B5789" s="6">
        <v>1.7013888888888901E-2</v>
      </c>
      <c r="C5789" s="5">
        <v>145</v>
      </c>
    </row>
    <row r="5790" spans="1:3">
      <c r="A5790" s="68">
        <v>38294</v>
      </c>
      <c r="B5790" s="6">
        <v>1.7187500000000001E-2</v>
      </c>
      <c r="C5790" s="5">
        <v>142</v>
      </c>
    </row>
    <row r="5791" spans="1:3">
      <c r="A5791" s="68">
        <v>38294</v>
      </c>
      <c r="B5791" s="6">
        <v>1.7361111111111101E-2</v>
      </c>
      <c r="C5791" s="5">
        <v>142</v>
      </c>
    </row>
    <row r="5792" spans="1:3">
      <c r="A5792" s="68">
        <v>38294</v>
      </c>
      <c r="B5792" s="6">
        <v>1.7534722222222202E-2</v>
      </c>
      <c r="C5792" s="5">
        <v>151</v>
      </c>
    </row>
    <row r="5793" spans="1:3">
      <c r="A5793" s="68">
        <v>38294</v>
      </c>
      <c r="B5793" s="6">
        <v>1.7708333333333302E-2</v>
      </c>
      <c r="C5793" s="5">
        <v>147</v>
      </c>
    </row>
    <row r="5794" spans="1:3">
      <c r="A5794" s="68">
        <v>38294</v>
      </c>
      <c r="B5794" s="6">
        <v>1.7881944444444402E-2</v>
      </c>
      <c r="C5794" s="5">
        <v>146</v>
      </c>
    </row>
    <row r="5795" spans="1:3">
      <c r="A5795" s="68">
        <v>38294</v>
      </c>
      <c r="B5795" s="6">
        <v>1.8055555555555498E-2</v>
      </c>
      <c r="C5795" s="5">
        <v>146</v>
      </c>
    </row>
    <row r="5796" spans="1:3">
      <c r="A5796" s="68">
        <v>38294</v>
      </c>
      <c r="B5796" s="6">
        <v>1.8229166666666699E-2</v>
      </c>
      <c r="C5796" s="5">
        <v>146</v>
      </c>
    </row>
    <row r="5797" spans="1:3">
      <c r="A5797" s="68">
        <v>38294</v>
      </c>
      <c r="B5797" s="6">
        <v>1.8402777777777799E-2</v>
      </c>
      <c r="C5797" s="5">
        <v>145</v>
      </c>
    </row>
    <row r="5798" spans="1:3">
      <c r="A5798" s="68">
        <v>38294</v>
      </c>
      <c r="B5798" s="6">
        <v>1.8576388888888899E-2</v>
      </c>
      <c r="C5798" s="5">
        <v>147</v>
      </c>
    </row>
    <row r="5799" spans="1:3">
      <c r="A5799" s="68">
        <v>38294</v>
      </c>
      <c r="B5799" s="6">
        <v>1.8749999999999999E-2</v>
      </c>
      <c r="C5799" s="5">
        <v>147</v>
      </c>
    </row>
    <row r="5800" spans="1:3">
      <c r="A5800" s="68">
        <v>38294</v>
      </c>
      <c r="B5800" s="6">
        <v>1.8923611111111099E-2</v>
      </c>
      <c r="C5800" s="5">
        <v>147</v>
      </c>
    </row>
    <row r="5801" spans="1:3">
      <c r="A5801" s="68">
        <v>38294</v>
      </c>
      <c r="B5801" s="6">
        <v>1.9097222222222199E-2</v>
      </c>
      <c r="C5801" s="5">
        <v>147</v>
      </c>
    </row>
    <row r="5802" spans="1:3">
      <c r="A5802" s="68">
        <v>38294</v>
      </c>
      <c r="B5802" s="6">
        <v>1.92708333333333E-2</v>
      </c>
      <c r="C5802" s="5">
        <v>147</v>
      </c>
    </row>
    <row r="5803" spans="1:3">
      <c r="A5803" s="68">
        <v>38294</v>
      </c>
      <c r="B5803" s="6">
        <v>1.94444444444444E-2</v>
      </c>
      <c r="C5803" s="5">
        <v>146</v>
      </c>
    </row>
    <row r="5804" spans="1:3">
      <c r="A5804" s="68">
        <v>38294</v>
      </c>
      <c r="B5804" s="6">
        <v>1.96180555555555E-2</v>
      </c>
      <c r="C5804" s="5">
        <v>146</v>
      </c>
    </row>
    <row r="5805" spans="1:3">
      <c r="A5805" s="68">
        <v>38294</v>
      </c>
      <c r="B5805" s="6">
        <v>1.97916666666666E-2</v>
      </c>
      <c r="C5805" s="5">
        <v>151</v>
      </c>
    </row>
    <row r="5806" spans="1:3">
      <c r="A5806" s="68">
        <v>38294</v>
      </c>
      <c r="B5806" s="6">
        <v>1.9965277777777801E-2</v>
      </c>
      <c r="C5806" s="5">
        <v>149</v>
      </c>
    </row>
    <row r="5807" spans="1:3">
      <c r="A5807" s="68">
        <v>38294</v>
      </c>
      <c r="B5807" s="6">
        <v>2.0138888888888901E-2</v>
      </c>
      <c r="C5807" s="5">
        <v>151</v>
      </c>
    </row>
    <row r="5808" spans="1:3">
      <c r="A5808" s="68">
        <v>38294</v>
      </c>
      <c r="B5808" s="6">
        <v>2.0312500000000001E-2</v>
      </c>
      <c r="C5808" s="5">
        <v>148</v>
      </c>
    </row>
    <row r="5809" spans="1:3">
      <c r="A5809" s="68">
        <v>38294</v>
      </c>
      <c r="B5809" s="6">
        <v>2.0486111111111101E-2</v>
      </c>
      <c r="C5809" s="5">
        <v>143</v>
      </c>
    </row>
    <row r="5810" spans="1:3">
      <c r="A5810" s="68">
        <v>38294</v>
      </c>
      <c r="B5810" s="6">
        <v>2.0659722222222201E-2</v>
      </c>
      <c r="C5810" s="5">
        <v>143</v>
      </c>
    </row>
    <row r="5811" spans="1:3">
      <c r="A5811" s="68">
        <v>38294</v>
      </c>
      <c r="B5811" s="6">
        <v>2.0833333333333301E-2</v>
      </c>
      <c r="C5811" s="5">
        <v>147</v>
      </c>
    </row>
    <row r="5812" spans="1:3">
      <c r="A5812" s="68">
        <v>38294</v>
      </c>
      <c r="B5812" s="6">
        <v>2.1006944444444401E-2</v>
      </c>
      <c r="C5812" s="5">
        <v>147</v>
      </c>
    </row>
    <row r="5813" spans="1:3">
      <c r="A5813" s="68">
        <v>38294</v>
      </c>
      <c r="B5813" s="6">
        <v>2.1180555555555501E-2</v>
      </c>
      <c r="C5813" s="5">
        <v>147</v>
      </c>
    </row>
    <row r="5814" spans="1:3">
      <c r="A5814" s="68">
        <v>38294</v>
      </c>
      <c r="B5814" s="6">
        <v>2.1354166666666601E-2</v>
      </c>
      <c r="C5814" s="5">
        <v>148</v>
      </c>
    </row>
    <row r="5815" spans="1:3">
      <c r="A5815" s="68">
        <v>38294</v>
      </c>
      <c r="B5815" s="6">
        <v>2.1527777777777798E-2</v>
      </c>
      <c r="C5815" s="5">
        <v>148</v>
      </c>
    </row>
    <row r="5816" spans="1:3">
      <c r="A5816" s="68">
        <v>38294</v>
      </c>
      <c r="B5816" s="6">
        <v>2.1701388888888899E-2</v>
      </c>
      <c r="C5816" s="5">
        <v>150</v>
      </c>
    </row>
    <row r="5817" spans="1:3">
      <c r="A5817" s="68">
        <v>38294</v>
      </c>
      <c r="B5817" s="6">
        <v>2.1874999999999999E-2</v>
      </c>
      <c r="C5817" s="5">
        <v>154</v>
      </c>
    </row>
    <row r="5818" spans="1:3">
      <c r="A5818" s="68">
        <v>38294</v>
      </c>
      <c r="B5818" s="6">
        <v>2.2048611111111099E-2</v>
      </c>
      <c r="C5818" s="5">
        <v>153</v>
      </c>
    </row>
    <row r="5819" spans="1:3">
      <c r="A5819" s="68">
        <v>38294</v>
      </c>
      <c r="B5819" s="6">
        <v>2.2222222222222199E-2</v>
      </c>
      <c r="C5819" s="5">
        <v>145</v>
      </c>
    </row>
    <row r="5820" spans="1:3">
      <c r="A5820" s="68">
        <v>38294</v>
      </c>
      <c r="B5820" s="6">
        <v>2.2395833333333299E-2</v>
      </c>
      <c r="C5820" s="5">
        <v>147</v>
      </c>
    </row>
    <row r="5821" spans="1:3">
      <c r="A5821" s="68">
        <v>38294</v>
      </c>
      <c r="B5821" s="6">
        <v>2.2569444444444399E-2</v>
      </c>
      <c r="C5821" s="5">
        <v>144</v>
      </c>
    </row>
    <row r="5822" spans="1:3">
      <c r="A5822" s="68">
        <v>38294</v>
      </c>
      <c r="B5822" s="6">
        <v>2.2743055555555499E-2</v>
      </c>
      <c r="C5822" s="5">
        <v>143</v>
      </c>
    </row>
    <row r="5823" spans="1:3">
      <c r="A5823" s="68">
        <v>38294</v>
      </c>
      <c r="B5823" s="6">
        <v>2.2916666666666599E-2</v>
      </c>
      <c r="C5823" s="5">
        <v>143</v>
      </c>
    </row>
    <row r="5824" spans="1:3">
      <c r="A5824" s="68">
        <v>38294</v>
      </c>
      <c r="B5824" s="6">
        <v>2.30902777777778E-2</v>
      </c>
      <c r="C5824" s="5">
        <v>143</v>
      </c>
    </row>
    <row r="5825" spans="1:3">
      <c r="A5825" s="68">
        <v>38294</v>
      </c>
      <c r="B5825" s="6">
        <v>2.32638888888889E-2</v>
      </c>
      <c r="C5825" s="5">
        <v>144</v>
      </c>
    </row>
    <row r="5826" spans="1:3">
      <c r="A5826" s="68">
        <v>38294</v>
      </c>
      <c r="B5826" s="6">
        <v>2.34375E-2</v>
      </c>
      <c r="C5826" s="5">
        <v>146</v>
      </c>
    </row>
    <row r="5827" spans="1:3">
      <c r="A5827" s="68">
        <v>38294</v>
      </c>
      <c r="B5827" s="6">
        <v>2.36111111111111E-2</v>
      </c>
      <c r="C5827" s="5">
        <v>147</v>
      </c>
    </row>
    <row r="5828" spans="1:3">
      <c r="A5828" s="68">
        <v>38294</v>
      </c>
      <c r="B5828" s="6">
        <v>2.37847222222222E-2</v>
      </c>
      <c r="C5828" s="5">
        <v>146</v>
      </c>
    </row>
    <row r="5829" spans="1:3">
      <c r="A5829" s="68">
        <v>38294</v>
      </c>
      <c r="B5829" s="6">
        <v>2.39583333333333E-2</v>
      </c>
      <c r="C5829" s="5">
        <v>149</v>
      </c>
    </row>
    <row r="5830" spans="1:3">
      <c r="A5830" s="68">
        <v>38294</v>
      </c>
      <c r="B5830" s="6">
        <v>2.41319444444444E-2</v>
      </c>
      <c r="C5830" s="5">
        <v>152</v>
      </c>
    </row>
    <row r="5831" spans="1:3">
      <c r="A5831" s="68">
        <v>38294</v>
      </c>
      <c r="B5831" s="6">
        <v>2.43055555555555E-2</v>
      </c>
      <c r="C5831" s="5">
        <v>152</v>
      </c>
    </row>
    <row r="5832" spans="1:3">
      <c r="A5832" s="68">
        <v>38294</v>
      </c>
      <c r="B5832" s="6">
        <v>2.4479166666666601E-2</v>
      </c>
      <c r="C5832" s="5">
        <v>151</v>
      </c>
    </row>
    <row r="5833" spans="1:3">
      <c r="A5833" s="68">
        <v>38294</v>
      </c>
      <c r="B5833" s="6">
        <v>2.4652777777777801E-2</v>
      </c>
      <c r="C5833" s="5">
        <v>145</v>
      </c>
    </row>
    <row r="5834" spans="1:3">
      <c r="A5834" s="68">
        <v>38294</v>
      </c>
      <c r="B5834" s="6">
        <v>2.4826388888888901E-2</v>
      </c>
      <c r="C5834" s="5">
        <v>144</v>
      </c>
    </row>
    <row r="5835" spans="1:3">
      <c r="A5835" s="68">
        <v>38294</v>
      </c>
      <c r="B5835" s="6">
        <v>2.5000000000000001E-2</v>
      </c>
      <c r="C5835" s="5">
        <v>145</v>
      </c>
    </row>
    <row r="5836" spans="1:3">
      <c r="A5836" s="68">
        <v>38294</v>
      </c>
      <c r="B5836" s="6">
        <v>2.5173611111111101E-2</v>
      </c>
      <c r="C5836" s="5">
        <v>147</v>
      </c>
    </row>
    <row r="5837" spans="1:3">
      <c r="A5837" s="68">
        <v>38294</v>
      </c>
      <c r="B5837" s="6">
        <v>2.5347222222222202E-2</v>
      </c>
      <c r="C5837" s="5">
        <v>145</v>
      </c>
    </row>
    <row r="5838" spans="1:3">
      <c r="A5838" s="68">
        <v>38294</v>
      </c>
      <c r="B5838" s="6">
        <v>2.5520833333333302E-2</v>
      </c>
      <c r="C5838" s="5">
        <v>145</v>
      </c>
    </row>
    <row r="5839" spans="1:3">
      <c r="A5839" s="68">
        <v>38294</v>
      </c>
      <c r="B5839" s="6">
        <v>2.5694444444444402E-2</v>
      </c>
      <c r="C5839" s="5">
        <v>147</v>
      </c>
    </row>
    <row r="5840" spans="1:3">
      <c r="A5840" s="68">
        <v>38294</v>
      </c>
      <c r="B5840" s="6">
        <v>2.5868055555555498E-2</v>
      </c>
      <c r="C5840" s="5">
        <v>147</v>
      </c>
    </row>
    <row r="5841" spans="1:3">
      <c r="A5841" s="68">
        <v>38294</v>
      </c>
      <c r="B5841" s="6">
        <v>2.6041666666666598E-2</v>
      </c>
      <c r="C5841" s="5">
        <v>147</v>
      </c>
    </row>
    <row r="5842" spans="1:3">
      <c r="A5842" s="68">
        <v>38294</v>
      </c>
      <c r="B5842" s="6">
        <v>2.6215277777777799E-2</v>
      </c>
      <c r="C5842" s="5">
        <v>146</v>
      </c>
    </row>
    <row r="5843" spans="1:3">
      <c r="A5843" s="68">
        <v>38294</v>
      </c>
      <c r="B5843" s="6">
        <v>2.6388888888888899E-2</v>
      </c>
      <c r="C5843" s="5">
        <v>147</v>
      </c>
    </row>
    <row r="5844" spans="1:3">
      <c r="A5844" s="68">
        <v>38294</v>
      </c>
      <c r="B5844" s="6">
        <v>2.6562499999999999E-2</v>
      </c>
      <c r="C5844" s="5">
        <v>147</v>
      </c>
    </row>
    <row r="5845" spans="1:3">
      <c r="A5845" s="68">
        <v>38294</v>
      </c>
      <c r="B5845" s="6">
        <v>2.6736111111111099E-2</v>
      </c>
      <c r="C5845" s="5">
        <v>148</v>
      </c>
    </row>
    <row r="5846" spans="1:3">
      <c r="A5846" s="68">
        <v>38294</v>
      </c>
      <c r="B5846" s="6">
        <v>2.6909722222222199E-2</v>
      </c>
      <c r="C5846" s="5">
        <v>148</v>
      </c>
    </row>
    <row r="5847" spans="1:3">
      <c r="A5847" s="68">
        <v>38294</v>
      </c>
      <c r="B5847" s="6">
        <v>2.70833333333333E-2</v>
      </c>
      <c r="C5847" s="5">
        <v>147</v>
      </c>
    </row>
    <row r="5848" spans="1:3">
      <c r="A5848" s="68">
        <v>38294</v>
      </c>
      <c r="B5848" s="6">
        <v>2.72569444444444E-2</v>
      </c>
      <c r="C5848" s="5">
        <v>149</v>
      </c>
    </row>
    <row r="5849" spans="1:3">
      <c r="A5849" s="68">
        <v>38294</v>
      </c>
      <c r="B5849" s="6">
        <v>2.74305555555555E-2</v>
      </c>
      <c r="C5849" s="5">
        <v>146</v>
      </c>
    </row>
    <row r="5850" spans="1:3">
      <c r="A5850" s="68">
        <v>38294</v>
      </c>
      <c r="B5850" s="6">
        <v>2.76041666666666E-2</v>
      </c>
      <c r="C5850" s="5">
        <v>144</v>
      </c>
    </row>
    <row r="5851" spans="1:3">
      <c r="A5851" s="68">
        <v>38294</v>
      </c>
      <c r="B5851" s="6">
        <v>2.7777777777777801E-2</v>
      </c>
      <c r="C5851" s="5">
        <v>145</v>
      </c>
    </row>
    <row r="5852" spans="1:3">
      <c r="A5852" s="68">
        <v>38294</v>
      </c>
      <c r="B5852" s="6">
        <v>2.7951388888888901E-2</v>
      </c>
      <c r="C5852" s="5">
        <v>146</v>
      </c>
    </row>
    <row r="5853" spans="1:3">
      <c r="A5853" s="68">
        <v>38294</v>
      </c>
      <c r="B5853" s="6">
        <v>2.8125000000000001E-2</v>
      </c>
      <c r="C5853" s="5">
        <v>147</v>
      </c>
    </row>
    <row r="5854" spans="1:3">
      <c r="A5854" s="68">
        <v>38294</v>
      </c>
      <c r="B5854" s="6">
        <v>2.8298611111111101E-2</v>
      </c>
      <c r="C5854" s="5">
        <v>147</v>
      </c>
    </row>
    <row r="5855" spans="1:3">
      <c r="A5855" s="68">
        <v>38294</v>
      </c>
      <c r="B5855" s="6">
        <v>2.8472222222222201E-2</v>
      </c>
      <c r="C5855" s="5">
        <v>148</v>
      </c>
    </row>
    <row r="5856" spans="1:3">
      <c r="A5856" s="68">
        <v>38294</v>
      </c>
      <c r="B5856" s="6">
        <v>2.8645833333333301E-2</v>
      </c>
      <c r="C5856" s="5">
        <v>149</v>
      </c>
    </row>
    <row r="5857" spans="1:3">
      <c r="A5857" s="68">
        <v>38294</v>
      </c>
      <c r="B5857" s="6">
        <v>2.8819444444444401E-2</v>
      </c>
      <c r="C5857" s="5">
        <v>150</v>
      </c>
    </row>
    <row r="5858" spans="1:3">
      <c r="A5858" s="68">
        <v>38294</v>
      </c>
      <c r="B5858" s="6">
        <v>2.8993055555555501E-2</v>
      </c>
      <c r="C5858" s="5">
        <v>146</v>
      </c>
    </row>
    <row r="5859" spans="1:3">
      <c r="A5859" s="68">
        <v>38294</v>
      </c>
      <c r="B5859" s="6">
        <v>2.9166666666666601E-2</v>
      </c>
      <c r="C5859" s="5">
        <v>146</v>
      </c>
    </row>
    <row r="5860" spans="1:3">
      <c r="A5860" s="68">
        <v>38294</v>
      </c>
      <c r="B5860" s="6">
        <v>2.9340277777777701E-2</v>
      </c>
      <c r="C5860" s="5">
        <v>146</v>
      </c>
    </row>
    <row r="5861" spans="1:3">
      <c r="A5861" s="68">
        <v>38294</v>
      </c>
      <c r="B5861" s="6">
        <v>2.9513888888888801E-2</v>
      </c>
      <c r="C5861" s="5">
        <v>141</v>
      </c>
    </row>
    <row r="5862" spans="1:3">
      <c r="A5862" s="68">
        <v>38294</v>
      </c>
      <c r="B5862" s="6">
        <v>2.9687499999999901E-2</v>
      </c>
      <c r="C5862" s="5">
        <v>145</v>
      </c>
    </row>
    <row r="5863" spans="1:3">
      <c r="A5863" s="68">
        <v>38294</v>
      </c>
      <c r="B5863" s="6">
        <v>2.9861111111111002E-2</v>
      </c>
      <c r="C5863" s="5">
        <v>145</v>
      </c>
    </row>
    <row r="5864" spans="1:3">
      <c r="A5864" s="68">
        <v>38294</v>
      </c>
      <c r="B5864" s="6">
        <v>3.0034722222222102E-2</v>
      </c>
      <c r="C5864" s="5">
        <v>146</v>
      </c>
    </row>
    <row r="5865" spans="1:3">
      <c r="A5865" s="68">
        <v>38294</v>
      </c>
      <c r="B5865" s="6">
        <v>3.0208333333333202E-2</v>
      </c>
      <c r="C5865" s="5">
        <v>146</v>
      </c>
    </row>
    <row r="5866" spans="1:3">
      <c r="A5866" s="68">
        <v>38294</v>
      </c>
      <c r="B5866" s="6">
        <v>3.0381944444444298E-2</v>
      </c>
      <c r="C5866" s="5">
        <v>162</v>
      </c>
    </row>
    <row r="5867" spans="1:3">
      <c r="A5867" s="68">
        <v>38294</v>
      </c>
      <c r="B5867" s="6">
        <v>3.0555555555555398E-2</v>
      </c>
      <c r="C5867" s="5">
        <v>144</v>
      </c>
    </row>
    <row r="5868" spans="1:3">
      <c r="A5868" s="68">
        <v>38294</v>
      </c>
      <c r="B5868" s="6">
        <v>3.0729166666666499E-2</v>
      </c>
    </row>
    <row r="5869" spans="1:3">
      <c r="A5869" s="68">
        <v>38294</v>
      </c>
      <c r="B5869" s="6">
        <v>3.0902777777777599E-2</v>
      </c>
      <c r="C5869" s="5">
        <v>150</v>
      </c>
    </row>
    <row r="5870" spans="1:3">
      <c r="A5870" s="68">
        <v>38294</v>
      </c>
      <c r="B5870" s="6">
        <v>3.1076388888888699E-2</v>
      </c>
      <c r="C5870" s="5">
        <v>150</v>
      </c>
    </row>
    <row r="5871" spans="1:3">
      <c r="A5871" s="68">
        <v>38293</v>
      </c>
      <c r="B5871" s="6">
        <v>0</v>
      </c>
      <c r="C5871" s="5">
        <v>96</v>
      </c>
    </row>
    <row r="5872" spans="1:3">
      <c r="A5872" s="68">
        <v>38293</v>
      </c>
      <c r="B5872" s="6">
        <v>1.7361111111111001E-4</v>
      </c>
      <c r="C5872" s="5">
        <v>136</v>
      </c>
    </row>
    <row r="5873" spans="1:3">
      <c r="A5873" s="68">
        <v>38293</v>
      </c>
      <c r="B5873" s="6">
        <v>3.4722222222222999E-4</v>
      </c>
      <c r="C5873" s="5">
        <v>159</v>
      </c>
    </row>
    <row r="5874" spans="1:3">
      <c r="A5874" s="68">
        <v>38293</v>
      </c>
      <c r="B5874" s="6">
        <v>5.2083333333334005E-4</v>
      </c>
      <c r="C5874" s="5">
        <v>166</v>
      </c>
    </row>
    <row r="5875" spans="1:3">
      <c r="A5875" s="68">
        <v>38397</v>
      </c>
      <c r="B5875" s="6">
        <v>0</v>
      </c>
      <c r="C5875" s="5">
        <v>152</v>
      </c>
    </row>
    <row r="5876" spans="1:3">
      <c r="A5876" s="68">
        <v>38397</v>
      </c>
      <c r="B5876" s="6">
        <v>6.9444444444444447E-4</v>
      </c>
      <c r="C5876" s="5">
        <v>141</v>
      </c>
    </row>
    <row r="5877" spans="1:3">
      <c r="A5877" s="68">
        <v>38397</v>
      </c>
      <c r="B5877" s="6">
        <v>1.38888888888889E-3</v>
      </c>
      <c r="C5877" s="5">
        <v>143</v>
      </c>
    </row>
    <row r="5878" spans="1:3">
      <c r="A5878" s="68">
        <v>38397</v>
      </c>
      <c r="B5878" s="6">
        <v>2.0833333333333298E-3</v>
      </c>
      <c r="C5878" s="5">
        <v>149</v>
      </c>
    </row>
    <row r="5879" spans="1:3">
      <c r="A5879" s="68">
        <v>38397</v>
      </c>
      <c r="B5879" s="6">
        <v>2.7777777777777801E-3</v>
      </c>
      <c r="C5879" s="5">
        <v>150</v>
      </c>
    </row>
    <row r="5880" spans="1:3">
      <c r="A5880" s="68">
        <v>38397</v>
      </c>
      <c r="B5880" s="6">
        <v>3.4722222222222199E-3</v>
      </c>
      <c r="C5880" s="5">
        <v>145</v>
      </c>
    </row>
    <row r="5881" spans="1:3">
      <c r="A5881" s="68">
        <v>38397</v>
      </c>
      <c r="B5881" s="6">
        <v>4.1666666666666701E-3</v>
      </c>
      <c r="C5881" s="5">
        <v>149</v>
      </c>
    </row>
    <row r="5882" spans="1:3">
      <c r="A5882" s="68">
        <v>38397</v>
      </c>
      <c r="B5882" s="6">
        <v>4.8611111111111103E-3</v>
      </c>
      <c r="C5882" s="5">
        <v>144</v>
      </c>
    </row>
    <row r="5883" spans="1:3">
      <c r="A5883" s="68">
        <v>38397</v>
      </c>
      <c r="B5883" s="6">
        <v>5.5555555555555601E-3</v>
      </c>
      <c r="C5883" s="5">
        <v>147</v>
      </c>
    </row>
    <row r="5884" spans="1:3">
      <c r="A5884" s="68">
        <v>38397</v>
      </c>
      <c r="B5884" s="6">
        <v>6.2500000000000003E-3</v>
      </c>
      <c r="C5884" s="5">
        <v>150</v>
      </c>
    </row>
    <row r="5885" spans="1:3">
      <c r="A5885" s="68">
        <v>38397</v>
      </c>
      <c r="B5885" s="6">
        <v>6.9444444444444397E-3</v>
      </c>
      <c r="C5885" s="5">
        <v>149</v>
      </c>
    </row>
    <row r="5886" spans="1:3">
      <c r="A5886" s="68">
        <v>38397</v>
      </c>
      <c r="B5886" s="6">
        <v>7.6388888888888904E-3</v>
      </c>
      <c r="C5886" s="5">
        <v>151</v>
      </c>
    </row>
    <row r="5887" spans="1:3">
      <c r="A5887" s="68">
        <v>38397</v>
      </c>
      <c r="B5887" s="6">
        <v>8.3333333333333297E-3</v>
      </c>
      <c r="C5887" s="5">
        <v>151</v>
      </c>
    </row>
    <row r="5888" spans="1:3">
      <c r="A5888" s="68">
        <v>38397</v>
      </c>
      <c r="B5888" s="6">
        <v>9.0277777777777804E-3</v>
      </c>
      <c r="C5888" s="5">
        <v>149</v>
      </c>
    </row>
    <row r="5889" spans="1:3">
      <c r="A5889" s="68">
        <v>38397</v>
      </c>
      <c r="B5889" s="6">
        <v>9.7222222222222206E-3</v>
      </c>
      <c r="C5889" s="5">
        <v>148</v>
      </c>
    </row>
    <row r="5890" spans="1:3">
      <c r="A5890" s="68">
        <v>38397</v>
      </c>
      <c r="B5890" s="6">
        <v>1.0416666666666701E-2</v>
      </c>
      <c r="C5890" s="5">
        <v>148</v>
      </c>
    </row>
    <row r="5891" spans="1:3">
      <c r="A5891" s="68">
        <v>38397</v>
      </c>
      <c r="B5891" s="6">
        <v>1.1111111111111099E-2</v>
      </c>
      <c r="C5891" s="5">
        <v>152</v>
      </c>
    </row>
    <row r="5892" spans="1:3">
      <c r="A5892" s="68">
        <v>38397</v>
      </c>
      <c r="B5892" s="6">
        <v>1.18055555555556E-2</v>
      </c>
      <c r="C5892" s="5">
        <v>149</v>
      </c>
    </row>
    <row r="5893" spans="1:3">
      <c r="A5893" s="68">
        <v>38397</v>
      </c>
      <c r="B5893" s="6">
        <v>1.2500000000000001E-2</v>
      </c>
      <c r="C5893" s="5">
        <v>151</v>
      </c>
    </row>
    <row r="5894" spans="1:3">
      <c r="A5894" s="68">
        <v>38397</v>
      </c>
      <c r="B5894" s="6">
        <v>1.3194444444444399E-2</v>
      </c>
      <c r="C5894" s="5">
        <v>154</v>
      </c>
    </row>
    <row r="5895" spans="1:3">
      <c r="A5895" s="68">
        <v>38397</v>
      </c>
      <c r="B5895" s="6">
        <v>1.38888888888889E-2</v>
      </c>
      <c r="C5895" s="5">
        <v>150</v>
      </c>
    </row>
    <row r="5896" spans="1:3">
      <c r="A5896" s="68">
        <v>38397</v>
      </c>
      <c r="B5896" s="6">
        <v>1.4583333333333301E-2</v>
      </c>
      <c r="C5896" s="5">
        <v>150</v>
      </c>
    </row>
    <row r="5897" spans="1:3">
      <c r="A5897" s="68">
        <v>38397</v>
      </c>
      <c r="B5897" s="6">
        <v>1.52777777777778E-2</v>
      </c>
      <c r="C5897" s="5">
        <v>151</v>
      </c>
    </row>
    <row r="5898" spans="1:3">
      <c r="A5898" s="68">
        <v>38397</v>
      </c>
      <c r="B5898" s="6">
        <v>1.59722222222222E-2</v>
      </c>
      <c r="C5898" s="5">
        <v>150</v>
      </c>
    </row>
    <row r="5899" spans="1:3">
      <c r="A5899" s="68">
        <v>38397</v>
      </c>
      <c r="B5899" s="6">
        <v>1.6666666666666701E-2</v>
      </c>
      <c r="C5899" s="5">
        <v>149</v>
      </c>
    </row>
    <row r="5900" spans="1:3">
      <c r="A5900" s="68">
        <v>38397</v>
      </c>
      <c r="B5900" s="6">
        <v>1.7361111111111101E-2</v>
      </c>
      <c r="C5900" s="5">
        <v>150</v>
      </c>
    </row>
    <row r="5901" spans="1:3">
      <c r="A5901" s="68">
        <v>38397</v>
      </c>
      <c r="B5901" s="6">
        <v>1.8055555555555599E-2</v>
      </c>
      <c r="C5901" s="5">
        <v>151</v>
      </c>
    </row>
    <row r="5902" spans="1:3">
      <c r="A5902" s="68">
        <v>38397</v>
      </c>
      <c r="B5902" s="6">
        <v>1.8749999999999999E-2</v>
      </c>
      <c r="C5902" s="5">
        <v>149</v>
      </c>
    </row>
    <row r="5903" spans="1:3">
      <c r="A5903" s="68">
        <v>38397</v>
      </c>
      <c r="B5903" s="6">
        <v>1.94444444444444E-2</v>
      </c>
      <c r="C5903" s="5">
        <v>148</v>
      </c>
    </row>
    <row r="5904" spans="1:3">
      <c r="A5904" s="68">
        <v>38397</v>
      </c>
      <c r="B5904" s="6">
        <v>2.0138888888888901E-2</v>
      </c>
      <c r="C5904" s="5">
        <v>148</v>
      </c>
    </row>
    <row r="5905" spans="1:3">
      <c r="A5905" s="68">
        <v>38397</v>
      </c>
      <c r="B5905" s="6">
        <v>2.0833333333333301E-2</v>
      </c>
      <c r="C5905" s="5">
        <v>152</v>
      </c>
    </row>
    <row r="5906" spans="1:3">
      <c r="A5906" s="68">
        <v>38397</v>
      </c>
      <c r="B5906" s="6">
        <v>2.1527777777777798E-2</v>
      </c>
      <c r="C5906" s="5">
        <v>154</v>
      </c>
    </row>
    <row r="5907" spans="1:3">
      <c r="A5907" s="68">
        <v>38397</v>
      </c>
      <c r="B5907" s="6">
        <v>2.2222222222222199E-2</v>
      </c>
      <c r="C5907" s="5">
        <v>146</v>
      </c>
    </row>
    <row r="5908" spans="1:3">
      <c r="A5908" s="68">
        <v>38397</v>
      </c>
      <c r="B5908" s="6">
        <v>2.29166666666667E-2</v>
      </c>
      <c r="C5908" s="5">
        <v>148</v>
      </c>
    </row>
    <row r="5909" spans="1:3">
      <c r="A5909" s="68">
        <v>38397</v>
      </c>
      <c r="B5909" s="6">
        <v>2.36111111111111E-2</v>
      </c>
    </row>
    <row r="5910" spans="1:3">
      <c r="A5910" s="68">
        <v>38397</v>
      </c>
      <c r="B5910" s="6">
        <v>2.4305555555555601E-2</v>
      </c>
    </row>
    <row r="5911" spans="1:3">
      <c r="A5911" s="68">
        <v>38397</v>
      </c>
      <c r="B5911" s="6">
        <v>2.5000000000000001E-2</v>
      </c>
    </row>
    <row r="5912" spans="1:3">
      <c r="A5912" s="68">
        <v>38397</v>
      </c>
      <c r="B5912" s="6">
        <v>2.5694444444444402E-2</v>
      </c>
      <c r="C5912" s="5">
        <v>151</v>
      </c>
    </row>
    <row r="5913" spans="1:3">
      <c r="A5913" s="68">
        <v>38397</v>
      </c>
      <c r="B5913" s="6">
        <v>2.6388888888888899E-2</v>
      </c>
      <c r="C5913" s="5">
        <v>148</v>
      </c>
    </row>
    <row r="5914" spans="1:3">
      <c r="A5914" s="68">
        <v>38397</v>
      </c>
      <c r="B5914" s="6">
        <v>2.70833333333333E-2</v>
      </c>
      <c r="C5914" s="5">
        <v>149</v>
      </c>
    </row>
    <row r="5915" spans="1:3">
      <c r="A5915" s="68">
        <v>38397</v>
      </c>
      <c r="B5915" s="6">
        <v>2.7777777777777801E-2</v>
      </c>
      <c r="C5915" s="5">
        <v>149</v>
      </c>
    </row>
    <row r="5916" spans="1:3">
      <c r="A5916" s="68">
        <v>38397</v>
      </c>
      <c r="B5916" s="6">
        <v>2.8472222222222201E-2</v>
      </c>
      <c r="C5916" s="5">
        <v>149</v>
      </c>
    </row>
    <row r="5917" spans="1:3">
      <c r="A5917" s="68">
        <v>38397</v>
      </c>
      <c r="B5917" s="6">
        <v>2.9166666666666698E-2</v>
      </c>
      <c r="C5917" s="5">
        <v>149</v>
      </c>
    </row>
    <row r="5918" spans="1:3">
      <c r="A5918" s="68">
        <v>38397</v>
      </c>
      <c r="B5918" s="6">
        <v>2.9861111111111099E-2</v>
      </c>
      <c r="C5918" s="5">
        <v>148</v>
      </c>
    </row>
    <row r="5919" spans="1:3">
      <c r="A5919" s="68">
        <v>38397</v>
      </c>
      <c r="B5919" s="6">
        <v>3.05555555555556E-2</v>
      </c>
      <c r="C5919" s="5">
        <v>151</v>
      </c>
    </row>
    <row r="5920" spans="1:3">
      <c r="A5920" s="68">
        <v>38397</v>
      </c>
      <c r="B5920" s="6">
        <v>3.125E-2</v>
      </c>
      <c r="C5920" s="5">
        <v>152</v>
      </c>
    </row>
    <row r="5921" spans="1:3">
      <c r="A5921" s="68">
        <v>38397</v>
      </c>
      <c r="B5921" s="6">
        <v>3.19444444444444E-2</v>
      </c>
    </row>
    <row r="5922" spans="1:3">
      <c r="A5922" s="68">
        <v>38397</v>
      </c>
      <c r="B5922" s="6">
        <v>3.2638888888888898E-2</v>
      </c>
    </row>
    <row r="5923" spans="1:3">
      <c r="A5923" s="68">
        <v>38397</v>
      </c>
      <c r="B5923" s="6">
        <v>3.3333333333333298E-2</v>
      </c>
      <c r="C5923" s="5">
        <v>149</v>
      </c>
    </row>
    <row r="5924" spans="1:3">
      <c r="A5924" s="68">
        <v>38397</v>
      </c>
      <c r="B5924" s="6">
        <v>3.4027777777777803E-2</v>
      </c>
      <c r="C5924" s="5">
        <v>137</v>
      </c>
    </row>
    <row r="5925" spans="1:3">
      <c r="A5925" s="68">
        <v>38397</v>
      </c>
      <c r="B5925" s="6">
        <v>3.4722222222222203E-2</v>
      </c>
      <c r="C5925" s="5">
        <v>147</v>
      </c>
    </row>
    <row r="5926" spans="1:3">
      <c r="A5926" s="68">
        <v>38397</v>
      </c>
      <c r="B5926" s="6">
        <v>3.54166666666667E-2</v>
      </c>
    </row>
    <row r="5927" spans="1:3">
      <c r="A5927" s="68">
        <v>38397</v>
      </c>
      <c r="B5927" s="6">
        <v>3.6111111111111101E-2</v>
      </c>
    </row>
    <row r="5928" spans="1:3">
      <c r="A5928" s="68">
        <v>38397</v>
      </c>
      <c r="B5928" s="6">
        <v>3.6805555555555598E-2</v>
      </c>
      <c r="C5928" s="5">
        <v>156</v>
      </c>
    </row>
    <row r="5929" spans="1:3">
      <c r="A5929" s="68">
        <v>38397</v>
      </c>
      <c r="B5929" s="6">
        <v>3.7499999999999999E-2</v>
      </c>
      <c r="C5929" s="5">
        <v>150</v>
      </c>
    </row>
    <row r="5930" spans="1:3">
      <c r="A5930" s="68">
        <v>38397</v>
      </c>
      <c r="B5930" s="6">
        <v>3.8194444444444399E-2</v>
      </c>
      <c r="C5930" s="5">
        <v>151</v>
      </c>
    </row>
    <row r="5931" spans="1:3">
      <c r="A5931" s="68">
        <v>38397</v>
      </c>
      <c r="B5931" s="6">
        <v>3.8888888888888903E-2</v>
      </c>
      <c r="C5931" s="5">
        <v>153</v>
      </c>
    </row>
    <row r="5932" spans="1:3">
      <c r="A5932" s="68">
        <v>38397</v>
      </c>
      <c r="B5932" s="6">
        <v>3.9583333333333297E-2</v>
      </c>
      <c r="C5932" s="5">
        <v>153</v>
      </c>
    </row>
    <row r="5933" spans="1:3">
      <c r="A5933" s="68">
        <v>38397</v>
      </c>
      <c r="B5933" s="6">
        <v>4.0277777777777801E-2</v>
      </c>
      <c r="C5933" s="5">
        <v>153</v>
      </c>
    </row>
    <row r="5934" spans="1:3">
      <c r="A5934" s="68">
        <v>38397</v>
      </c>
      <c r="B5934" s="6">
        <v>4.0972222222222202E-2</v>
      </c>
      <c r="C5934" s="5">
        <v>152</v>
      </c>
    </row>
    <row r="5935" spans="1:3">
      <c r="A5935" s="68">
        <v>38397</v>
      </c>
      <c r="B5935" s="6">
        <v>4.1666666666666699E-2</v>
      </c>
      <c r="C5935" s="5">
        <v>151</v>
      </c>
    </row>
    <row r="5936" spans="1:3">
      <c r="A5936" s="68">
        <v>38397</v>
      </c>
      <c r="B5936" s="6">
        <v>4.2361111111111099E-2</v>
      </c>
      <c r="C5936" s="5">
        <v>156</v>
      </c>
    </row>
    <row r="5937" spans="1:3">
      <c r="A5937" s="68">
        <v>38397</v>
      </c>
      <c r="B5937" s="6">
        <v>4.3055555555555597E-2</v>
      </c>
      <c r="C5937" s="5">
        <v>156</v>
      </c>
    </row>
    <row r="5938" spans="1:3">
      <c r="A5938" s="68">
        <v>38397</v>
      </c>
      <c r="B5938" s="6">
        <v>4.3749999999999997E-2</v>
      </c>
      <c r="C5938" s="5">
        <v>150</v>
      </c>
    </row>
    <row r="5939" spans="1:3">
      <c r="A5939" s="68">
        <v>38397</v>
      </c>
      <c r="B5939" s="6">
        <v>4.4444444444444398E-2</v>
      </c>
      <c r="C5939" s="5">
        <v>148</v>
      </c>
    </row>
    <row r="5940" spans="1:3">
      <c r="A5940" s="68">
        <v>38397</v>
      </c>
      <c r="B5940" s="6">
        <v>4.5138888888888902E-2</v>
      </c>
      <c r="C5940" s="5">
        <v>151</v>
      </c>
    </row>
    <row r="5941" spans="1:3">
      <c r="A5941" s="68">
        <v>38397</v>
      </c>
      <c r="B5941" s="6">
        <v>4.5833333333333302E-2</v>
      </c>
      <c r="C5941" s="5">
        <v>158</v>
      </c>
    </row>
    <row r="5942" spans="1:3">
      <c r="A5942" s="68">
        <v>38397</v>
      </c>
      <c r="B5942" s="6">
        <v>4.65277777777778E-2</v>
      </c>
      <c r="C5942" s="5">
        <v>153</v>
      </c>
    </row>
    <row r="5943" spans="1:3">
      <c r="A5943" s="68">
        <v>38397</v>
      </c>
      <c r="B5943" s="6">
        <v>4.72222222222222E-2</v>
      </c>
      <c r="C5943" s="5">
        <v>153</v>
      </c>
    </row>
    <row r="5944" spans="1:3">
      <c r="A5944" s="68">
        <v>38397</v>
      </c>
      <c r="B5944" s="6">
        <v>4.7916666666666698E-2</v>
      </c>
      <c r="C5944" s="5">
        <v>156</v>
      </c>
    </row>
    <row r="5945" spans="1:3">
      <c r="A5945" s="68">
        <v>38397</v>
      </c>
      <c r="B5945" s="6">
        <v>4.8611111111111098E-2</v>
      </c>
      <c r="C5945" s="5">
        <v>154</v>
      </c>
    </row>
    <row r="5946" spans="1:3">
      <c r="A5946" s="68">
        <v>38397</v>
      </c>
      <c r="B5946" s="6">
        <v>4.9305555555555602E-2</v>
      </c>
      <c r="C5946" s="5">
        <v>152</v>
      </c>
    </row>
    <row r="5947" spans="1:3">
      <c r="A5947" s="68">
        <v>38397</v>
      </c>
      <c r="B5947" s="6">
        <v>0.05</v>
      </c>
      <c r="C5947" s="5">
        <v>148</v>
      </c>
    </row>
    <row r="5948" spans="1:3">
      <c r="A5948" s="68">
        <v>38397</v>
      </c>
      <c r="B5948" s="6">
        <v>5.0694444444444403E-2</v>
      </c>
      <c r="C5948" s="5">
        <v>152</v>
      </c>
    </row>
    <row r="5949" spans="1:3">
      <c r="A5949" s="68">
        <v>38397</v>
      </c>
      <c r="B5949" s="6">
        <v>5.1388888888888901E-2</v>
      </c>
      <c r="C5949" s="5">
        <v>150</v>
      </c>
    </row>
    <row r="5950" spans="1:3">
      <c r="A5950" s="68">
        <v>38397</v>
      </c>
      <c r="B5950" s="6">
        <v>5.2083333333333301E-2</v>
      </c>
      <c r="C5950" s="5">
        <v>154</v>
      </c>
    </row>
    <row r="5951" spans="1:3">
      <c r="A5951" s="68">
        <v>38397</v>
      </c>
      <c r="B5951" s="6">
        <v>5.2777777777777798E-2</v>
      </c>
      <c r="C5951" s="5">
        <v>159</v>
      </c>
    </row>
    <row r="5952" spans="1:3">
      <c r="A5952" s="68">
        <v>38397</v>
      </c>
      <c r="B5952" s="6">
        <v>5.3472222222222199E-2</v>
      </c>
      <c r="C5952" s="5">
        <v>156</v>
      </c>
    </row>
    <row r="5953" spans="1:3">
      <c r="A5953" s="68">
        <v>38397</v>
      </c>
      <c r="B5953" s="6">
        <v>5.4166666666666703E-2</v>
      </c>
      <c r="C5953" s="5">
        <v>156</v>
      </c>
    </row>
    <row r="5954" spans="1:3">
      <c r="A5954" s="68">
        <v>38397</v>
      </c>
      <c r="B5954" s="6">
        <v>5.4861111111111097E-2</v>
      </c>
      <c r="C5954" s="5">
        <v>157</v>
      </c>
    </row>
    <row r="5955" spans="1:3">
      <c r="A5955" s="68">
        <v>38397</v>
      </c>
      <c r="B5955" s="6">
        <v>5.5555555555555601E-2</v>
      </c>
      <c r="C5955" s="5">
        <v>153</v>
      </c>
    </row>
    <row r="5956" spans="1:3">
      <c r="A5956" s="68">
        <v>38397</v>
      </c>
      <c r="B5956" s="6">
        <v>5.6250000000000001E-2</v>
      </c>
      <c r="C5956" s="5">
        <v>149</v>
      </c>
    </row>
    <row r="5957" spans="1:3">
      <c r="A5957" s="68">
        <v>38397</v>
      </c>
      <c r="B5957" s="6">
        <v>5.6944444444444402E-2</v>
      </c>
      <c r="C5957" s="5">
        <v>151</v>
      </c>
    </row>
    <row r="5958" spans="1:3">
      <c r="A5958" s="68">
        <v>38397</v>
      </c>
      <c r="B5958" s="6">
        <v>5.7638888888888899E-2</v>
      </c>
      <c r="C5958" s="5">
        <v>158</v>
      </c>
    </row>
    <row r="5959" spans="1:3">
      <c r="A5959" s="68">
        <v>38397</v>
      </c>
      <c r="B5959" s="6">
        <v>5.83333333333333E-2</v>
      </c>
      <c r="C5959" s="5">
        <v>154</v>
      </c>
    </row>
    <row r="5960" spans="1:3">
      <c r="A5960" s="68">
        <v>38397</v>
      </c>
      <c r="B5960" s="6">
        <v>5.9027777777777797E-2</v>
      </c>
      <c r="C5960" s="5">
        <v>150</v>
      </c>
    </row>
    <row r="5961" spans="1:3">
      <c r="A5961" s="68">
        <v>38397</v>
      </c>
      <c r="B5961" s="6">
        <v>5.9722222222222197E-2</v>
      </c>
      <c r="C5961" s="5">
        <v>153</v>
      </c>
    </row>
    <row r="5962" spans="1:3">
      <c r="A5962" s="68">
        <v>38397</v>
      </c>
      <c r="B5962" s="6">
        <v>6.0416666666666702E-2</v>
      </c>
      <c r="C5962" s="5">
        <v>154</v>
      </c>
    </row>
    <row r="5963" spans="1:3">
      <c r="A5963" s="68">
        <v>38397</v>
      </c>
      <c r="B5963" s="6">
        <v>6.1111111111111102E-2</v>
      </c>
      <c r="C5963" s="5">
        <v>158</v>
      </c>
    </row>
    <row r="5964" spans="1:3">
      <c r="A5964" s="68">
        <v>38397</v>
      </c>
      <c r="B5964" s="6">
        <v>6.18055555555556E-2</v>
      </c>
      <c r="C5964" s="5">
        <v>162</v>
      </c>
    </row>
    <row r="5965" spans="1:3">
      <c r="A5965" s="68">
        <v>38397</v>
      </c>
      <c r="B5965" s="6">
        <v>6.25E-2</v>
      </c>
      <c r="C5965" s="5">
        <v>160</v>
      </c>
    </row>
    <row r="5966" spans="1:3">
      <c r="A5966" s="68">
        <v>38397</v>
      </c>
      <c r="B5966" s="6">
        <v>6.31944444444444E-2</v>
      </c>
      <c r="C5966" s="5">
        <v>164</v>
      </c>
    </row>
    <row r="5967" spans="1:3">
      <c r="A5967" s="68">
        <v>38397</v>
      </c>
      <c r="B5967" s="6">
        <v>6.3888888888888801E-2</v>
      </c>
      <c r="C5967" s="5">
        <v>160</v>
      </c>
    </row>
    <row r="5968" spans="1:3">
      <c r="A5968" s="68">
        <v>38534</v>
      </c>
      <c r="B5968" s="6">
        <v>0</v>
      </c>
      <c r="C5968" s="5">
        <v>78</v>
      </c>
    </row>
    <row r="5969" spans="1:3">
      <c r="A5969" s="68">
        <v>38534</v>
      </c>
      <c r="B5969" s="6">
        <v>5.7870370370370366E-5</v>
      </c>
      <c r="C5969" s="5">
        <v>78</v>
      </c>
    </row>
    <row r="5970" spans="1:3">
      <c r="A5970" s="68">
        <v>38534</v>
      </c>
      <c r="B5970" s="6">
        <v>1.15740740740741E-4</v>
      </c>
      <c r="C5970" s="5">
        <v>100</v>
      </c>
    </row>
    <row r="5971" spans="1:3">
      <c r="A5971" s="68">
        <v>38534</v>
      </c>
      <c r="B5971" s="6">
        <v>1.7361111111111101E-4</v>
      </c>
      <c r="C5971" s="5">
        <v>103</v>
      </c>
    </row>
    <row r="5972" spans="1:3">
      <c r="A5972" s="68">
        <v>38534</v>
      </c>
      <c r="B5972" s="6">
        <v>2.31481481481481E-4</v>
      </c>
      <c r="C5972" s="5">
        <v>127</v>
      </c>
    </row>
    <row r="5973" spans="1:3">
      <c r="A5973" s="68">
        <v>38534</v>
      </c>
      <c r="B5973" s="6">
        <v>2.89351851851852E-4</v>
      </c>
      <c r="C5973" s="5">
        <v>127</v>
      </c>
    </row>
    <row r="5974" spans="1:3">
      <c r="A5974" s="68">
        <v>38534</v>
      </c>
      <c r="B5974" s="6">
        <v>3.4722222222222202E-4</v>
      </c>
      <c r="C5974" s="5">
        <v>141</v>
      </c>
    </row>
    <row r="5975" spans="1:3">
      <c r="A5975" s="68">
        <v>38534</v>
      </c>
      <c r="B5975" s="6">
        <v>4.0509259259259301E-4</v>
      </c>
      <c r="C5975" s="5">
        <v>142</v>
      </c>
    </row>
    <row r="5976" spans="1:3">
      <c r="A5976" s="68">
        <v>38534</v>
      </c>
      <c r="B5976" s="6">
        <v>4.6296296296296298E-4</v>
      </c>
      <c r="C5976" s="5">
        <v>142</v>
      </c>
    </row>
    <row r="5977" spans="1:3">
      <c r="A5977" s="68">
        <v>38534</v>
      </c>
      <c r="B5977" s="6">
        <v>5.20833333333333E-4</v>
      </c>
      <c r="C5977" s="5">
        <v>142</v>
      </c>
    </row>
    <row r="5978" spans="1:3">
      <c r="A5978" s="68">
        <v>38534</v>
      </c>
      <c r="B5978" s="6">
        <v>5.78703703703704E-4</v>
      </c>
      <c r="C5978" s="5">
        <v>142</v>
      </c>
    </row>
    <row r="5979" spans="1:3">
      <c r="A5979" s="68">
        <v>38534</v>
      </c>
      <c r="B5979" s="6">
        <v>6.3657407407407402E-4</v>
      </c>
      <c r="C5979" s="5">
        <v>146</v>
      </c>
    </row>
    <row r="5980" spans="1:3">
      <c r="A5980" s="68">
        <v>38534</v>
      </c>
      <c r="B5980" s="6">
        <v>6.9444444444444404E-4</v>
      </c>
      <c r="C5980" s="5">
        <v>146</v>
      </c>
    </row>
    <row r="5981" spans="1:3">
      <c r="A5981" s="68">
        <v>38534</v>
      </c>
      <c r="B5981" s="6">
        <v>7.5231481481481503E-4</v>
      </c>
      <c r="C5981" s="5">
        <v>147</v>
      </c>
    </row>
    <row r="5982" spans="1:3">
      <c r="A5982" s="68">
        <v>38534</v>
      </c>
      <c r="B5982" s="6">
        <v>8.1018518518518505E-4</v>
      </c>
      <c r="C5982" s="5">
        <v>148</v>
      </c>
    </row>
    <row r="5983" spans="1:3">
      <c r="A5983" s="68">
        <v>38534</v>
      </c>
      <c r="B5983" s="6">
        <v>8.6805555555555605E-4</v>
      </c>
      <c r="C5983" s="5">
        <v>148</v>
      </c>
    </row>
    <row r="5984" spans="1:3">
      <c r="A5984" s="68">
        <v>38534</v>
      </c>
      <c r="B5984" s="6">
        <v>9.2592592592592596E-4</v>
      </c>
      <c r="C5984" s="5">
        <v>150</v>
      </c>
    </row>
    <row r="5985" spans="1:3">
      <c r="A5985" s="68">
        <v>38534</v>
      </c>
      <c r="B5985" s="6">
        <v>9.8379629629629598E-4</v>
      </c>
      <c r="C5985" s="5">
        <v>150</v>
      </c>
    </row>
    <row r="5986" spans="1:3">
      <c r="A5986" s="68">
        <v>38534</v>
      </c>
      <c r="B5986" s="6">
        <v>1.0416666666666699E-3</v>
      </c>
      <c r="C5986" s="5">
        <v>150</v>
      </c>
    </row>
    <row r="5987" spans="1:3">
      <c r="A5987" s="68">
        <v>38534</v>
      </c>
      <c r="B5987" s="6">
        <v>1.0995370370370399E-3</v>
      </c>
      <c r="C5987" s="5">
        <v>150</v>
      </c>
    </row>
    <row r="5988" spans="1:3">
      <c r="A5988" s="68">
        <v>38534</v>
      </c>
      <c r="B5988" s="6">
        <v>1.1574074074074099E-3</v>
      </c>
      <c r="C5988" s="5">
        <v>149</v>
      </c>
    </row>
    <row r="5989" spans="1:3">
      <c r="A5989" s="68">
        <v>38534</v>
      </c>
      <c r="B5989" s="6">
        <v>1.21527777777778E-3</v>
      </c>
      <c r="C5989" s="5">
        <v>149</v>
      </c>
    </row>
    <row r="5990" spans="1:3">
      <c r="A5990" s="68">
        <v>38534</v>
      </c>
      <c r="B5990" s="6">
        <v>1.27314814814815E-3</v>
      </c>
      <c r="C5990" s="5">
        <v>149</v>
      </c>
    </row>
    <row r="5991" spans="1:3">
      <c r="A5991" s="68">
        <v>38534</v>
      </c>
      <c r="B5991" s="6">
        <v>1.33101851851852E-3</v>
      </c>
      <c r="C5991" s="5">
        <v>149</v>
      </c>
    </row>
    <row r="5992" spans="1:3">
      <c r="A5992" s="68">
        <v>38534</v>
      </c>
      <c r="B5992" s="6">
        <v>1.38888888888889E-3</v>
      </c>
      <c r="C5992" s="5">
        <v>149</v>
      </c>
    </row>
    <row r="5993" spans="1:3">
      <c r="A5993" s="68">
        <v>38534</v>
      </c>
      <c r="B5993" s="6">
        <v>1.44675925925926E-3</v>
      </c>
      <c r="C5993" s="5">
        <v>149</v>
      </c>
    </row>
    <row r="5994" spans="1:3">
      <c r="A5994" s="68">
        <v>38534</v>
      </c>
      <c r="B5994" s="6">
        <v>1.5046296296296301E-3</v>
      </c>
      <c r="C5994" s="5">
        <v>147</v>
      </c>
    </row>
    <row r="5995" spans="1:3">
      <c r="A5995" s="68">
        <v>38534</v>
      </c>
      <c r="B5995" s="6">
        <v>1.5625000000000001E-3</v>
      </c>
      <c r="C5995" s="5">
        <v>147</v>
      </c>
    </row>
    <row r="5996" spans="1:3">
      <c r="A5996" s="68">
        <v>38534</v>
      </c>
      <c r="B5996" s="6">
        <v>1.6203703703703701E-3</v>
      </c>
      <c r="C5996" s="5">
        <v>147</v>
      </c>
    </row>
    <row r="5997" spans="1:3">
      <c r="A5997" s="68">
        <v>38534</v>
      </c>
      <c r="B5997" s="6">
        <v>1.6782407407407399E-3</v>
      </c>
      <c r="C5997" s="5">
        <v>147</v>
      </c>
    </row>
    <row r="5998" spans="1:3">
      <c r="A5998" s="68">
        <v>38534</v>
      </c>
      <c r="B5998" s="6">
        <v>1.7361111111111099E-3</v>
      </c>
      <c r="C5998" s="5">
        <v>147</v>
      </c>
    </row>
    <row r="5999" spans="1:3">
      <c r="A5999" s="68">
        <v>38534</v>
      </c>
      <c r="B5999" s="6">
        <v>1.79398148148148E-3</v>
      </c>
      <c r="C5999" s="5">
        <v>146</v>
      </c>
    </row>
    <row r="6000" spans="1:3">
      <c r="A6000" s="68">
        <v>38534</v>
      </c>
      <c r="B6000" s="6">
        <v>1.85185185185185E-3</v>
      </c>
      <c r="C6000" s="5">
        <v>146</v>
      </c>
    </row>
    <row r="6001" spans="1:3">
      <c r="A6001" s="68">
        <v>38534</v>
      </c>
      <c r="B6001" s="6">
        <v>1.90972222222222E-3</v>
      </c>
      <c r="C6001" s="5">
        <v>146</v>
      </c>
    </row>
    <row r="6002" spans="1:3">
      <c r="A6002" s="68">
        <v>38534</v>
      </c>
      <c r="B6002" s="6">
        <v>1.9675925925925898E-3</v>
      </c>
      <c r="C6002" s="5">
        <v>146</v>
      </c>
    </row>
    <row r="6003" spans="1:3">
      <c r="A6003" s="68">
        <v>38534</v>
      </c>
      <c r="B6003" s="6">
        <v>2.0254629629629598E-3</v>
      </c>
      <c r="C6003" s="5">
        <v>147</v>
      </c>
    </row>
    <row r="6004" spans="1:3">
      <c r="A6004" s="68">
        <v>38534</v>
      </c>
      <c r="B6004" s="6">
        <v>2.0833333333333298E-3</v>
      </c>
      <c r="C6004" s="5">
        <v>147</v>
      </c>
    </row>
    <row r="6005" spans="1:3">
      <c r="A6005" s="68">
        <v>38534</v>
      </c>
      <c r="B6005" s="6">
        <v>2.1412037037036999E-3</v>
      </c>
      <c r="C6005" s="5">
        <v>146</v>
      </c>
    </row>
    <row r="6006" spans="1:3">
      <c r="A6006" s="68">
        <v>38534</v>
      </c>
      <c r="B6006" s="6">
        <v>2.1990740740740699E-3</v>
      </c>
      <c r="C6006" s="5">
        <v>146</v>
      </c>
    </row>
    <row r="6007" spans="1:3">
      <c r="A6007" s="68">
        <v>38534</v>
      </c>
      <c r="B6007" s="6">
        <v>2.2569444444444399E-3</v>
      </c>
      <c r="C6007" s="5">
        <v>145</v>
      </c>
    </row>
    <row r="6008" spans="1:3">
      <c r="A6008" s="68">
        <v>38534</v>
      </c>
      <c r="B6008" s="6">
        <v>2.3148148148148099E-3</v>
      </c>
      <c r="C6008" s="5">
        <v>142</v>
      </c>
    </row>
    <row r="6009" spans="1:3">
      <c r="A6009" s="68">
        <v>38534</v>
      </c>
      <c r="B6009" s="6">
        <v>2.3726851851851899E-3</v>
      </c>
      <c r="C6009" s="5">
        <v>143</v>
      </c>
    </row>
    <row r="6010" spans="1:3">
      <c r="A6010" s="68">
        <v>38534</v>
      </c>
      <c r="B6010" s="6">
        <v>2.4305555555555599E-3</v>
      </c>
      <c r="C6010" s="5">
        <v>145</v>
      </c>
    </row>
    <row r="6011" spans="1:3">
      <c r="A6011" s="68">
        <v>38534</v>
      </c>
      <c r="B6011" s="6">
        <v>2.48842592592593E-3</v>
      </c>
      <c r="C6011" s="5">
        <v>145</v>
      </c>
    </row>
    <row r="6012" spans="1:3">
      <c r="A6012" s="68">
        <v>38534</v>
      </c>
      <c r="B6012" s="6">
        <v>2.5462962962963E-3</v>
      </c>
      <c r="C6012" s="5">
        <v>145</v>
      </c>
    </row>
    <row r="6013" spans="1:3">
      <c r="A6013" s="68">
        <v>38534</v>
      </c>
      <c r="B6013" s="6">
        <v>2.60416666666667E-3</v>
      </c>
      <c r="C6013" s="5">
        <v>144</v>
      </c>
    </row>
    <row r="6014" spans="1:3">
      <c r="A6014" s="68">
        <v>38534</v>
      </c>
      <c r="B6014" s="6">
        <v>2.66203703703704E-3</v>
      </c>
      <c r="C6014" s="5">
        <v>144</v>
      </c>
    </row>
    <row r="6015" spans="1:3">
      <c r="A6015" s="68">
        <v>38534</v>
      </c>
      <c r="B6015" s="6">
        <v>2.71990740740741E-3</v>
      </c>
      <c r="C6015" s="5">
        <v>144</v>
      </c>
    </row>
    <row r="6016" spans="1:3">
      <c r="A6016" s="68">
        <v>38534</v>
      </c>
      <c r="B6016" s="6">
        <v>2.7777777777777801E-3</v>
      </c>
      <c r="C6016" s="5">
        <v>144</v>
      </c>
    </row>
    <row r="6017" spans="1:5">
      <c r="A6017" s="68">
        <v>38534</v>
      </c>
      <c r="B6017" s="6">
        <v>2.8356481481481501E-3</v>
      </c>
      <c r="C6017" s="5">
        <v>143</v>
      </c>
    </row>
    <row r="6018" spans="1:5">
      <c r="A6018" s="68">
        <v>38534</v>
      </c>
      <c r="B6018" s="6">
        <v>2.8935185185185201E-3</v>
      </c>
      <c r="C6018" s="5">
        <v>145</v>
      </c>
    </row>
    <row r="6019" spans="1:5">
      <c r="A6019" s="68">
        <v>38534</v>
      </c>
      <c r="B6019" s="6">
        <v>2.9513888888888901E-3</v>
      </c>
      <c r="C6019" s="5">
        <v>145</v>
      </c>
    </row>
    <row r="6020" spans="1:5">
      <c r="A6020" s="68">
        <v>38534</v>
      </c>
      <c r="B6020" s="6">
        <v>3.0092592592592601E-3</v>
      </c>
      <c r="C6020" s="5">
        <v>148</v>
      </c>
    </row>
    <row r="6021" spans="1:5">
      <c r="A6021" s="68">
        <v>38534</v>
      </c>
      <c r="B6021" s="6">
        <v>3.0671296296296302E-3</v>
      </c>
      <c r="C6021" s="5">
        <v>148</v>
      </c>
    </row>
    <row r="6022" spans="1:5">
      <c r="A6022" s="68">
        <v>38534</v>
      </c>
      <c r="B6022" s="6">
        <v>3.1250000000000002E-3</v>
      </c>
      <c r="C6022" s="5">
        <v>147</v>
      </c>
    </row>
    <row r="6023" spans="1:5">
      <c r="A6023" s="68">
        <v>38534</v>
      </c>
      <c r="B6023" s="6">
        <v>3.1828703703703702E-3</v>
      </c>
      <c r="C6023" s="5">
        <v>150</v>
      </c>
    </row>
    <row r="6024" spans="1:5">
      <c r="A6024" s="68">
        <v>38534</v>
      </c>
      <c r="B6024" s="6">
        <v>3.2407407407407402E-3</v>
      </c>
      <c r="C6024" s="5">
        <v>150</v>
      </c>
    </row>
    <row r="6025" spans="1:5">
      <c r="A6025" s="68">
        <v>38534</v>
      </c>
      <c r="B6025" s="6">
        <v>3.2986111111111098E-3</v>
      </c>
      <c r="C6025" s="5">
        <v>151</v>
      </c>
      <c r="D6025" s="232">
        <v>0.2</v>
      </c>
      <c r="E6025" s="4">
        <v>143</v>
      </c>
    </row>
    <row r="6026" spans="1:5">
      <c r="A6026" s="68">
        <v>38534</v>
      </c>
      <c r="B6026" s="6">
        <v>3.3564814814814798E-3</v>
      </c>
      <c r="C6026" s="5">
        <v>151</v>
      </c>
    </row>
    <row r="6027" spans="1:5">
      <c r="A6027" s="68">
        <v>38534</v>
      </c>
      <c r="B6027" s="6">
        <v>3.4143518518518498E-3</v>
      </c>
      <c r="C6027" s="5">
        <v>143</v>
      </c>
    </row>
    <row r="6028" spans="1:5">
      <c r="A6028" s="68">
        <v>38534</v>
      </c>
      <c r="B6028" s="6">
        <v>3.4722222222222199E-3</v>
      </c>
      <c r="C6028" s="5">
        <v>138</v>
      </c>
    </row>
    <row r="6029" spans="1:5">
      <c r="A6029" s="68">
        <v>38534</v>
      </c>
      <c r="B6029" s="6">
        <v>3.5300925925925899E-3</v>
      </c>
      <c r="C6029" s="5">
        <v>130</v>
      </c>
    </row>
    <row r="6030" spans="1:5">
      <c r="A6030" s="68">
        <v>38534</v>
      </c>
      <c r="B6030" s="6">
        <v>3.5879629629629599E-3</v>
      </c>
      <c r="C6030" s="5">
        <v>124</v>
      </c>
    </row>
    <row r="6031" spans="1:5">
      <c r="A6031" s="68">
        <v>38534</v>
      </c>
      <c r="B6031" s="6">
        <v>3.6458333333333299E-3</v>
      </c>
      <c r="C6031" s="5">
        <v>120</v>
      </c>
    </row>
    <row r="6032" spans="1:5">
      <c r="A6032" s="68">
        <v>38534</v>
      </c>
      <c r="B6032" s="6">
        <v>3.7037037037036999E-3</v>
      </c>
      <c r="C6032" s="5">
        <v>111</v>
      </c>
    </row>
    <row r="6033" spans="1:5">
      <c r="A6033" s="68">
        <v>38534</v>
      </c>
      <c r="B6033" s="6">
        <v>3.76157407407407E-3</v>
      </c>
      <c r="C6033" s="5">
        <v>102</v>
      </c>
    </row>
    <row r="6034" spans="1:5">
      <c r="A6034" s="68">
        <v>38534</v>
      </c>
      <c r="B6034" s="6">
        <v>3.81944444444444E-3</v>
      </c>
      <c r="C6034" s="5">
        <v>96</v>
      </c>
    </row>
    <row r="6035" spans="1:5">
      <c r="A6035" s="68">
        <v>38534</v>
      </c>
      <c r="B6035" s="6">
        <v>3.87731481481481E-3</v>
      </c>
      <c r="C6035" s="5">
        <v>93</v>
      </c>
    </row>
    <row r="6036" spans="1:5">
      <c r="A6036" s="68">
        <v>38534</v>
      </c>
      <c r="B6036" s="6">
        <v>3.9351851851851796E-3</v>
      </c>
      <c r="C6036" s="5">
        <v>91</v>
      </c>
    </row>
    <row r="6037" spans="1:5">
      <c r="A6037" s="68">
        <v>38534</v>
      </c>
      <c r="B6037" s="6">
        <v>3.9930555555555596E-3</v>
      </c>
      <c r="C6037" s="5">
        <v>88</v>
      </c>
      <c r="D6037" s="232">
        <v>0.24166666666666667</v>
      </c>
      <c r="E6037" s="4">
        <v>118</v>
      </c>
    </row>
    <row r="6038" spans="1:5">
      <c r="A6038" s="68">
        <v>38534</v>
      </c>
      <c r="B6038" s="6">
        <v>4.05092592592593E-3</v>
      </c>
      <c r="C6038" s="5">
        <v>85</v>
      </c>
    </row>
    <row r="6039" spans="1:5">
      <c r="A6039" s="68">
        <v>38534</v>
      </c>
      <c r="B6039" s="6">
        <v>4.1087962962962996E-3</v>
      </c>
      <c r="C6039" s="5">
        <v>96</v>
      </c>
    </row>
    <row r="6040" spans="1:5">
      <c r="A6040" s="68">
        <v>38534</v>
      </c>
      <c r="B6040" s="6">
        <v>4.1666666666666701E-3</v>
      </c>
      <c r="C6040" s="5">
        <v>114</v>
      </c>
    </row>
    <row r="6041" spans="1:5">
      <c r="A6041" s="68">
        <v>38534</v>
      </c>
      <c r="B6041" s="6">
        <v>4.2245370370370397E-3</v>
      </c>
      <c r="C6041" s="5">
        <v>121</v>
      </c>
    </row>
    <row r="6042" spans="1:5">
      <c r="A6042" s="68">
        <v>38534</v>
      </c>
      <c r="B6042" s="6">
        <v>4.2824074074074101E-3</v>
      </c>
      <c r="C6042" s="5">
        <v>128</v>
      </c>
    </row>
    <row r="6043" spans="1:5">
      <c r="A6043" s="68">
        <v>38534</v>
      </c>
      <c r="B6043" s="6">
        <v>4.3402777777777797E-3</v>
      </c>
      <c r="C6043" s="5">
        <v>132</v>
      </c>
    </row>
    <row r="6044" spans="1:5">
      <c r="A6044" s="68">
        <v>38534</v>
      </c>
      <c r="B6044" s="6">
        <v>4.3981481481481502E-3</v>
      </c>
      <c r="C6044" s="5">
        <v>137</v>
      </c>
    </row>
    <row r="6045" spans="1:5">
      <c r="A6045" s="68">
        <v>38534</v>
      </c>
      <c r="B6045" s="6">
        <v>4.4560185185185197E-3</v>
      </c>
      <c r="C6045" s="5">
        <v>141</v>
      </c>
    </row>
    <row r="6046" spans="1:5">
      <c r="A6046" s="68">
        <v>38534</v>
      </c>
      <c r="B6046" s="6">
        <v>4.5138888888888902E-3</v>
      </c>
      <c r="C6046" s="5">
        <v>144</v>
      </c>
    </row>
    <row r="6047" spans="1:5">
      <c r="A6047" s="68">
        <v>38534</v>
      </c>
      <c r="B6047" s="6">
        <v>4.5717592592592598E-3</v>
      </c>
      <c r="C6047" s="5">
        <v>145</v>
      </c>
    </row>
    <row r="6048" spans="1:5">
      <c r="A6048" s="68">
        <v>38534</v>
      </c>
      <c r="B6048" s="6">
        <v>4.6296296296296302E-3</v>
      </c>
      <c r="C6048" s="5">
        <v>149</v>
      </c>
    </row>
    <row r="6049" spans="1:3">
      <c r="A6049" s="68">
        <v>38534</v>
      </c>
      <c r="B6049" s="6">
        <v>4.6874999999999998E-3</v>
      </c>
      <c r="C6049" s="5">
        <v>150</v>
      </c>
    </row>
    <row r="6050" spans="1:3">
      <c r="A6050" s="68">
        <v>38534</v>
      </c>
      <c r="B6050" s="6">
        <v>4.7453703703703703E-3</v>
      </c>
      <c r="C6050" s="5">
        <v>150</v>
      </c>
    </row>
    <row r="6051" spans="1:3">
      <c r="A6051" s="68">
        <v>38534</v>
      </c>
      <c r="B6051" s="6">
        <v>4.8032407407407399E-3</v>
      </c>
      <c r="C6051" s="5">
        <v>151</v>
      </c>
    </row>
    <row r="6052" spans="1:3">
      <c r="A6052" s="68">
        <v>38534</v>
      </c>
      <c r="B6052" s="6">
        <v>4.8611111111111103E-3</v>
      </c>
      <c r="C6052" s="5">
        <v>153</v>
      </c>
    </row>
    <row r="6053" spans="1:3">
      <c r="A6053" s="68">
        <v>38534</v>
      </c>
      <c r="B6053" s="6">
        <v>4.9189814814814799E-3</v>
      </c>
      <c r="C6053" s="5">
        <v>153</v>
      </c>
    </row>
    <row r="6054" spans="1:3">
      <c r="A6054" s="68">
        <v>38534</v>
      </c>
      <c r="B6054" s="6">
        <v>4.9768518518518504E-3</v>
      </c>
      <c r="C6054" s="5">
        <v>155</v>
      </c>
    </row>
    <row r="6055" spans="1:3">
      <c r="A6055" s="68">
        <v>38534</v>
      </c>
      <c r="B6055" s="6">
        <v>5.0347222222222199E-3</v>
      </c>
      <c r="C6055" s="5">
        <v>155</v>
      </c>
    </row>
    <row r="6056" spans="1:3">
      <c r="A6056" s="68">
        <v>38534</v>
      </c>
      <c r="B6056" s="6">
        <v>5.0925925925925904E-3</v>
      </c>
      <c r="C6056" s="5">
        <v>155</v>
      </c>
    </row>
    <row r="6057" spans="1:3">
      <c r="A6057" s="68">
        <v>38534</v>
      </c>
      <c r="B6057" s="6">
        <v>5.15046296296296E-3</v>
      </c>
      <c r="C6057" s="5">
        <v>155</v>
      </c>
    </row>
    <row r="6058" spans="1:3">
      <c r="A6058" s="68">
        <v>38534</v>
      </c>
      <c r="B6058" s="6">
        <v>5.2083333333333296E-3</v>
      </c>
      <c r="C6058" s="5">
        <v>154</v>
      </c>
    </row>
    <row r="6059" spans="1:3">
      <c r="A6059" s="68">
        <v>38534</v>
      </c>
      <c r="B6059" s="6">
        <v>5.2662037037037E-3</v>
      </c>
      <c r="C6059" s="5">
        <v>154</v>
      </c>
    </row>
    <row r="6060" spans="1:3">
      <c r="A6060" s="68">
        <v>38534</v>
      </c>
      <c r="B6060" s="6">
        <v>5.3240740740740696E-3</v>
      </c>
      <c r="C6060" s="5">
        <v>155</v>
      </c>
    </row>
    <row r="6061" spans="1:3">
      <c r="A6061" s="68">
        <v>38534</v>
      </c>
      <c r="B6061" s="6">
        <v>5.3819444444444401E-3</v>
      </c>
      <c r="C6061" s="5">
        <v>156</v>
      </c>
    </row>
    <row r="6062" spans="1:3">
      <c r="A6062" s="68">
        <v>38534</v>
      </c>
      <c r="B6062" s="6">
        <v>5.4398148148148097E-3</v>
      </c>
      <c r="C6062" s="5">
        <v>156</v>
      </c>
    </row>
    <row r="6063" spans="1:3">
      <c r="A6063" s="68">
        <v>38534</v>
      </c>
      <c r="B6063" s="6">
        <v>5.4976851851851801E-3</v>
      </c>
      <c r="C6063" s="5">
        <v>155</v>
      </c>
    </row>
    <row r="6064" spans="1:3">
      <c r="A6064" s="68">
        <v>38534</v>
      </c>
      <c r="B6064" s="6">
        <v>5.5555555555555497E-3</v>
      </c>
      <c r="C6064" s="5">
        <v>156</v>
      </c>
    </row>
    <row r="6065" spans="1:3">
      <c r="A6065" s="68">
        <v>38534</v>
      </c>
      <c r="B6065" s="6">
        <v>5.6134259259259297E-3</v>
      </c>
      <c r="C6065" s="5">
        <v>156</v>
      </c>
    </row>
    <row r="6066" spans="1:3">
      <c r="A6066" s="68">
        <v>38534</v>
      </c>
      <c r="B6066" s="6">
        <v>5.6712962962963001E-3</v>
      </c>
      <c r="C6066" s="5">
        <v>157</v>
      </c>
    </row>
    <row r="6067" spans="1:3">
      <c r="A6067" s="68">
        <v>38534</v>
      </c>
      <c r="B6067" s="6">
        <v>5.7291666666666697E-3</v>
      </c>
      <c r="C6067" s="5">
        <v>156</v>
      </c>
    </row>
    <row r="6068" spans="1:3">
      <c r="A6068" s="68">
        <v>38534</v>
      </c>
      <c r="B6068" s="6">
        <v>5.7870370370370402E-3</v>
      </c>
      <c r="C6068" s="5">
        <v>156</v>
      </c>
    </row>
    <row r="6069" spans="1:3">
      <c r="A6069" s="68">
        <v>38534</v>
      </c>
      <c r="B6069" s="6">
        <v>5.8449074074074098E-3</v>
      </c>
      <c r="C6069" s="5">
        <v>155</v>
      </c>
    </row>
    <row r="6070" spans="1:3">
      <c r="A6070" s="68">
        <v>38534</v>
      </c>
      <c r="B6070" s="6">
        <v>5.9027777777777802E-3</v>
      </c>
      <c r="C6070" s="5">
        <v>155</v>
      </c>
    </row>
    <row r="6071" spans="1:3">
      <c r="A6071" s="68">
        <v>38534</v>
      </c>
      <c r="B6071" s="6">
        <v>5.9606481481481498E-3</v>
      </c>
      <c r="C6071" s="5">
        <v>155</v>
      </c>
    </row>
    <row r="6072" spans="1:3">
      <c r="A6072" s="68">
        <v>38534</v>
      </c>
      <c r="B6072" s="6">
        <v>6.0185185185185203E-3</v>
      </c>
      <c r="C6072" s="5">
        <v>156</v>
      </c>
    </row>
    <row r="6073" spans="1:3">
      <c r="A6073" s="68">
        <v>38534</v>
      </c>
      <c r="B6073" s="6">
        <v>6.0763888888888899E-3</v>
      </c>
      <c r="C6073" s="5">
        <v>156</v>
      </c>
    </row>
    <row r="6074" spans="1:3">
      <c r="A6074" s="68">
        <v>38534</v>
      </c>
      <c r="B6074" s="6">
        <v>6.1342592592592603E-3</v>
      </c>
      <c r="C6074" s="5">
        <v>154</v>
      </c>
    </row>
    <row r="6075" spans="1:3">
      <c r="A6075" s="68">
        <v>38534</v>
      </c>
      <c r="B6075" s="6">
        <v>6.1921296296296299E-3</v>
      </c>
      <c r="C6075" s="5">
        <v>155</v>
      </c>
    </row>
    <row r="6076" spans="1:3">
      <c r="A6076" s="68">
        <v>38534</v>
      </c>
      <c r="B6076" s="6">
        <v>6.2500000000000003E-3</v>
      </c>
      <c r="C6076" s="5">
        <v>155</v>
      </c>
    </row>
    <row r="6077" spans="1:3">
      <c r="A6077" s="68">
        <v>38534</v>
      </c>
      <c r="B6077" s="6">
        <v>6.3078703703703699E-3</v>
      </c>
      <c r="C6077" s="5">
        <v>154</v>
      </c>
    </row>
    <row r="6078" spans="1:3">
      <c r="A6078" s="68">
        <v>38534</v>
      </c>
      <c r="B6078" s="6">
        <v>6.3657407407407404E-3</v>
      </c>
      <c r="C6078" s="5">
        <v>153</v>
      </c>
    </row>
    <row r="6079" spans="1:3">
      <c r="A6079" s="68">
        <v>38534</v>
      </c>
      <c r="B6079" s="6">
        <v>6.42361111111111E-3</v>
      </c>
      <c r="C6079" s="5">
        <v>154</v>
      </c>
    </row>
    <row r="6080" spans="1:3">
      <c r="A6080" s="68">
        <v>38534</v>
      </c>
      <c r="B6080" s="6">
        <v>6.4814814814814804E-3</v>
      </c>
      <c r="C6080" s="5">
        <v>153</v>
      </c>
    </row>
    <row r="6081" spans="1:5">
      <c r="A6081" s="68">
        <v>38534</v>
      </c>
      <c r="B6081" s="6">
        <v>6.53935185185185E-3</v>
      </c>
      <c r="C6081" s="5">
        <v>152</v>
      </c>
    </row>
    <row r="6082" spans="1:5">
      <c r="A6082" s="68">
        <v>38534</v>
      </c>
      <c r="B6082" s="6">
        <v>6.5972222222222196E-3</v>
      </c>
      <c r="C6082" s="5">
        <v>152</v>
      </c>
    </row>
    <row r="6083" spans="1:5">
      <c r="A6083" s="68">
        <v>38534</v>
      </c>
      <c r="B6083" s="6">
        <v>6.6550925925925901E-3</v>
      </c>
      <c r="C6083" s="5">
        <v>151</v>
      </c>
    </row>
    <row r="6084" spans="1:5">
      <c r="A6084" s="68">
        <v>38534</v>
      </c>
      <c r="B6084" s="6">
        <v>6.7129629629629596E-3</v>
      </c>
      <c r="C6084" s="5">
        <v>151</v>
      </c>
    </row>
    <row r="6085" spans="1:5">
      <c r="A6085" s="68">
        <v>38534</v>
      </c>
      <c r="B6085" s="6">
        <v>6.7708333333333301E-3</v>
      </c>
      <c r="C6085" s="5">
        <v>151</v>
      </c>
    </row>
    <row r="6086" spans="1:5">
      <c r="A6086" s="68">
        <v>38534</v>
      </c>
      <c r="B6086" s="6">
        <v>6.8287037037036997E-3</v>
      </c>
      <c r="C6086" s="5">
        <v>152</v>
      </c>
    </row>
    <row r="6087" spans="1:5">
      <c r="A6087" s="68">
        <v>38534</v>
      </c>
      <c r="B6087" s="6">
        <v>6.8865740740740701E-3</v>
      </c>
      <c r="C6087" s="5">
        <v>153</v>
      </c>
    </row>
    <row r="6088" spans="1:5">
      <c r="A6088" s="68">
        <v>38534</v>
      </c>
      <c r="B6088" s="6">
        <v>6.9444444444444397E-3</v>
      </c>
      <c r="C6088" s="5">
        <v>153</v>
      </c>
    </row>
    <row r="6089" spans="1:5">
      <c r="A6089" s="68">
        <v>38534</v>
      </c>
      <c r="B6089" s="6">
        <v>7.0023148148148102E-3</v>
      </c>
      <c r="C6089" s="5">
        <v>153</v>
      </c>
    </row>
    <row r="6090" spans="1:5">
      <c r="A6090" s="68">
        <v>38534</v>
      </c>
      <c r="B6090" s="6">
        <v>7.0601851851851798E-3</v>
      </c>
      <c r="C6090" s="5">
        <v>153</v>
      </c>
    </row>
    <row r="6091" spans="1:5">
      <c r="A6091" s="68">
        <v>38534</v>
      </c>
      <c r="B6091" s="6">
        <v>7.1180555555555598E-3</v>
      </c>
      <c r="C6091" s="5">
        <v>155</v>
      </c>
    </row>
    <row r="6092" spans="1:5">
      <c r="A6092" s="68">
        <v>38534</v>
      </c>
      <c r="B6092" s="6">
        <v>7.1759259259259302E-3</v>
      </c>
      <c r="C6092" s="5">
        <v>156</v>
      </c>
    </row>
    <row r="6093" spans="1:5">
      <c r="A6093" s="68">
        <v>38534</v>
      </c>
      <c r="B6093" s="6">
        <v>7.2337962962962998E-3</v>
      </c>
      <c r="C6093" s="5">
        <v>156</v>
      </c>
    </row>
    <row r="6094" spans="1:5">
      <c r="A6094" s="68">
        <v>38534</v>
      </c>
      <c r="B6094" s="6">
        <v>7.2916666666666703E-3</v>
      </c>
      <c r="C6094" s="5">
        <v>153</v>
      </c>
      <c r="D6094" s="232">
        <v>0.43541666666666662</v>
      </c>
      <c r="E6094" s="4">
        <v>148</v>
      </c>
    </row>
    <row r="6095" spans="1:5">
      <c r="A6095" s="68">
        <v>38534</v>
      </c>
      <c r="B6095" s="6">
        <v>7.3495370370370398E-3</v>
      </c>
      <c r="C6095" s="5">
        <v>151</v>
      </c>
    </row>
    <row r="6096" spans="1:5">
      <c r="A6096" s="68">
        <v>38534</v>
      </c>
      <c r="B6096" s="6">
        <v>7.4074074074074103E-3</v>
      </c>
      <c r="C6096" s="5">
        <v>150</v>
      </c>
    </row>
    <row r="6097" spans="1:5">
      <c r="A6097" s="68">
        <v>38534</v>
      </c>
      <c r="B6097" s="6">
        <v>7.4652777777777799E-3</v>
      </c>
      <c r="C6097" s="5">
        <v>139</v>
      </c>
    </row>
    <row r="6098" spans="1:5">
      <c r="A6098" s="68">
        <v>38534</v>
      </c>
      <c r="B6098" s="6">
        <v>7.5231481481481503E-3</v>
      </c>
      <c r="C6098" s="5">
        <v>135</v>
      </c>
    </row>
    <row r="6099" spans="1:5">
      <c r="A6099" s="68">
        <v>38534</v>
      </c>
      <c r="B6099" s="6">
        <v>7.5810185185185199E-3</v>
      </c>
      <c r="C6099" s="5">
        <v>128</v>
      </c>
    </row>
    <row r="6100" spans="1:5">
      <c r="A6100" s="68">
        <v>38534</v>
      </c>
      <c r="B6100" s="6">
        <v>7.6388888888888904E-3</v>
      </c>
      <c r="C6100" s="5">
        <v>123</v>
      </c>
    </row>
    <row r="6101" spans="1:5">
      <c r="A6101" s="68">
        <v>38534</v>
      </c>
      <c r="B6101" s="6">
        <v>7.69675925925926E-3</v>
      </c>
      <c r="C6101" s="5">
        <v>117</v>
      </c>
    </row>
    <row r="6102" spans="1:5">
      <c r="A6102" s="68">
        <v>38534</v>
      </c>
      <c r="B6102" s="6">
        <v>7.7546296296296304E-3</v>
      </c>
      <c r="C6102" s="5">
        <v>113</v>
      </c>
    </row>
    <row r="6103" spans="1:5">
      <c r="A6103" s="68">
        <v>38534</v>
      </c>
      <c r="B6103" s="6">
        <v>7.8125E-3</v>
      </c>
      <c r="C6103" s="5">
        <v>112</v>
      </c>
    </row>
    <row r="6104" spans="1:5">
      <c r="A6104" s="68">
        <v>38534</v>
      </c>
      <c r="B6104" s="6">
        <v>7.8703703703703696E-3</v>
      </c>
      <c r="C6104" s="5">
        <v>107</v>
      </c>
    </row>
    <row r="6105" spans="1:5">
      <c r="A6105" s="68">
        <v>38534</v>
      </c>
      <c r="B6105" s="6">
        <v>7.9282407407407392E-3</v>
      </c>
      <c r="C6105" s="5">
        <v>104</v>
      </c>
    </row>
    <row r="6106" spans="1:5">
      <c r="A6106" s="68">
        <v>38534</v>
      </c>
      <c r="B6106" s="6">
        <v>7.9861111111111105E-3</v>
      </c>
      <c r="C6106" s="5">
        <v>102</v>
      </c>
      <c r="D6106" s="232">
        <v>0.4777777777777778</v>
      </c>
      <c r="E6106" s="4">
        <v>130</v>
      </c>
    </row>
    <row r="6107" spans="1:5">
      <c r="A6107" s="68">
        <v>38534</v>
      </c>
      <c r="B6107" s="6">
        <v>8.0439814814814801E-3</v>
      </c>
      <c r="C6107" s="5">
        <v>111</v>
      </c>
    </row>
    <row r="6108" spans="1:5">
      <c r="A6108" s="68">
        <v>38534</v>
      </c>
      <c r="B6108" s="6">
        <v>8.1018518518518497E-3</v>
      </c>
      <c r="C6108" s="5">
        <v>111</v>
      </c>
    </row>
    <row r="6109" spans="1:5">
      <c r="A6109" s="68">
        <v>38534</v>
      </c>
      <c r="B6109" s="6">
        <v>8.1597222222222193E-3</v>
      </c>
      <c r="C6109" s="5">
        <v>133</v>
      </c>
    </row>
    <row r="6110" spans="1:5">
      <c r="A6110" s="68">
        <v>38534</v>
      </c>
      <c r="B6110" s="6">
        <v>8.2175925925925906E-3</v>
      </c>
      <c r="C6110" s="5">
        <v>138</v>
      </c>
    </row>
    <row r="6111" spans="1:5">
      <c r="A6111" s="68">
        <v>38534</v>
      </c>
      <c r="B6111" s="6">
        <v>8.2754629629629602E-3</v>
      </c>
      <c r="C6111" s="5">
        <v>141</v>
      </c>
    </row>
    <row r="6112" spans="1:5">
      <c r="A6112" s="68">
        <v>38534</v>
      </c>
      <c r="B6112" s="6">
        <v>8.3333333333333297E-3</v>
      </c>
      <c r="C6112" s="5">
        <v>145</v>
      </c>
    </row>
    <row r="6113" spans="1:3">
      <c r="A6113" s="68">
        <v>38534</v>
      </c>
      <c r="B6113" s="6">
        <v>8.3912037037036993E-3</v>
      </c>
      <c r="C6113" s="5">
        <v>148</v>
      </c>
    </row>
    <row r="6114" spans="1:3">
      <c r="A6114" s="68">
        <v>38534</v>
      </c>
      <c r="B6114" s="6">
        <v>8.4490740740740707E-3</v>
      </c>
      <c r="C6114" s="5">
        <v>149</v>
      </c>
    </row>
    <row r="6115" spans="1:3">
      <c r="A6115" s="68">
        <v>38534</v>
      </c>
      <c r="B6115" s="6">
        <v>8.5069444444444402E-3</v>
      </c>
      <c r="C6115" s="5">
        <v>152</v>
      </c>
    </row>
    <row r="6116" spans="1:3">
      <c r="A6116" s="68">
        <v>38534</v>
      </c>
      <c r="B6116" s="6">
        <v>8.5648148148148098E-3</v>
      </c>
      <c r="C6116" s="5">
        <v>154</v>
      </c>
    </row>
    <row r="6117" spans="1:3">
      <c r="A6117" s="68">
        <v>38534</v>
      </c>
      <c r="B6117" s="6">
        <v>8.6226851851851794E-3</v>
      </c>
      <c r="C6117" s="5">
        <v>154</v>
      </c>
    </row>
    <row r="6118" spans="1:3">
      <c r="A6118" s="68">
        <v>38534</v>
      </c>
      <c r="B6118" s="6">
        <v>8.6805555555555507E-3</v>
      </c>
      <c r="C6118" s="5">
        <v>155</v>
      </c>
    </row>
    <row r="6119" spans="1:3">
      <c r="A6119" s="68">
        <v>38534</v>
      </c>
      <c r="B6119" s="6">
        <v>8.7384259259259307E-3</v>
      </c>
      <c r="C6119" s="5">
        <v>156</v>
      </c>
    </row>
    <row r="6120" spans="1:3">
      <c r="A6120" s="68">
        <v>38534</v>
      </c>
      <c r="B6120" s="6">
        <v>8.7962962962963003E-3</v>
      </c>
      <c r="C6120" s="5">
        <v>156</v>
      </c>
    </row>
    <row r="6121" spans="1:3">
      <c r="A6121" s="68">
        <v>38534</v>
      </c>
      <c r="B6121" s="6">
        <v>8.8541666666666699E-3</v>
      </c>
      <c r="C6121" s="5">
        <v>157</v>
      </c>
    </row>
    <row r="6122" spans="1:3">
      <c r="A6122" s="68">
        <v>38534</v>
      </c>
      <c r="B6122" s="6">
        <v>8.9120370370370395E-3</v>
      </c>
      <c r="C6122" s="5">
        <v>157</v>
      </c>
    </row>
    <row r="6123" spans="1:3">
      <c r="A6123" s="68">
        <v>38534</v>
      </c>
      <c r="B6123" s="6">
        <v>8.9699074074074108E-3</v>
      </c>
      <c r="C6123" s="5">
        <v>157</v>
      </c>
    </row>
    <row r="6124" spans="1:3">
      <c r="A6124" s="68">
        <v>38534</v>
      </c>
      <c r="B6124" s="6">
        <v>9.0277777777777804E-3</v>
      </c>
      <c r="C6124" s="5">
        <v>157</v>
      </c>
    </row>
    <row r="6125" spans="1:3">
      <c r="A6125" s="68">
        <v>38534</v>
      </c>
      <c r="B6125" s="6">
        <v>9.08564814814815E-3</v>
      </c>
      <c r="C6125" s="5">
        <v>158</v>
      </c>
    </row>
    <row r="6126" spans="1:3">
      <c r="A6126" s="68">
        <v>38534</v>
      </c>
      <c r="B6126" s="6">
        <v>9.1435185185185196E-3</v>
      </c>
      <c r="C6126" s="5">
        <v>159</v>
      </c>
    </row>
    <row r="6127" spans="1:3">
      <c r="A6127" s="68">
        <v>38534</v>
      </c>
      <c r="B6127" s="6">
        <v>9.2013888888888892E-3</v>
      </c>
      <c r="C6127" s="5">
        <v>159</v>
      </c>
    </row>
    <row r="6128" spans="1:3">
      <c r="A6128" s="68">
        <v>38534</v>
      </c>
      <c r="B6128" s="6">
        <v>9.2592592592592605E-3</v>
      </c>
      <c r="C6128" s="5">
        <v>160</v>
      </c>
    </row>
    <row r="6129" spans="1:3">
      <c r="A6129" s="68">
        <v>38534</v>
      </c>
      <c r="B6129" s="6">
        <v>9.3171296296296301E-3</v>
      </c>
      <c r="C6129" s="5">
        <v>160</v>
      </c>
    </row>
    <row r="6130" spans="1:3">
      <c r="A6130" s="68">
        <v>38534</v>
      </c>
      <c r="B6130" s="6">
        <v>9.3749999999999997E-3</v>
      </c>
      <c r="C6130" s="5">
        <v>159</v>
      </c>
    </row>
    <row r="6131" spans="1:3">
      <c r="A6131" s="68">
        <v>38534</v>
      </c>
      <c r="B6131" s="6">
        <v>9.4328703703703692E-3</v>
      </c>
      <c r="C6131" s="5">
        <v>160</v>
      </c>
    </row>
    <row r="6132" spans="1:3">
      <c r="A6132" s="68">
        <v>38534</v>
      </c>
      <c r="B6132" s="6">
        <v>9.4907407407407406E-3</v>
      </c>
      <c r="C6132" s="5">
        <v>160</v>
      </c>
    </row>
    <row r="6133" spans="1:3">
      <c r="A6133" s="68">
        <v>38534</v>
      </c>
      <c r="B6133" s="6">
        <v>9.5486111111111101E-3</v>
      </c>
      <c r="C6133" s="5">
        <v>160</v>
      </c>
    </row>
    <row r="6134" spans="1:3">
      <c r="A6134" s="68">
        <v>38534</v>
      </c>
      <c r="B6134" s="6">
        <v>9.6064814814814797E-3</v>
      </c>
      <c r="C6134" s="5">
        <v>160</v>
      </c>
    </row>
    <row r="6135" spans="1:3">
      <c r="A6135" s="68">
        <v>38534</v>
      </c>
      <c r="B6135" s="6">
        <v>9.6643518518518493E-3</v>
      </c>
      <c r="C6135" s="5">
        <v>160</v>
      </c>
    </row>
    <row r="6136" spans="1:3">
      <c r="A6136" s="68">
        <v>38534</v>
      </c>
      <c r="B6136" s="6">
        <v>9.7222222222222206E-3</v>
      </c>
      <c r="C6136" s="5">
        <v>160</v>
      </c>
    </row>
    <row r="6137" spans="1:3">
      <c r="A6137" s="68">
        <v>38534</v>
      </c>
      <c r="B6137" s="6">
        <v>9.7800925925925902E-3</v>
      </c>
      <c r="C6137" s="5">
        <v>159</v>
      </c>
    </row>
    <row r="6138" spans="1:3">
      <c r="A6138" s="68">
        <v>38534</v>
      </c>
      <c r="B6138" s="6">
        <v>9.8379629629629598E-3</v>
      </c>
      <c r="C6138" s="5">
        <v>158</v>
      </c>
    </row>
    <row r="6139" spans="1:3">
      <c r="A6139" s="68">
        <v>38534</v>
      </c>
      <c r="B6139" s="6">
        <v>9.8958333333333294E-3</v>
      </c>
      <c r="C6139" s="5">
        <v>158</v>
      </c>
    </row>
    <row r="6140" spans="1:3">
      <c r="A6140" s="68">
        <v>38534</v>
      </c>
      <c r="B6140" s="6">
        <v>9.9537037037037007E-3</v>
      </c>
      <c r="C6140" s="5">
        <v>158</v>
      </c>
    </row>
    <row r="6141" spans="1:3">
      <c r="A6141" s="68">
        <v>38534</v>
      </c>
      <c r="B6141" s="6">
        <v>1.00115740740741E-2</v>
      </c>
      <c r="C6141" s="5">
        <v>158</v>
      </c>
    </row>
    <row r="6142" spans="1:3">
      <c r="A6142" s="68">
        <v>38534</v>
      </c>
      <c r="B6142" s="6">
        <v>1.00694444444444E-2</v>
      </c>
      <c r="C6142" s="5">
        <v>158</v>
      </c>
    </row>
    <row r="6143" spans="1:3">
      <c r="A6143" s="68">
        <v>38534</v>
      </c>
      <c r="B6143" s="6">
        <v>1.0127314814814801E-2</v>
      </c>
      <c r="C6143" s="5">
        <v>159</v>
      </c>
    </row>
    <row r="6144" spans="1:3">
      <c r="A6144" s="68">
        <v>38534</v>
      </c>
      <c r="B6144" s="6">
        <v>1.01851851851852E-2</v>
      </c>
      <c r="C6144" s="5">
        <v>157</v>
      </c>
    </row>
    <row r="6145" spans="1:5">
      <c r="A6145" s="68">
        <v>38534</v>
      </c>
      <c r="B6145" s="6">
        <v>1.0243055555555601E-2</v>
      </c>
      <c r="C6145" s="5">
        <v>157</v>
      </c>
    </row>
    <row r="6146" spans="1:5">
      <c r="A6146" s="68">
        <v>38534</v>
      </c>
      <c r="B6146" s="6">
        <v>1.0300925925925899E-2</v>
      </c>
      <c r="C6146" s="5">
        <v>158</v>
      </c>
    </row>
    <row r="6147" spans="1:5">
      <c r="A6147" s="68">
        <v>38534</v>
      </c>
      <c r="B6147" s="6">
        <v>1.03587962962963E-2</v>
      </c>
      <c r="C6147" s="5">
        <v>158</v>
      </c>
    </row>
    <row r="6148" spans="1:5">
      <c r="A6148" s="68">
        <v>38534</v>
      </c>
      <c r="B6148" s="6">
        <v>1.0416666666666701E-2</v>
      </c>
      <c r="C6148" s="5">
        <v>158</v>
      </c>
    </row>
    <row r="6149" spans="1:5">
      <c r="A6149" s="68">
        <v>38534</v>
      </c>
      <c r="B6149" s="6">
        <v>1.0474537037036999E-2</v>
      </c>
      <c r="C6149" s="5">
        <v>158</v>
      </c>
    </row>
    <row r="6150" spans="1:5">
      <c r="A6150" s="68">
        <v>38534</v>
      </c>
      <c r="B6150" s="6">
        <v>1.05324074074074E-2</v>
      </c>
      <c r="C6150" s="5">
        <v>159</v>
      </c>
    </row>
    <row r="6151" spans="1:5">
      <c r="A6151" s="68">
        <v>38534</v>
      </c>
      <c r="B6151" s="6">
        <v>1.0590277777777799E-2</v>
      </c>
      <c r="C6151" s="5">
        <v>159</v>
      </c>
    </row>
    <row r="6152" spans="1:5">
      <c r="A6152" s="68">
        <v>38534</v>
      </c>
      <c r="B6152" s="6">
        <v>1.0648148148148099E-2</v>
      </c>
      <c r="C6152" s="5">
        <v>159</v>
      </c>
    </row>
    <row r="6153" spans="1:5">
      <c r="A6153" s="68">
        <v>38534</v>
      </c>
      <c r="B6153" s="6">
        <v>1.07060185185185E-2</v>
      </c>
      <c r="C6153" s="5">
        <v>161</v>
      </c>
    </row>
    <row r="6154" spans="1:5">
      <c r="A6154" s="68">
        <v>38534</v>
      </c>
      <c r="B6154" s="6">
        <v>1.0763888888888899E-2</v>
      </c>
      <c r="C6154" s="5">
        <v>161</v>
      </c>
    </row>
    <row r="6155" spans="1:5">
      <c r="A6155" s="68">
        <v>38534</v>
      </c>
      <c r="B6155" s="6">
        <v>1.08217592592593E-2</v>
      </c>
      <c r="C6155" s="5">
        <v>160</v>
      </c>
    </row>
    <row r="6156" spans="1:5">
      <c r="A6156" s="68">
        <v>38534</v>
      </c>
      <c r="B6156" s="6">
        <v>1.08796296296296E-2</v>
      </c>
      <c r="C6156" s="5">
        <v>160</v>
      </c>
    </row>
    <row r="6157" spans="1:5">
      <c r="A6157" s="68">
        <v>38534</v>
      </c>
      <c r="B6157" s="6">
        <v>1.0937499999999999E-2</v>
      </c>
      <c r="C6157" s="5">
        <v>160</v>
      </c>
    </row>
    <row r="6158" spans="1:5">
      <c r="A6158" s="68">
        <v>38534</v>
      </c>
      <c r="B6158" s="6">
        <v>1.09953703703704E-2</v>
      </c>
      <c r="C6158" s="5">
        <v>161</v>
      </c>
    </row>
    <row r="6159" spans="1:5">
      <c r="A6159" s="68">
        <v>38534</v>
      </c>
      <c r="B6159" s="6">
        <v>1.10532407407407E-2</v>
      </c>
      <c r="C6159" s="5">
        <v>161</v>
      </c>
    </row>
    <row r="6160" spans="1:5">
      <c r="A6160" s="68">
        <v>38534</v>
      </c>
      <c r="B6160" s="6">
        <v>1.1111111111111099E-2</v>
      </c>
      <c r="C6160" s="5">
        <v>161</v>
      </c>
      <c r="D6160" s="232">
        <v>0.6645833333333333</v>
      </c>
      <c r="E6160" s="4">
        <v>152</v>
      </c>
    </row>
    <row r="6161" spans="1:5">
      <c r="A6161" s="68">
        <v>38534</v>
      </c>
      <c r="B6161" s="6">
        <v>1.11689814814815E-2</v>
      </c>
      <c r="C6161" s="5">
        <v>158</v>
      </c>
    </row>
    <row r="6162" spans="1:5">
      <c r="A6162" s="68">
        <v>38534</v>
      </c>
      <c r="B6162" s="6">
        <v>1.1226851851851899E-2</v>
      </c>
      <c r="C6162" s="5">
        <v>154</v>
      </c>
    </row>
    <row r="6163" spans="1:5">
      <c r="A6163" s="68">
        <v>38534</v>
      </c>
      <c r="B6163" s="6">
        <v>1.1284722222222199E-2</v>
      </c>
      <c r="C6163" s="5">
        <v>147</v>
      </c>
    </row>
    <row r="6164" spans="1:5">
      <c r="A6164" s="68">
        <v>38534</v>
      </c>
      <c r="B6164" s="6">
        <v>1.13425925925926E-2</v>
      </c>
      <c r="C6164" s="5">
        <v>144</v>
      </c>
    </row>
    <row r="6165" spans="1:5">
      <c r="A6165" s="68">
        <v>38534</v>
      </c>
      <c r="B6165" s="6">
        <v>1.1400462962962999E-2</v>
      </c>
      <c r="C6165" s="5">
        <v>144</v>
      </c>
    </row>
    <row r="6166" spans="1:5">
      <c r="A6166" s="68">
        <v>38534</v>
      </c>
      <c r="B6166" s="6">
        <v>1.14583333333333E-2</v>
      </c>
      <c r="C6166" s="5">
        <v>120</v>
      </c>
    </row>
    <row r="6167" spans="1:5">
      <c r="A6167" s="68">
        <v>38534</v>
      </c>
      <c r="B6167" s="6">
        <v>1.15162037037037E-2</v>
      </c>
      <c r="C6167" s="5">
        <v>117</v>
      </c>
    </row>
    <row r="6168" spans="1:5">
      <c r="A6168" s="68">
        <v>38534</v>
      </c>
      <c r="B6168" s="6">
        <v>1.1574074074074099E-2</v>
      </c>
      <c r="C6168" s="5">
        <v>115</v>
      </c>
    </row>
    <row r="6169" spans="1:5">
      <c r="A6169" s="68">
        <v>38534</v>
      </c>
      <c r="B6169" s="6">
        <v>1.16319444444444E-2</v>
      </c>
      <c r="C6169" s="5">
        <v>114</v>
      </c>
    </row>
    <row r="6170" spans="1:5">
      <c r="A6170" s="68">
        <v>38534</v>
      </c>
      <c r="B6170" s="6">
        <v>1.16898148148148E-2</v>
      </c>
      <c r="C6170" s="5">
        <v>112</v>
      </c>
    </row>
    <row r="6171" spans="1:5">
      <c r="A6171" s="68">
        <v>38534</v>
      </c>
      <c r="B6171" s="6">
        <v>1.17476851851852E-2</v>
      </c>
      <c r="C6171" s="5">
        <v>109</v>
      </c>
    </row>
    <row r="6172" spans="1:5">
      <c r="A6172" s="68">
        <v>38534</v>
      </c>
      <c r="B6172" s="6">
        <v>1.18055555555556E-2</v>
      </c>
      <c r="C6172" s="5">
        <v>107</v>
      </c>
      <c r="D6172" s="232">
        <v>0.70694444444444438</v>
      </c>
      <c r="E6172" s="4">
        <v>134</v>
      </c>
    </row>
    <row r="6173" spans="1:5">
      <c r="A6173" s="68">
        <v>38534</v>
      </c>
      <c r="B6173" s="6">
        <v>1.1863425925925901E-2</v>
      </c>
      <c r="C6173" s="5">
        <v>119</v>
      </c>
    </row>
    <row r="6174" spans="1:5">
      <c r="A6174" s="68">
        <v>38534</v>
      </c>
      <c r="B6174" s="6">
        <v>1.19212962962963E-2</v>
      </c>
      <c r="C6174" s="5">
        <v>126</v>
      </c>
    </row>
    <row r="6175" spans="1:5">
      <c r="A6175" s="68">
        <v>38534</v>
      </c>
      <c r="B6175" s="6">
        <v>1.19791666666667E-2</v>
      </c>
      <c r="C6175" s="5">
        <v>132</v>
      </c>
    </row>
    <row r="6176" spans="1:5">
      <c r="A6176" s="68">
        <v>38534</v>
      </c>
      <c r="B6176" s="6">
        <v>1.2037037037037001E-2</v>
      </c>
      <c r="C6176" s="5">
        <v>132</v>
      </c>
    </row>
    <row r="6177" spans="1:3">
      <c r="A6177" s="68">
        <v>38534</v>
      </c>
      <c r="B6177" s="6">
        <v>1.20949074074074E-2</v>
      </c>
      <c r="C6177" s="5">
        <v>144</v>
      </c>
    </row>
    <row r="6178" spans="1:3">
      <c r="A6178" s="68">
        <v>38534</v>
      </c>
      <c r="B6178" s="6">
        <v>1.2152777777777801E-2</v>
      </c>
      <c r="C6178" s="5">
        <v>145</v>
      </c>
    </row>
    <row r="6179" spans="1:3">
      <c r="A6179" s="68">
        <v>38534</v>
      </c>
      <c r="B6179" s="6">
        <v>1.2210648148148101E-2</v>
      </c>
      <c r="C6179" s="5">
        <v>149</v>
      </c>
    </row>
    <row r="6180" spans="1:3">
      <c r="A6180" s="68">
        <v>38534</v>
      </c>
      <c r="B6180" s="6">
        <v>1.22685185185185E-2</v>
      </c>
      <c r="C6180" s="5">
        <v>151</v>
      </c>
    </row>
    <row r="6181" spans="1:3">
      <c r="A6181" s="68">
        <v>38534</v>
      </c>
      <c r="B6181" s="6">
        <v>1.2326388888888901E-2</v>
      </c>
      <c r="C6181" s="5">
        <v>151</v>
      </c>
    </row>
    <row r="6182" spans="1:3">
      <c r="A6182" s="68">
        <v>38534</v>
      </c>
      <c r="B6182" s="6">
        <v>1.23842592592593E-2</v>
      </c>
      <c r="C6182" s="5">
        <v>153</v>
      </c>
    </row>
    <row r="6183" spans="1:3">
      <c r="A6183" s="68">
        <v>38534</v>
      </c>
      <c r="B6183" s="6">
        <v>1.24421296296296E-2</v>
      </c>
      <c r="C6183" s="5">
        <v>154</v>
      </c>
    </row>
    <row r="6184" spans="1:3">
      <c r="A6184" s="68">
        <v>38534</v>
      </c>
      <c r="B6184" s="6">
        <v>1.2500000000000001E-2</v>
      </c>
      <c r="C6184" s="5">
        <v>156</v>
      </c>
    </row>
    <row r="6185" spans="1:3">
      <c r="A6185" s="68">
        <v>38534</v>
      </c>
      <c r="B6185" s="6">
        <v>1.25578703703704E-2</v>
      </c>
      <c r="C6185" s="5">
        <v>158</v>
      </c>
    </row>
    <row r="6186" spans="1:3">
      <c r="A6186" s="68">
        <v>38534</v>
      </c>
      <c r="B6186" s="6">
        <v>1.26157407407407E-2</v>
      </c>
      <c r="C6186" s="5">
        <v>160</v>
      </c>
    </row>
    <row r="6187" spans="1:3">
      <c r="A6187" s="68">
        <v>38534</v>
      </c>
      <c r="B6187" s="6">
        <v>1.2673611111111101E-2</v>
      </c>
      <c r="C6187" s="5">
        <v>162</v>
      </c>
    </row>
    <row r="6188" spans="1:3">
      <c r="A6188" s="68">
        <v>38534</v>
      </c>
      <c r="B6188" s="6">
        <v>1.27314814814815E-2</v>
      </c>
      <c r="C6188" s="5">
        <v>163</v>
      </c>
    </row>
    <row r="6189" spans="1:3">
      <c r="A6189" s="68">
        <v>38534</v>
      </c>
      <c r="B6189" s="6">
        <v>1.2789351851851901E-2</v>
      </c>
      <c r="C6189" s="5">
        <v>163</v>
      </c>
    </row>
    <row r="6190" spans="1:3">
      <c r="A6190" s="68">
        <v>38534</v>
      </c>
      <c r="B6190" s="6">
        <v>1.2847222222222201E-2</v>
      </c>
      <c r="C6190" s="5">
        <v>164</v>
      </c>
    </row>
    <row r="6191" spans="1:3">
      <c r="A6191" s="68">
        <v>38534</v>
      </c>
      <c r="B6191" s="6">
        <v>1.29050925925926E-2</v>
      </c>
      <c r="C6191" s="5">
        <v>164</v>
      </c>
    </row>
    <row r="6192" spans="1:3">
      <c r="A6192" s="68">
        <v>38534</v>
      </c>
      <c r="B6192" s="6">
        <v>1.2962962962963001E-2</v>
      </c>
      <c r="C6192" s="5">
        <v>164</v>
      </c>
    </row>
    <row r="6193" spans="1:3">
      <c r="A6193" s="68">
        <v>38534</v>
      </c>
      <c r="B6193" s="6">
        <v>1.3020833333333299E-2</v>
      </c>
      <c r="C6193" s="5">
        <v>163</v>
      </c>
    </row>
    <row r="6194" spans="1:3">
      <c r="A6194" s="68">
        <v>38534</v>
      </c>
      <c r="B6194" s="6">
        <v>1.30787037037037E-2</v>
      </c>
      <c r="C6194" s="5">
        <v>163</v>
      </c>
    </row>
    <row r="6195" spans="1:3">
      <c r="A6195" s="68">
        <v>38534</v>
      </c>
      <c r="B6195" s="6">
        <v>1.3136574074074101E-2</v>
      </c>
      <c r="C6195" s="5">
        <v>164</v>
      </c>
    </row>
    <row r="6196" spans="1:3">
      <c r="A6196" s="68">
        <v>38534</v>
      </c>
      <c r="B6196" s="6">
        <v>1.3194444444444399E-2</v>
      </c>
      <c r="C6196" s="5">
        <v>164</v>
      </c>
    </row>
    <row r="6197" spans="1:3">
      <c r="A6197" s="68">
        <v>38534</v>
      </c>
      <c r="B6197" s="6">
        <v>1.32523148148148E-2</v>
      </c>
      <c r="C6197" s="5">
        <v>164</v>
      </c>
    </row>
    <row r="6198" spans="1:3">
      <c r="A6198" s="68">
        <v>38534</v>
      </c>
      <c r="B6198" s="6">
        <v>1.3310185185185199E-2</v>
      </c>
      <c r="C6198" s="5">
        <v>164</v>
      </c>
    </row>
    <row r="6199" spans="1:3">
      <c r="A6199" s="68">
        <v>38534</v>
      </c>
      <c r="B6199" s="6">
        <v>1.33680555555556E-2</v>
      </c>
      <c r="C6199" s="5">
        <v>164</v>
      </c>
    </row>
    <row r="6200" spans="1:3">
      <c r="A6200" s="68">
        <v>38534</v>
      </c>
      <c r="B6200" s="6">
        <v>1.34259259259259E-2</v>
      </c>
      <c r="C6200" s="5">
        <v>164</v>
      </c>
    </row>
    <row r="6201" spans="1:3">
      <c r="A6201" s="68">
        <v>38534</v>
      </c>
      <c r="B6201" s="6">
        <v>1.3483796296296299E-2</v>
      </c>
      <c r="C6201" s="5">
        <v>163</v>
      </c>
    </row>
    <row r="6202" spans="1:3">
      <c r="A6202" s="68">
        <v>38534</v>
      </c>
      <c r="B6202" s="6">
        <v>1.35416666666667E-2</v>
      </c>
      <c r="C6202" s="5">
        <v>164</v>
      </c>
    </row>
    <row r="6203" spans="1:3">
      <c r="A6203" s="68">
        <v>38534</v>
      </c>
      <c r="B6203" s="6">
        <v>1.3599537037037E-2</v>
      </c>
      <c r="C6203" s="5">
        <v>166</v>
      </c>
    </row>
    <row r="6204" spans="1:3">
      <c r="A6204" s="68">
        <v>38534</v>
      </c>
      <c r="B6204" s="6">
        <v>1.3657407407407399E-2</v>
      </c>
      <c r="C6204" s="5">
        <v>166</v>
      </c>
    </row>
    <row r="6205" spans="1:3">
      <c r="A6205" s="68">
        <v>38534</v>
      </c>
      <c r="B6205" s="6">
        <v>1.37152777777778E-2</v>
      </c>
      <c r="C6205" s="5">
        <v>166</v>
      </c>
    </row>
    <row r="6206" spans="1:3">
      <c r="A6206" s="68">
        <v>38534</v>
      </c>
      <c r="B6206" s="6">
        <v>1.37731481481481E-2</v>
      </c>
      <c r="C6206" s="5">
        <v>166</v>
      </c>
    </row>
    <row r="6207" spans="1:3">
      <c r="A6207" s="68">
        <v>38534</v>
      </c>
      <c r="B6207" s="6">
        <v>1.3831018518518499E-2</v>
      </c>
      <c r="C6207" s="5">
        <v>166</v>
      </c>
    </row>
    <row r="6208" spans="1:3">
      <c r="A6208" s="68">
        <v>38534</v>
      </c>
      <c r="B6208" s="6">
        <v>1.38888888888889E-2</v>
      </c>
      <c r="C6208" s="5">
        <v>165</v>
      </c>
    </row>
    <row r="6209" spans="1:5">
      <c r="A6209" s="68">
        <v>38534</v>
      </c>
      <c r="B6209" s="6">
        <v>1.3946759259259299E-2</v>
      </c>
      <c r="C6209" s="5">
        <v>165</v>
      </c>
    </row>
    <row r="6210" spans="1:5">
      <c r="A6210" s="68">
        <v>38534</v>
      </c>
      <c r="B6210" s="6">
        <v>1.40046296296296E-2</v>
      </c>
      <c r="C6210" s="5">
        <v>163</v>
      </c>
    </row>
    <row r="6211" spans="1:5">
      <c r="A6211" s="68">
        <v>38534</v>
      </c>
      <c r="B6211" s="6">
        <v>1.40625E-2</v>
      </c>
      <c r="C6211" s="5">
        <v>164</v>
      </c>
    </row>
    <row r="6212" spans="1:5">
      <c r="A6212" s="68">
        <v>38534</v>
      </c>
      <c r="B6212" s="6">
        <v>1.4120370370370399E-2</v>
      </c>
      <c r="C6212" s="5">
        <v>163</v>
      </c>
    </row>
    <row r="6213" spans="1:5">
      <c r="A6213" s="68">
        <v>38534</v>
      </c>
      <c r="B6213" s="6">
        <v>1.41782407407407E-2</v>
      </c>
      <c r="C6213" s="5">
        <v>164</v>
      </c>
    </row>
    <row r="6214" spans="1:5">
      <c r="A6214" s="68">
        <v>38534</v>
      </c>
      <c r="B6214" s="6">
        <v>1.42361111111111E-2</v>
      </c>
      <c r="C6214" s="5">
        <v>164</v>
      </c>
    </row>
    <row r="6215" spans="1:5">
      <c r="A6215" s="68">
        <v>38534</v>
      </c>
      <c r="B6215" s="6">
        <v>1.42939814814815E-2</v>
      </c>
      <c r="C6215" s="5">
        <v>165</v>
      </c>
    </row>
    <row r="6216" spans="1:5">
      <c r="A6216" s="68">
        <v>38534</v>
      </c>
      <c r="B6216" s="6">
        <v>1.43518518518519E-2</v>
      </c>
      <c r="C6216" s="5">
        <v>166</v>
      </c>
    </row>
    <row r="6217" spans="1:5">
      <c r="A6217" s="68">
        <v>38534</v>
      </c>
      <c r="B6217" s="6">
        <v>1.4409722222222201E-2</v>
      </c>
      <c r="C6217" s="5">
        <v>166</v>
      </c>
    </row>
    <row r="6218" spans="1:5">
      <c r="A6218" s="68">
        <v>38534</v>
      </c>
      <c r="B6218" s="6">
        <v>1.44675925925926E-2</v>
      </c>
      <c r="C6218" s="5">
        <v>163</v>
      </c>
    </row>
    <row r="6219" spans="1:5">
      <c r="A6219" s="68">
        <v>38534</v>
      </c>
      <c r="B6219" s="6">
        <v>1.4525462962963E-2</v>
      </c>
      <c r="C6219" s="5">
        <v>164</v>
      </c>
    </row>
    <row r="6220" spans="1:5">
      <c r="A6220" s="68">
        <v>38534</v>
      </c>
      <c r="B6220" s="6">
        <v>1.4583333333333301E-2</v>
      </c>
      <c r="C6220" s="5">
        <v>165</v>
      </c>
    </row>
    <row r="6221" spans="1:5">
      <c r="A6221" s="68">
        <v>38534</v>
      </c>
      <c r="B6221" s="6">
        <v>1.46412037037037E-2</v>
      </c>
      <c r="C6221" s="5">
        <v>165</v>
      </c>
    </row>
    <row r="6222" spans="1:5">
      <c r="A6222" s="68">
        <v>38534</v>
      </c>
      <c r="B6222" s="6">
        <v>1.46990740740741E-2</v>
      </c>
      <c r="C6222" s="5">
        <v>165</v>
      </c>
    </row>
    <row r="6223" spans="1:5">
      <c r="A6223" s="68">
        <v>38534</v>
      </c>
      <c r="B6223" s="6">
        <v>1.4756944444444401E-2</v>
      </c>
      <c r="C6223" s="5">
        <v>164</v>
      </c>
    </row>
    <row r="6224" spans="1:5">
      <c r="A6224" s="68">
        <v>38534</v>
      </c>
      <c r="B6224" s="6">
        <v>1.48148148148148E-2</v>
      </c>
      <c r="C6224" s="5">
        <v>165</v>
      </c>
      <c r="D6224" s="232">
        <v>0.88749999999999996</v>
      </c>
      <c r="E6224" s="4">
        <v>157</v>
      </c>
    </row>
    <row r="6225" spans="1:5">
      <c r="A6225" s="68">
        <v>38534</v>
      </c>
      <c r="B6225" s="6">
        <v>1.4872685185185201E-2</v>
      </c>
      <c r="C6225" s="5">
        <v>165</v>
      </c>
    </row>
    <row r="6226" spans="1:5">
      <c r="A6226" s="68">
        <v>38534</v>
      </c>
      <c r="B6226" s="6">
        <v>1.49305555555556E-2</v>
      </c>
      <c r="C6226" s="5">
        <v>161</v>
      </c>
    </row>
    <row r="6227" spans="1:5">
      <c r="A6227" s="68">
        <v>38534</v>
      </c>
      <c r="B6227" s="6">
        <v>1.49884259259259E-2</v>
      </c>
      <c r="C6227" s="5">
        <v>151</v>
      </c>
    </row>
    <row r="6228" spans="1:5">
      <c r="A6228" s="68">
        <v>38534</v>
      </c>
      <c r="B6228" s="6">
        <v>1.5046296296296301E-2</v>
      </c>
      <c r="C6228" s="5">
        <v>151</v>
      </c>
    </row>
    <row r="6229" spans="1:5">
      <c r="A6229" s="68">
        <v>38534</v>
      </c>
      <c r="B6229" s="6">
        <v>1.51041666666667E-2</v>
      </c>
      <c r="C6229" s="5">
        <v>133</v>
      </c>
    </row>
    <row r="6230" spans="1:5">
      <c r="A6230" s="68">
        <v>38534</v>
      </c>
      <c r="B6230" s="6">
        <v>1.5162037037037E-2</v>
      </c>
      <c r="C6230" s="5">
        <v>126</v>
      </c>
    </row>
    <row r="6231" spans="1:5">
      <c r="A6231" s="68">
        <v>38534</v>
      </c>
      <c r="B6231" s="6">
        <v>1.5219907407407401E-2</v>
      </c>
      <c r="C6231" s="5">
        <v>123</v>
      </c>
    </row>
    <row r="6232" spans="1:5">
      <c r="A6232" s="68">
        <v>38534</v>
      </c>
      <c r="B6232" s="6">
        <v>1.52777777777778E-2</v>
      </c>
      <c r="C6232" s="5">
        <v>121</v>
      </c>
    </row>
    <row r="6233" spans="1:5">
      <c r="A6233" s="68">
        <v>38534</v>
      </c>
      <c r="B6233" s="6">
        <v>1.53356481481481E-2</v>
      </c>
      <c r="C6233" s="5">
        <v>118</v>
      </c>
    </row>
    <row r="6234" spans="1:5">
      <c r="A6234" s="68">
        <v>38534</v>
      </c>
      <c r="B6234" s="6">
        <v>1.5393518518518501E-2</v>
      </c>
      <c r="C6234" s="5">
        <v>117</v>
      </c>
    </row>
    <row r="6235" spans="1:5">
      <c r="A6235" s="68">
        <v>38534</v>
      </c>
      <c r="B6235" s="6">
        <v>1.54513888888889E-2</v>
      </c>
      <c r="C6235" s="5">
        <v>117</v>
      </c>
    </row>
    <row r="6236" spans="1:5">
      <c r="A6236" s="68">
        <v>38534</v>
      </c>
      <c r="B6236" s="6">
        <v>1.5509259259259301E-2</v>
      </c>
      <c r="C6236" s="5">
        <v>114</v>
      </c>
      <c r="D6236" s="232">
        <v>0.92986111111111114</v>
      </c>
      <c r="E6236" s="4">
        <v>140</v>
      </c>
    </row>
    <row r="6237" spans="1:5">
      <c r="A6237" s="68">
        <v>38534</v>
      </c>
      <c r="B6237" s="6">
        <v>1.5567129629629599E-2</v>
      </c>
      <c r="C6237" s="5">
        <v>123</v>
      </c>
    </row>
    <row r="6238" spans="1:5">
      <c r="A6238" s="68">
        <v>38534</v>
      </c>
      <c r="B6238" s="6">
        <v>1.5625E-2</v>
      </c>
      <c r="C6238" s="5">
        <v>123</v>
      </c>
    </row>
    <row r="6239" spans="1:5">
      <c r="A6239" s="68">
        <v>38534</v>
      </c>
      <c r="B6239" s="6">
        <v>1.5682870370370399E-2</v>
      </c>
      <c r="C6239" s="5">
        <v>142</v>
      </c>
    </row>
    <row r="6240" spans="1:5">
      <c r="A6240" s="68">
        <v>38534</v>
      </c>
      <c r="B6240" s="6">
        <v>1.5740740740740701E-2</v>
      </c>
      <c r="C6240" s="5">
        <v>147</v>
      </c>
    </row>
    <row r="6241" spans="1:3">
      <c r="A6241" s="68">
        <v>38534</v>
      </c>
      <c r="B6241" s="6">
        <v>1.57986111111111E-2</v>
      </c>
      <c r="C6241" s="5">
        <v>147</v>
      </c>
    </row>
    <row r="6242" spans="1:3">
      <c r="A6242" s="68">
        <v>38534</v>
      </c>
      <c r="B6242" s="6">
        <v>1.5856481481481499E-2</v>
      </c>
      <c r="C6242" s="5">
        <v>154</v>
      </c>
    </row>
    <row r="6243" spans="1:3">
      <c r="A6243" s="68">
        <v>38534</v>
      </c>
      <c r="B6243" s="6">
        <v>1.5914351851851801E-2</v>
      </c>
      <c r="C6243" s="5">
        <v>155</v>
      </c>
    </row>
    <row r="6244" spans="1:3">
      <c r="A6244" s="68">
        <v>38534</v>
      </c>
      <c r="B6244" s="6">
        <v>1.59722222222222E-2</v>
      </c>
      <c r="C6244" s="5">
        <v>157</v>
      </c>
    </row>
    <row r="6245" spans="1:3">
      <c r="A6245" s="68">
        <v>38534</v>
      </c>
      <c r="B6245" s="6">
        <v>1.6030092592592599E-2</v>
      </c>
      <c r="C6245" s="5">
        <v>159</v>
      </c>
    </row>
    <row r="6246" spans="1:3">
      <c r="A6246" s="68">
        <v>38534</v>
      </c>
      <c r="B6246" s="6">
        <v>1.6087962962962998E-2</v>
      </c>
      <c r="C6246" s="5">
        <v>160</v>
      </c>
    </row>
    <row r="6247" spans="1:3">
      <c r="A6247" s="68">
        <v>38534</v>
      </c>
      <c r="B6247" s="6">
        <v>1.61458333333333E-2</v>
      </c>
      <c r="C6247" s="5">
        <v>162</v>
      </c>
    </row>
    <row r="6248" spans="1:3">
      <c r="A6248" s="68">
        <v>38534</v>
      </c>
      <c r="B6248" s="6">
        <v>1.6203703703703699E-2</v>
      </c>
      <c r="C6248" s="5">
        <v>163</v>
      </c>
    </row>
    <row r="6249" spans="1:3">
      <c r="A6249" s="68">
        <v>38534</v>
      </c>
      <c r="B6249" s="6">
        <v>1.6261574074074098E-2</v>
      </c>
      <c r="C6249" s="5">
        <v>164</v>
      </c>
    </row>
    <row r="6250" spans="1:3">
      <c r="A6250" s="68">
        <v>38534</v>
      </c>
      <c r="B6250" s="6">
        <v>1.63194444444444E-2</v>
      </c>
      <c r="C6250" s="5">
        <v>164</v>
      </c>
    </row>
    <row r="6251" spans="1:3">
      <c r="A6251" s="68">
        <v>38534</v>
      </c>
      <c r="B6251" s="6">
        <v>1.6377314814814799E-2</v>
      </c>
      <c r="C6251" s="5">
        <v>164</v>
      </c>
    </row>
    <row r="6252" spans="1:3">
      <c r="A6252" s="68">
        <v>38534</v>
      </c>
      <c r="B6252" s="6">
        <v>1.6435185185185198E-2</v>
      </c>
      <c r="C6252" s="5">
        <v>165</v>
      </c>
    </row>
    <row r="6253" spans="1:3">
      <c r="A6253" s="68">
        <v>38534</v>
      </c>
      <c r="B6253" s="6">
        <v>1.6493055555555601E-2</v>
      </c>
      <c r="C6253" s="5">
        <v>165</v>
      </c>
    </row>
    <row r="6254" spans="1:3">
      <c r="A6254" s="68">
        <v>38534</v>
      </c>
      <c r="B6254" s="6">
        <v>1.65509259259259E-2</v>
      </c>
      <c r="C6254" s="5">
        <v>165</v>
      </c>
    </row>
    <row r="6255" spans="1:3">
      <c r="A6255" s="68">
        <v>38534</v>
      </c>
      <c r="B6255" s="6">
        <v>1.6608796296296299E-2</v>
      </c>
      <c r="C6255" s="5">
        <v>165</v>
      </c>
    </row>
    <row r="6256" spans="1:3">
      <c r="A6256" s="68">
        <v>38534</v>
      </c>
      <c r="B6256" s="6">
        <v>1.6666666666666701E-2</v>
      </c>
      <c r="C6256" s="5">
        <v>164</v>
      </c>
    </row>
    <row r="6257" spans="1:3">
      <c r="A6257" s="68">
        <v>38534</v>
      </c>
      <c r="B6257" s="6">
        <v>1.6724537037037E-2</v>
      </c>
      <c r="C6257" s="5">
        <v>166</v>
      </c>
    </row>
    <row r="6258" spans="1:3">
      <c r="A6258" s="68">
        <v>38534</v>
      </c>
      <c r="B6258" s="6">
        <v>1.6782407407407399E-2</v>
      </c>
      <c r="C6258" s="5">
        <v>166</v>
      </c>
    </row>
    <row r="6259" spans="1:3">
      <c r="A6259" s="68">
        <v>38534</v>
      </c>
      <c r="B6259" s="6">
        <v>1.6840277777777801E-2</v>
      </c>
      <c r="C6259" s="5">
        <v>166</v>
      </c>
    </row>
    <row r="6260" spans="1:3">
      <c r="A6260" s="68">
        <v>38534</v>
      </c>
      <c r="B6260" s="6">
        <v>1.68981481481481E-2</v>
      </c>
      <c r="C6260" s="5">
        <v>167</v>
      </c>
    </row>
    <row r="6261" spans="1:3">
      <c r="A6261" s="68">
        <v>38534</v>
      </c>
      <c r="B6261" s="6">
        <v>1.6956018518518499E-2</v>
      </c>
      <c r="C6261" s="5">
        <v>166</v>
      </c>
    </row>
    <row r="6262" spans="1:3">
      <c r="A6262" s="68">
        <v>38534</v>
      </c>
      <c r="B6262" s="6">
        <v>1.7013888888888901E-2</v>
      </c>
      <c r="C6262" s="5">
        <v>168</v>
      </c>
    </row>
    <row r="6263" spans="1:3">
      <c r="A6263" s="68">
        <v>38534</v>
      </c>
      <c r="B6263" s="6">
        <v>1.70717592592593E-2</v>
      </c>
      <c r="C6263" s="5">
        <v>168</v>
      </c>
    </row>
    <row r="6264" spans="1:3">
      <c r="A6264" s="68">
        <v>38534</v>
      </c>
      <c r="B6264" s="6">
        <v>1.7129629629629599E-2</v>
      </c>
      <c r="C6264" s="5">
        <v>169</v>
      </c>
    </row>
    <row r="6265" spans="1:3">
      <c r="A6265" s="68">
        <v>38534</v>
      </c>
      <c r="B6265" s="6">
        <v>1.7187500000000001E-2</v>
      </c>
      <c r="C6265" s="5">
        <v>168</v>
      </c>
    </row>
    <row r="6266" spans="1:3">
      <c r="A6266" s="68">
        <v>38534</v>
      </c>
      <c r="B6266" s="6">
        <v>1.72453703703704E-2</v>
      </c>
      <c r="C6266" s="5">
        <v>169</v>
      </c>
    </row>
    <row r="6267" spans="1:3">
      <c r="A6267" s="68">
        <v>38534</v>
      </c>
      <c r="B6267" s="6">
        <v>1.7303240740740699E-2</v>
      </c>
      <c r="C6267" s="5">
        <v>168</v>
      </c>
    </row>
    <row r="6268" spans="1:3">
      <c r="A6268" s="68">
        <v>38534</v>
      </c>
      <c r="B6268" s="6">
        <v>1.7361111111111101E-2</v>
      </c>
      <c r="C6268" s="5">
        <v>168</v>
      </c>
    </row>
    <row r="6269" spans="1:3">
      <c r="A6269" s="68">
        <v>38534</v>
      </c>
      <c r="B6269" s="6">
        <v>1.7418981481481501E-2</v>
      </c>
      <c r="C6269" s="5">
        <v>169</v>
      </c>
    </row>
    <row r="6270" spans="1:3">
      <c r="A6270" s="68">
        <v>38534</v>
      </c>
      <c r="B6270" s="6">
        <v>1.74768518518519E-2</v>
      </c>
      <c r="C6270" s="5">
        <v>169</v>
      </c>
    </row>
    <row r="6271" spans="1:3">
      <c r="A6271" s="68">
        <v>38534</v>
      </c>
      <c r="B6271" s="6">
        <v>1.7534722222222202E-2</v>
      </c>
      <c r="C6271" s="5">
        <v>169</v>
      </c>
    </row>
    <row r="6272" spans="1:3">
      <c r="A6272" s="68">
        <v>38534</v>
      </c>
      <c r="B6272" s="6">
        <v>1.7592592592592601E-2</v>
      </c>
      <c r="C6272" s="5">
        <v>169</v>
      </c>
    </row>
    <row r="6273" spans="1:5">
      <c r="A6273" s="68">
        <v>38534</v>
      </c>
      <c r="B6273" s="6">
        <v>1.7650462962963E-2</v>
      </c>
      <c r="C6273" s="5">
        <v>169</v>
      </c>
    </row>
    <row r="6274" spans="1:5">
      <c r="A6274" s="68">
        <v>38534</v>
      </c>
      <c r="B6274" s="6">
        <v>1.7708333333333302E-2</v>
      </c>
      <c r="C6274" s="5">
        <v>169</v>
      </c>
    </row>
    <row r="6275" spans="1:5">
      <c r="A6275" s="68">
        <v>38534</v>
      </c>
      <c r="B6275" s="6">
        <v>1.7766203703703701E-2</v>
      </c>
      <c r="C6275" s="5">
        <v>169</v>
      </c>
    </row>
    <row r="6276" spans="1:5">
      <c r="A6276" s="68">
        <v>38534</v>
      </c>
      <c r="B6276" s="6">
        <v>1.78240740740741E-2</v>
      </c>
      <c r="C6276" s="5">
        <v>169</v>
      </c>
    </row>
    <row r="6277" spans="1:5">
      <c r="A6277" s="68">
        <v>38534</v>
      </c>
      <c r="B6277" s="6">
        <v>1.7881944444444402E-2</v>
      </c>
      <c r="C6277" s="5">
        <v>169</v>
      </c>
    </row>
    <row r="6278" spans="1:5">
      <c r="A6278" s="68">
        <v>38534</v>
      </c>
      <c r="B6278" s="6">
        <v>1.7939814814814801E-2</v>
      </c>
      <c r="C6278" s="5">
        <v>170</v>
      </c>
    </row>
    <row r="6279" spans="1:5">
      <c r="A6279" s="68">
        <v>38534</v>
      </c>
      <c r="B6279" s="6">
        <v>1.79976851851852E-2</v>
      </c>
      <c r="C6279" s="5">
        <v>170</v>
      </c>
    </row>
    <row r="6280" spans="1:5">
      <c r="A6280" s="68">
        <v>38534</v>
      </c>
      <c r="B6280" s="6">
        <v>1.8055555555555599E-2</v>
      </c>
      <c r="C6280" s="5">
        <v>168</v>
      </c>
    </row>
    <row r="6281" spans="1:5">
      <c r="A6281" s="68">
        <v>38534</v>
      </c>
      <c r="B6281" s="6">
        <v>1.8113425925925901E-2</v>
      </c>
      <c r="C6281" s="5">
        <v>168</v>
      </c>
    </row>
    <row r="6282" spans="1:5">
      <c r="A6282" s="68">
        <v>38534</v>
      </c>
      <c r="B6282" s="6">
        <v>1.81712962962963E-2</v>
      </c>
      <c r="C6282" s="5">
        <v>168</v>
      </c>
    </row>
    <row r="6283" spans="1:5">
      <c r="A6283" s="68">
        <v>38534</v>
      </c>
      <c r="B6283" s="6">
        <v>1.8229166666666699E-2</v>
      </c>
      <c r="C6283" s="5">
        <v>168</v>
      </c>
    </row>
    <row r="6284" spans="1:5">
      <c r="A6284" s="68">
        <v>38534</v>
      </c>
      <c r="B6284" s="6">
        <v>1.8287037037037001E-2</v>
      </c>
      <c r="C6284" s="5">
        <v>167</v>
      </c>
    </row>
    <row r="6285" spans="1:5">
      <c r="A6285" s="68">
        <v>38534</v>
      </c>
      <c r="B6285" s="6">
        <v>1.83449074074074E-2</v>
      </c>
      <c r="C6285" s="5">
        <v>167</v>
      </c>
    </row>
    <row r="6286" spans="1:5">
      <c r="A6286" s="68">
        <v>38534</v>
      </c>
      <c r="B6286" s="6">
        <v>1.8402777777777799E-2</v>
      </c>
      <c r="C6286" s="5">
        <v>168</v>
      </c>
    </row>
    <row r="6287" spans="1:5">
      <c r="A6287" s="68">
        <v>38534</v>
      </c>
      <c r="B6287" s="6">
        <v>1.8460648148148101E-2</v>
      </c>
      <c r="C6287" s="5">
        <v>168</v>
      </c>
      <c r="D6287" s="233">
        <v>1.8425925925925925E-2</v>
      </c>
      <c r="E6287" s="4">
        <v>161</v>
      </c>
    </row>
    <row r="6288" spans="1:5">
      <c r="A6288" s="68">
        <v>38534</v>
      </c>
      <c r="B6288" s="6">
        <v>1.85185185185185E-2</v>
      </c>
      <c r="C6288" s="5">
        <v>165</v>
      </c>
    </row>
    <row r="6289" spans="1:5">
      <c r="A6289" s="68">
        <v>38534</v>
      </c>
      <c r="B6289" s="6">
        <v>1.8576388888888899E-2</v>
      </c>
      <c r="C6289" s="5">
        <v>162</v>
      </c>
    </row>
    <row r="6290" spans="1:5">
      <c r="A6290" s="68">
        <v>38534</v>
      </c>
      <c r="B6290" s="6">
        <v>1.8634259259259298E-2</v>
      </c>
      <c r="C6290" s="5">
        <v>157</v>
      </c>
    </row>
    <row r="6291" spans="1:5">
      <c r="A6291" s="68">
        <v>38534</v>
      </c>
      <c r="B6291" s="6">
        <v>1.86921296296296E-2</v>
      </c>
      <c r="C6291" s="5">
        <v>151</v>
      </c>
    </row>
    <row r="6292" spans="1:5">
      <c r="A6292" s="68">
        <v>38534</v>
      </c>
      <c r="B6292" s="6">
        <v>1.8749999999999999E-2</v>
      </c>
      <c r="C6292" s="5">
        <v>143</v>
      </c>
    </row>
    <row r="6293" spans="1:5">
      <c r="A6293" s="68">
        <v>38534</v>
      </c>
      <c r="B6293" s="6">
        <v>1.8807870370370398E-2</v>
      </c>
      <c r="C6293" s="5">
        <v>136</v>
      </c>
    </row>
    <row r="6294" spans="1:5">
      <c r="A6294" s="68">
        <v>38534</v>
      </c>
      <c r="B6294" s="6">
        <v>1.88657407407407E-2</v>
      </c>
      <c r="C6294" s="5">
        <v>129</v>
      </c>
    </row>
    <row r="6295" spans="1:5">
      <c r="A6295" s="68">
        <v>38534</v>
      </c>
      <c r="B6295" s="6">
        <v>1.8923611111111099E-2</v>
      </c>
      <c r="C6295" s="5">
        <v>124</v>
      </c>
    </row>
    <row r="6296" spans="1:5">
      <c r="A6296" s="68">
        <v>38534</v>
      </c>
      <c r="B6296" s="6">
        <v>1.8981481481481498E-2</v>
      </c>
      <c r="C6296" s="5">
        <v>120</v>
      </c>
    </row>
    <row r="6297" spans="1:5">
      <c r="A6297" s="68">
        <v>38534</v>
      </c>
      <c r="B6297" s="6">
        <v>1.90393518518518E-2</v>
      </c>
      <c r="C6297" s="5">
        <v>122</v>
      </c>
    </row>
    <row r="6298" spans="1:5">
      <c r="A6298" s="68">
        <v>38534</v>
      </c>
      <c r="B6298" s="6">
        <v>1.9097222222222199E-2</v>
      </c>
      <c r="C6298" s="5">
        <v>120</v>
      </c>
    </row>
    <row r="6299" spans="1:5">
      <c r="A6299" s="68">
        <v>38534</v>
      </c>
      <c r="B6299" s="6">
        <v>1.9155092592592599E-2</v>
      </c>
      <c r="C6299" s="5">
        <v>119</v>
      </c>
      <c r="D6299" s="233">
        <v>1.9131944444444444E-2</v>
      </c>
      <c r="E6299" s="4">
        <v>142</v>
      </c>
    </row>
    <row r="6300" spans="1:5">
      <c r="A6300" s="68">
        <v>38534</v>
      </c>
      <c r="B6300" s="6">
        <v>1.9212962962963001E-2</v>
      </c>
      <c r="C6300" s="5">
        <v>130</v>
      </c>
    </row>
    <row r="6301" spans="1:5">
      <c r="A6301" s="68">
        <v>38534</v>
      </c>
      <c r="B6301" s="6">
        <v>1.92708333333333E-2</v>
      </c>
      <c r="C6301" s="5">
        <v>141</v>
      </c>
    </row>
    <row r="6302" spans="1:5">
      <c r="A6302" s="68">
        <v>38534</v>
      </c>
      <c r="B6302" s="6">
        <v>1.9328703703703699E-2</v>
      </c>
      <c r="C6302" s="5">
        <v>145</v>
      </c>
    </row>
    <row r="6303" spans="1:5">
      <c r="A6303" s="68">
        <v>38534</v>
      </c>
      <c r="B6303" s="6">
        <v>1.9386574074074101E-2</v>
      </c>
      <c r="C6303" s="5">
        <v>150</v>
      </c>
    </row>
    <row r="6304" spans="1:5">
      <c r="A6304" s="68">
        <v>38534</v>
      </c>
      <c r="B6304" s="6">
        <v>1.94444444444444E-2</v>
      </c>
      <c r="C6304" s="5">
        <v>152</v>
      </c>
    </row>
    <row r="6305" spans="1:3">
      <c r="A6305" s="68">
        <v>38534</v>
      </c>
      <c r="B6305" s="6">
        <v>1.9502314814814799E-2</v>
      </c>
      <c r="C6305" s="5">
        <v>154</v>
      </c>
    </row>
    <row r="6306" spans="1:3">
      <c r="A6306" s="68">
        <v>38534</v>
      </c>
      <c r="B6306" s="6">
        <v>1.9560185185185201E-2</v>
      </c>
      <c r="C6306" s="5">
        <v>157</v>
      </c>
    </row>
    <row r="6307" spans="1:3">
      <c r="A6307" s="68">
        <v>38534</v>
      </c>
      <c r="B6307" s="6">
        <v>1.96180555555556E-2</v>
      </c>
      <c r="C6307" s="5">
        <v>158</v>
      </c>
    </row>
    <row r="6308" spans="1:3">
      <c r="A6308" s="68">
        <v>38534</v>
      </c>
      <c r="B6308" s="6">
        <v>1.9675925925925899E-2</v>
      </c>
      <c r="C6308" s="5">
        <v>158</v>
      </c>
    </row>
    <row r="6309" spans="1:3">
      <c r="A6309" s="68">
        <v>38534</v>
      </c>
      <c r="B6309" s="6">
        <v>1.9733796296296301E-2</v>
      </c>
      <c r="C6309" s="5">
        <v>159</v>
      </c>
    </row>
    <row r="6310" spans="1:3">
      <c r="A6310" s="68">
        <v>38534</v>
      </c>
      <c r="B6310" s="6">
        <v>1.97916666666667E-2</v>
      </c>
      <c r="C6310" s="5">
        <v>159</v>
      </c>
    </row>
    <row r="6311" spans="1:3">
      <c r="A6311" s="68">
        <v>38534</v>
      </c>
      <c r="B6311" s="6">
        <v>1.9849537037036999E-2</v>
      </c>
      <c r="C6311" s="5">
        <v>163</v>
      </c>
    </row>
    <row r="6312" spans="1:3">
      <c r="A6312" s="68">
        <v>38534</v>
      </c>
      <c r="B6312" s="6">
        <v>1.9907407407407401E-2</v>
      </c>
      <c r="C6312" s="5">
        <v>165</v>
      </c>
    </row>
    <row r="6313" spans="1:3">
      <c r="A6313" s="68">
        <v>38534</v>
      </c>
      <c r="B6313" s="6">
        <v>1.9965277777777801E-2</v>
      </c>
      <c r="C6313" s="5">
        <v>168</v>
      </c>
    </row>
    <row r="6314" spans="1:3">
      <c r="A6314" s="68">
        <v>38534</v>
      </c>
      <c r="B6314" s="6">
        <v>2.0023148148148099E-2</v>
      </c>
      <c r="C6314" s="5">
        <v>168</v>
      </c>
    </row>
    <row r="6315" spans="1:3">
      <c r="A6315" s="68">
        <v>38534</v>
      </c>
      <c r="B6315" s="6">
        <v>2.0081018518518502E-2</v>
      </c>
      <c r="C6315" s="5">
        <v>169</v>
      </c>
    </row>
    <row r="6316" spans="1:3">
      <c r="A6316" s="68">
        <v>38534</v>
      </c>
      <c r="B6316" s="6">
        <v>2.0138888888888901E-2</v>
      </c>
      <c r="C6316" s="5">
        <v>171</v>
      </c>
    </row>
    <row r="6317" spans="1:3">
      <c r="A6317" s="68">
        <v>38534</v>
      </c>
      <c r="B6317" s="6">
        <v>2.01967592592593E-2</v>
      </c>
      <c r="C6317" s="5">
        <v>172</v>
      </c>
    </row>
    <row r="6318" spans="1:3">
      <c r="A6318" s="68">
        <v>38534</v>
      </c>
      <c r="B6318" s="6">
        <v>2.0254629629629602E-2</v>
      </c>
      <c r="C6318" s="5">
        <v>173</v>
      </c>
    </row>
    <row r="6319" spans="1:3">
      <c r="A6319" s="68">
        <v>38534</v>
      </c>
      <c r="B6319" s="6">
        <v>2.0312500000000001E-2</v>
      </c>
      <c r="C6319" s="5">
        <v>173</v>
      </c>
    </row>
    <row r="6320" spans="1:3">
      <c r="A6320" s="68">
        <v>38534</v>
      </c>
      <c r="B6320" s="6">
        <v>2.03703703703704E-2</v>
      </c>
      <c r="C6320" s="5">
        <v>173</v>
      </c>
    </row>
    <row r="6321" spans="1:3">
      <c r="A6321" s="68">
        <v>38534</v>
      </c>
      <c r="B6321" s="6">
        <v>2.0428240740740702E-2</v>
      </c>
      <c r="C6321" s="5">
        <v>173</v>
      </c>
    </row>
    <row r="6322" spans="1:3">
      <c r="A6322" s="68">
        <v>38534</v>
      </c>
      <c r="B6322" s="6">
        <v>2.0486111111111101E-2</v>
      </c>
      <c r="C6322" s="5">
        <v>173</v>
      </c>
    </row>
    <row r="6323" spans="1:3">
      <c r="A6323" s="68">
        <v>38534</v>
      </c>
      <c r="B6323" s="6">
        <v>2.05439814814815E-2</v>
      </c>
      <c r="C6323" s="5">
        <v>173</v>
      </c>
    </row>
    <row r="6324" spans="1:3">
      <c r="A6324" s="68">
        <v>38534</v>
      </c>
      <c r="B6324" s="6">
        <v>2.0601851851851899E-2</v>
      </c>
      <c r="C6324" s="5">
        <v>173</v>
      </c>
    </row>
    <row r="6325" spans="1:3">
      <c r="A6325" s="68">
        <v>38534</v>
      </c>
      <c r="B6325" s="6">
        <v>2.0659722222222201E-2</v>
      </c>
      <c r="C6325" s="5">
        <v>173</v>
      </c>
    </row>
    <row r="6326" spans="1:3">
      <c r="A6326" s="68">
        <v>38534</v>
      </c>
      <c r="B6326" s="6">
        <v>2.07175925925926E-2</v>
      </c>
      <c r="C6326" s="5">
        <v>174</v>
      </c>
    </row>
    <row r="6327" spans="1:3">
      <c r="A6327" s="68">
        <v>38534</v>
      </c>
      <c r="B6327" s="6">
        <v>2.0775462962962999E-2</v>
      </c>
      <c r="C6327" s="5">
        <v>174</v>
      </c>
    </row>
    <row r="6328" spans="1:3">
      <c r="A6328" s="68">
        <v>38534</v>
      </c>
      <c r="B6328" s="6">
        <v>2.0833333333333301E-2</v>
      </c>
      <c r="C6328" s="5">
        <v>171</v>
      </c>
    </row>
    <row r="6329" spans="1:3">
      <c r="A6329" s="68">
        <v>38534</v>
      </c>
      <c r="B6329" s="6">
        <v>2.08912037037037E-2</v>
      </c>
      <c r="C6329" s="5">
        <v>171</v>
      </c>
    </row>
    <row r="6330" spans="1:3">
      <c r="A6330" s="68">
        <v>38534</v>
      </c>
      <c r="B6330" s="6">
        <v>2.0949074074074099E-2</v>
      </c>
      <c r="C6330" s="5">
        <v>171</v>
      </c>
    </row>
    <row r="6331" spans="1:3">
      <c r="A6331" s="68">
        <v>38534</v>
      </c>
      <c r="B6331" s="6">
        <v>2.1006944444444401E-2</v>
      </c>
      <c r="C6331" s="5">
        <v>169</v>
      </c>
    </row>
    <row r="6332" spans="1:3">
      <c r="A6332" s="68">
        <v>38534</v>
      </c>
      <c r="B6332" s="6">
        <v>2.10648148148148E-2</v>
      </c>
      <c r="C6332" s="5">
        <v>171</v>
      </c>
    </row>
    <row r="6333" spans="1:3">
      <c r="A6333" s="68">
        <v>38534</v>
      </c>
      <c r="B6333" s="6">
        <v>2.1122685185185199E-2</v>
      </c>
      <c r="C6333" s="5">
        <v>172</v>
      </c>
    </row>
    <row r="6334" spans="1:3">
      <c r="A6334" s="68">
        <v>38534</v>
      </c>
      <c r="B6334" s="6">
        <v>2.1180555555555598E-2</v>
      </c>
      <c r="C6334" s="5">
        <v>172</v>
      </c>
    </row>
    <row r="6335" spans="1:3">
      <c r="A6335" s="68">
        <v>38534</v>
      </c>
      <c r="B6335" s="6">
        <v>2.12384259259259E-2</v>
      </c>
      <c r="C6335" s="5">
        <v>171</v>
      </c>
    </row>
    <row r="6336" spans="1:3">
      <c r="A6336" s="68">
        <v>38534</v>
      </c>
      <c r="B6336" s="6">
        <v>2.1296296296296299E-2</v>
      </c>
      <c r="C6336" s="5">
        <v>171</v>
      </c>
    </row>
    <row r="6337" spans="1:5">
      <c r="A6337" s="68">
        <v>38534</v>
      </c>
      <c r="B6337" s="6">
        <v>2.1354166666666698E-2</v>
      </c>
      <c r="C6337" s="5">
        <v>171</v>
      </c>
    </row>
    <row r="6338" spans="1:5">
      <c r="A6338" s="68">
        <v>38534</v>
      </c>
      <c r="B6338" s="6">
        <v>2.1412037037037E-2</v>
      </c>
      <c r="C6338" s="5">
        <v>172</v>
      </c>
    </row>
    <row r="6339" spans="1:5">
      <c r="A6339" s="68">
        <v>38534</v>
      </c>
      <c r="B6339" s="6">
        <v>2.1469907407407399E-2</v>
      </c>
      <c r="C6339" s="5">
        <v>172</v>
      </c>
    </row>
    <row r="6340" spans="1:5">
      <c r="A6340" s="68">
        <v>38534</v>
      </c>
      <c r="B6340" s="6">
        <v>2.1527777777777798E-2</v>
      </c>
      <c r="C6340" s="5">
        <v>171</v>
      </c>
    </row>
    <row r="6341" spans="1:5">
      <c r="A6341" s="68">
        <v>38534</v>
      </c>
      <c r="B6341" s="6">
        <v>2.15856481481481E-2</v>
      </c>
      <c r="C6341" s="5">
        <v>171</v>
      </c>
    </row>
    <row r="6342" spans="1:5">
      <c r="A6342" s="68">
        <v>38534</v>
      </c>
      <c r="B6342" s="6">
        <v>2.1643518518518499E-2</v>
      </c>
      <c r="C6342" s="5">
        <v>170</v>
      </c>
    </row>
    <row r="6343" spans="1:5">
      <c r="A6343" s="68">
        <v>38534</v>
      </c>
      <c r="B6343" s="6">
        <v>2.1701388888888899E-2</v>
      </c>
      <c r="C6343" s="5">
        <v>170</v>
      </c>
    </row>
    <row r="6344" spans="1:5">
      <c r="A6344" s="68">
        <v>38534</v>
      </c>
      <c r="B6344" s="6">
        <v>2.1759259259259301E-2</v>
      </c>
      <c r="C6344" s="5">
        <v>170</v>
      </c>
    </row>
    <row r="6345" spans="1:5">
      <c r="A6345" s="68">
        <v>38534</v>
      </c>
      <c r="B6345" s="6">
        <v>2.18171296296296E-2</v>
      </c>
      <c r="C6345" s="5">
        <v>173</v>
      </c>
    </row>
    <row r="6346" spans="1:5">
      <c r="A6346" s="68">
        <v>38534</v>
      </c>
      <c r="B6346" s="6">
        <v>2.1874999999999999E-2</v>
      </c>
      <c r="C6346" s="5">
        <v>174</v>
      </c>
    </row>
    <row r="6347" spans="1:5">
      <c r="A6347" s="68">
        <v>38534</v>
      </c>
      <c r="B6347" s="6">
        <v>2.1932870370370401E-2</v>
      </c>
      <c r="C6347" s="5">
        <v>174</v>
      </c>
      <c r="D6347" s="234">
        <v>2.1956018518518517E-2</v>
      </c>
      <c r="E6347" s="4">
        <v>164</v>
      </c>
    </row>
    <row r="6348" spans="1:5">
      <c r="A6348" s="68">
        <v>38534</v>
      </c>
      <c r="B6348" s="6">
        <v>2.19907407407407E-2</v>
      </c>
      <c r="C6348" s="5">
        <v>174</v>
      </c>
    </row>
    <row r="6349" spans="1:5">
      <c r="A6349" s="68">
        <v>38534</v>
      </c>
      <c r="B6349" s="6">
        <v>2.2048611111111099E-2</v>
      </c>
      <c r="C6349" s="5">
        <v>174</v>
      </c>
    </row>
    <row r="6350" spans="1:5">
      <c r="A6350" s="68">
        <v>38534</v>
      </c>
      <c r="B6350" s="6">
        <v>2.2106481481481501E-2</v>
      </c>
      <c r="C6350" s="5">
        <v>171</v>
      </c>
    </row>
    <row r="6351" spans="1:5">
      <c r="A6351" s="68">
        <v>38534</v>
      </c>
      <c r="B6351" s="6">
        <v>2.21643518518519E-2</v>
      </c>
      <c r="C6351" s="5">
        <v>170</v>
      </c>
    </row>
    <row r="6352" spans="1:5">
      <c r="A6352" s="68">
        <v>38534</v>
      </c>
      <c r="B6352" s="6">
        <v>2.2222222222222199E-2</v>
      </c>
      <c r="C6352" s="5">
        <v>157</v>
      </c>
    </row>
    <row r="6353" spans="1:5">
      <c r="A6353" s="68">
        <v>38534</v>
      </c>
      <c r="B6353" s="6">
        <v>2.2280092592592601E-2</v>
      </c>
      <c r="C6353" s="5">
        <v>154</v>
      </c>
    </row>
    <row r="6354" spans="1:5">
      <c r="A6354" s="68">
        <v>38534</v>
      </c>
      <c r="B6354" s="6">
        <v>2.2337962962963E-2</v>
      </c>
      <c r="C6354" s="5">
        <v>149</v>
      </c>
    </row>
    <row r="6355" spans="1:5">
      <c r="A6355" s="68">
        <v>38534</v>
      </c>
      <c r="B6355" s="6">
        <v>2.2395833333333299E-2</v>
      </c>
      <c r="C6355" s="5">
        <v>140</v>
      </c>
    </row>
    <row r="6356" spans="1:5">
      <c r="A6356" s="68">
        <v>38534</v>
      </c>
      <c r="B6356" s="6">
        <v>2.2453703703703701E-2</v>
      </c>
      <c r="C6356" s="5">
        <v>133</v>
      </c>
    </row>
    <row r="6357" spans="1:5">
      <c r="A6357" s="68">
        <v>38534</v>
      </c>
      <c r="B6357" s="6">
        <v>2.25115740740741E-2</v>
      </c>
      <c r="C6357" s="5">
        <v>127</v>
      </c>
    </row>
    <row r="6358" spans="1:5">
      <c r="A6358" s="68">
        <v>38534</v>
      </c>
      <c r="B6358" s="6">
        <v>2.2569444444444399E-2</v>
      </c>
      <c r="C6358" s="5">
        <v>126</v>
      </c>
    </row>
    <row r="6359" spans="1:5">
      <c r="A6359" s="68">
        <v>38534</v>
      </c>
      <c r="B6359" s="6">
        <v>2.2627314814814802E-2</v>
      </c>
      <c r="C6359" s="5">
        <v>123</v>
      </c>
    </row>
    <row r="6360" spans="1:5">
      <c r="A6360" s="68">
        <v>38534</v>
      </c>
      <c r="B6360" s="6">
        <v>2.2685185185185201E-2</v>
      </c>
      <c r="C6360" s="5">
        <v>121</v>
      </c>
      <c r="D6360" s="235">
        <v>2.2662037037037036E-2</v>
      </c>
      <c r="E6360" s="4">
        <v>151</v>
      </c>
    </row>
    <row r="6361" spans="1:5">
      <c r="A6361" s="68">
        <v>38534</v>
      </c>
      <c r="B6361" s="6">
        <v>2.27430555555556E-2</v>
      </c>
      <c r="C6361" s="5">
        <v>132</v>
      </c>
    </row>
    <row r="6362" spans="1:5">
      <c r="A6362" s="68">
        <v>38534</v>
      </c>
      <c r="B6362" s="6">
        <v>2.2800925925925902E-2</v>
      </c>
      <c r="C6362" s="5">
        <v>141</v>
      </c>
    </row>
    <row r="6363" spans="1:5">
      <c r="A6363" s="68">
        <v>38534</v>
      </c>
      <c r="B6363" s="6">
        <v>2.2858796296296301E-2</v>
      </c>
      <c r="C6363" s="5">
        <v>149</v>
      </c>
    </row>
    <row r="6364" spans="1:5">
      <c r="A6364" s="68">
        <v>38534</v>
      </c>
      <c r="B6364" s="6">
        <v>2.29166666666667E-2</v>
      </c>
      <c r="C6364" s="5">
        <v>152</v>
      </c>
    </row>
    <row r="6365" spans="1:5">
      <c r="A6365" s="68">
        <v>38534</v>
      </c>
      <c r="B6365" s="6">
        <v>2.2974537037037002E-2</v>
      </c>
      <c r="C6365" s="5">
        <v>153</v>
      </c>
    </row>
    <row r="6366" spans="1:5">
      <c r="A6366" s="68">
        <v>38534</v>
      </c>
      <c r="B6366" s="6">
        <v>2.3032407407407401E-2</v>
      </c>
      <c r="C6366" s="5">
        <v>156</v>
      </c>
    </row>
    <row r="6367" spans="1:5">
      <c r="A6367" s="68">
        <v>38534</v>
      </c>
      <c r="B6367" s="6">
        <v>2.30902777777778E-2</v>
      </c>
      <c r="C6367" s="5">
        <v>157</v>
      </c>
    </row>
    <row r="6368" spans="1:5">
      <c r="A6368" s="68">
        <v>38534</v>
      </c>
      <c r="B6368" s="6">
        <v>2.3148148148148098E-2</v>
      </c>
      <c r="C6368" s="5">
        <v>159</v>
      </c>
    </row>
    <row r="6369" spans="1:3">
      <c r="A6369" s="68">
        <v>38534</v>
      </c>
      <c r="B6369" s="6">
        <v>2.3206018518518501E-2</v>
      </c>
      <c r="C6369" s="5">
        <v>160</v>
      </c>
    </row>
    <row r="6370" spans="1:3">
      <c r="A6370" s="68">
        <v>38534</v>
      </c>
      <c r="B6370" s="6">
        <v>2.32638888888889E-2</v>
      </c>
      <c r="C6370" s="5">
        <v>160</v>
      </c>
    </row>
    <row r="6371" spans="1:3">
      <c r="A6371" s="68">
        <v>38534</v>
      </c>
      <c r="B6371" s="6">
        <v>2.3321759259259299E-2</v>
      </c>
      <c r="C6371" s="5">
        <v>166</v>
      </c>
    </row>
    <row r="6372" spans="1:3">
      <c r="A6372" s="68">
        <v>38534</v>
      </c>
      <c r="B6372" s="6">
        <v>2.3379629629629601E-2</v>
      </c>
      <c r="C6372" s="5">
        <v>167</v>
      </c>
    </row>
    <row r="6373" spans="1:3">
      <c r="A6373" s="68">
        <v>38534</v>
      </c>
      <c r="B6373" s="6">
        <v>2.34375E-2</v>
      </c>
      <c r="C6373" s="5">
        <v>168</v>
      </c>
    </row>
    <row r="6374" spans="1:3">
      <c r="A6374" s="68">
        <v>38534</v>
      </c>
      <c r="B6374" s="6">
        <v>2.3495370370370399E-2</v>
      </c>
      <c r="C6374" s="5">
        <v>168</v>
      </c>
    </row>
    <row r="6375" spans="1:3">
      <c r="A6375" s="68">
        <v>38534</v>
      </c>
      <c r="B6375" s="6">
        <v>2.3553240740740701E-2</v>
      </c>
      <c r="C6375" s="5">
        <v>168</v>
      </c>
    </row>
    <row r="6376" spans="1:3">
      <c r="A6376" s="68">
        <v>38534</v>
      </c>
      <c r="B6376" s="6">
        <v>2.36111111111111E-2</v>
      </c>
      <c r="C6376" s="5">
        <v>169</v>
      </c>
    </row>
    <row r="6377" spans="1:3">
      <c r="A6377" s="68">
        <v>38534</v>
      </c>
      <c r="B6377" s="6">
        <v>2.3668981481481499E-2</v>
      </c>
      <c r="C6377" s="5">
        <v>169</v>
      </c>
    </row>
    <row r="6378" spans="1:3">
      <c r="A6378" s="68">
        <v>38534</v>
      </c>
      <c r="B6378" s="6">
        <v>2.3726851851851801E-2</v>
      </c>
      <c r="C6378" s="5">
        <v>169</v>
      </c>
    </row>
    <row r="6379" spans="1:3">
      <c r="A6379" s="68">
        <v>38534</v>
      </c>
      <c r="B6379" s="6">
        <v>2.37847222222222E-2</v>
      </c>
      <c r="C6379" s="5">
        <v>172</v>
      </c>
    </row>
    <row r="6380" spans="1:3">
      <c r="A6380" s="68">
        <v>38534</v>
      </c>
      <c r="B6380" s="6">
        <v>2.3842592592592599E-2</v>
      </c>
      <c r="C6380" s="5">
        <v>172</v>
      </c>
    </row>
    <row r="6381" spans="1:3">
      <c r="A6381" s="68">
        <v>38534</v>
      </c>
      <c r="B6381" s="6">
        <v>2.3900462962962998E-2</v>
      </c>
      <c r="C6381" s="5">
        <v>173</v>
      </c>
    </row>
    <row r="6382" spans="1:3">
      <c r="A6382" s="68">
        <v>38534</v>
      </c>
      <c r="B6382" s="6">
        <v>2.39583333333333E-2</v>
      </c>
      <c r="C6382" s="5">
        <v>174</v>
      </c>
    </row>
    <row r="6383" spans="1:3">
      <c r="A6383" s="68">
        <v>38534</v>
      </c>
      <c r="B6383" s="6">
        <v>2.4016203703703699E-2</v>
      </c>
      <c r="C6383" s="5">
        <v>175</v>
      </c>
    </row>
    <row r="6384" spans="1:3">
      <c r="A6384" s="68">
        <v>38534</v>
      </c>
      <c r="B6384" s="6">
        <v>2.4074074074074098E-2</v>
      </c>
      <c r="C6384" s="5">
        <v>176</v>
      </c>
    </row>
    <row r="6385" spans="1:3">
      <c r="A6385" s="68">
        <v>38534</v>
      </c>
      <c r="B6385" s="6">
        <v>2.41319444444444E-2</v>
      </c>
      <c r="C6385" s="5">
        <v>177</v>
      </c>
    </row>
    <row r="6386" spans="1:3">
      <c r="A6386" s="68">
        <v>38534</v>
      </c>
      <c r="B6386" s="6">
        <v>2.4189814814814799E-2</v>
      </c>
      <c r="C6386" s="5">
        <v>177</v>
      </c>
    </row>
    <row r="6387" spans="1:3">
      <c r="A6387" s="68">
        <v>38534</v>
      </c>
      <c r="B6387" s="6">
        <v>2.4247685185185198E-2</v>
      </c>
      <c r="C6387" s="5">
        <v>178</v>
      </c>
    </row>
    <row r="6388" spans="1:3">
      <c r="A6388" s="68">
        <v>38534</v>
      </c>
      <c r="B6388" s="6">
        <v>2.4305555555555601E-2</v>
      </c>
      <c r="C6388" s="5">
        <v>178</v>
      </c>
    </row>
    <row r="6389" spans="1:3">
      <c r="A6389" s="68">
        <v>38534</v>
      </c>
      <c r="B6389" s="6">
        <v>2.43634259259259E-2</v>
      </c>
      <c r="C6389" s="5">
        <v>179</v>
      </c>
    </row>
    <row r="6390" spans="1:3">
      <c r="A6390" s="68">
        <v>38534</v>
      </c>
      <c r="B6390" s="6">
        <v>2.4421296296296299E-2</v>
      </c>
      <c r="C6390" s="5">
        <v>179</v>
      </c>
    </row>
    <row r="6391" spans="1:3">
      <c r="A6391" s="68">
        <v>38534</v>
      </c>
      <c r="B6391" s="6">
        <v>2.4479166666666701E-2</v>
      </c>
      <c r="C6391" s="5">
        <v>179</v>
      </c>
    </row>
    <row r="6392" spans="1:3">
      <c r="A6392" s="68">
        <v>38534</v>
      </c>
      <c r="B6392" s="6">
        <v>2.4537037037037E-2</v>
      </c>
      <c r="C6392" s="5">
        <v>177</v>
      </c>
    </row>
    <row r="6393" spans="1:3">
      <c r="A6393" s="68">
        <v>38534</v>
      </c>
      <c r="B6393" s="6">
        <v>2.4594907407407399E-2</v>
      </c>
      <c r="C6393" s="5">
        <v>179</v>
      </c>
    </row>
    <row r="6394" spans="1:3">
      <c r="A6394" s="68">
        <v>38534</v>
      </c>
      <c r="B6394" s="6">
        <v>2.4652777777777801E-2</v>
      </c>
      <c r="C6394" s="5">
        <v>179</v>
      </c>
    </row>
    <row r="6395" spans="1:3">
      <c r="A6395" s="68">
        <v>38534</v>
      </c>
      <c r="B6395" s="6">
        <v>2.47106481481481E-2</v>
      </c>
      <c r="C6395" s="5">
        <v>180</v>
      </c>
    </row>
    <row r="6396" spans="1:3">
      <c r="A6396" s="68">
        <v>38534</v>
      </c>
      <c r="B6396" s="6">
        <v>2.4768518518518499E-2</v>
      </c>
      <c r="C6396" s="5">
        <v>179</v>
      </c>
    </row>
    <row r="6397" spans="1:3">
      <c r="A6397" s="68">
        <v>38534</v>
      </c>
      <c r="B6397" s="6">
        <v>2.4826388888888901E-2</v>
      </c>
      <c r="C6397" s="5">
        <v>180</v>
      </c>
    </row>
    <row r="6398" spans="1:3">
      <c r="A6398" s="68">
        <v>38534</v>
      </c>
      <c r="B6398" s="6">
        <v>2.48842592592593E-2</v>
      </c>
      <c r="C6398" s="5">
        <v>180</v>
      </c>
    </row>
    <row r="6399" spans="1:3">
      <c r="A6399" s="68">
        <v>38534</v>
      </c>
      <c r="B6399" s="6">
        <v>2.4942129629629599E-2</v>
      </c>
      <c r="C6399" s="5">
        <v>179</v>
      </c>
    </row>
    <row r="6400" spans="1:3">
      <c r="A6400" s="68">
        <v>38534</v>
      </c>
      <c r="B6400" s="6">
        <v>2.5000000000000001E-2</v>
      </c>
      <c r="C6400" s="5">
        <v>178</v>
      </c>
    </row>
    <row r="6401" spans="1:5">
      <c r="A6401" s="68">
        <v>38534</v>
      </c>
      <c r="B6401" s="6">
        <v>2.50578703703704E-2</v>
      </c>
      <c r="C6401" s="5">
        <v>178</v>
      </c>
    </row>
    <row r="6402" spans="1:5">
      <c r="A6402" s="68">
        <v>38534</v>
      </c>
      <c r="B6402" s="6">
        <v>2.5115740740740699E-2</v>
      </c>
      <c r="C6402" s="5">
        <v>178</v>
      </c>
    </row>
    <row r="6403" spans="1:5">
      <c r="A6403" s="68">
        <v>38534</v>
      </c>
      <c r="B6403" s="6">
        <v>2.5173611111111101E-2</v>
      </c>
      <c r="C6403" s="5">
        <v>177</v>
      </c>
    </row>
    <row r="6404" spans="1:5">
      <c r="A6404" s="68">
        <v>38534</v>
      </c>
      <c r="B6404" s="6">
        <v>2.5231481481481501E-2</v>
      </c>
      <c r="C6404" s="5">
        <v>178</v>
      </c>
    </row>
    <row r="6405" spans="1:5">
      <c r="A6405" s="68">
        <v>38534</v>
      </c>
      <c r="B6405" s="6">
        <v>2.52893518518519E-2</v>
      </c>
      <c r="C6405" s="5">
        <v>178</v>
      </c>
    </row>
    <row r="6406" spans="1:5">
      <c r="A6406" s="68">
        <v>38534</v>
      </c>
      <c r="B6406" s="6">
        <v>2.5347222222222202E-2</v>
      </c>
      <c r="C6406" s="5">
        <v>176</v>
      </c>
    </row>
    <row r="6407" spans="1:5">
      <c r="A6407" s="68">
        <v>38534</v>
      </c>
      <c r="B6407" s="6">
        <v>2.5405092592592601E-2</v>
      </c>
      <c r="C6407" s="5">
        <v>176</v>
      </c>
    </row>
    <row r="6408" spans="1:5">
      <c r="A6408" s="68">
        <v>38534</v>
      </c>
      <c r="B6408" s="6">
        <v>2.5462962962963E-2</v>
      </c>
      <c r="C6408" s="5">
        <v>178</v>
      </c>
      <c r="D6408" s="235">
        <v>2.5428240740740741E-2</v>
      </c>
      <c r="E6408" s="4">
        <v>168</v>
      </c>
    </row>
    <row r="6409" spans="1:5">
      <c r="A6409" s="68">
        <v>38534</v>
      </c>
      <c r="B6409" s="6">
        <v>2.5520833333333302E-2</v>
      </c>
      <c r="C6409" s="5">
        <v>176</v>
      </c>
    </row>
    <row r="6410" spans="1:5">
      <c r="A6410" s="68">
        <v>38534</v>
      </c>
      <c r="B6410" s="6">
        <v>2.5578703703703701E-2</v>
      </c>
      <c r="C6410" s="5">
        <v>172</v>
      </c>
    </row>
    <row r="6411" spans="1:5">
      <c r="A6411" s="68">
        <v>38534</v>
      </c>
      <c r="B6411" s="6">
        <v>2.56365740740741E-2</v>
      </c>
      <c r="C6411" s="5">
        <v>167</v>
      </c>
    </row>
    <row r="6412" spans="1:5">
      <c r="A6412" s="68">
        <v>38534</v>
      </c>
      <c r="B6412" s="6">
        <v>2.5694444444444402E-2</v>
      </c>
      <c r="C6412" s="5">
        <v>162</v>
      </c>
    </row>
    <row r="6413" spans="1:5">
      <c r="A6413" s="68">
        <v>38534</v>
      </c>
      <c r="B6413" s="6">
        <v>2.5752314814814801E-2</v>
      </c>
      <c r="C6413" s="5">
        <v>156</v>
      </c>
    </row>
    <row r="6414" spans="1:5">
      <c r="A6414" s="68">
        <v>38534</v>
      </c>
      <c r="B6414" s="6">
        <v>2.58101851851852E-2</v>
      </c>
      <c r="C6414" s="5">
        <v>152</v>
      </c>
    </row>
    <row r="6415" spans="1:5">
      <c r="A6415" s="68">
        <v>38534</v>
      </c>
      <c r="B6415" s="6">
        <v>2.5868055555555599E-2</v>
      </c>
      <c r="C6415" s="5">
        <v>146</v>
      </c>
    </row>
    <row r="6416" spans="1:5">
      <c r="A6416" s="68">
        <v>38534</v>
      </c>
      <c r="B6416" s="6">
        <v>2.5925925925925901E-2</v>
      </c>
      <c r="C6416" s="5">
        <v>139</v>
      </c>
    </row>
    <row r="6417" spans="1:5">
      <c r="A6417" s="68">
        <v>38534</v>
      </c>
      <c r="B6417" s="6">
        <v>2.59837962962963E-2</v>
      </c>
      <c r="C6417" s="5">
        <v>134</v>
      </c>
    </row>
    <row r="6418" spans="1:5">
      <c r="A6418" s="68">
        <v>38534</v>
      </c>
      <c r="B6418" s="6">
        <v>2.6041666666666699E-2</v>
      </c>
      <c r="C6418" s="5">
        <v>128</v>
      </c>
    </row>
    <row r="6419" spans="1:5">
      <c r="A6419" s="68">
        <v>38534</v>
      </c>
      <c r="B6419" s="6">
        <v>2.6099537037037001E-2</v>
      </c>
      <c r="C6419" s="5">
        <v>126</v>
      </c>
    </row>
    <row r="6420" spans="1:5">
      <c r="A6420" s="68">
        <v>38534</v>
      </c>
      <c r="B6420" s="6">
        <v>2.61574074074074E-2</v>
      </c>
      <c r="C6420" s="5">
        <v>127</v>
      </c>
      <c r="D6420" s="235">
        <v>2.6111111111111113E-2</v>
      </c>
      <c r="E6420" s="4">
        <v>155</v>
      </c>
    </row>
    <row r="6421" spans="1:5">
      <c r="A6421" s="68">
        <v>38534</v>
      </c>
      <c r="B6421" s="6">
        <v>2.6215277777777799E-2</v>
      </c>
      <c r="C6421" s="5">
        <v>126</v>
      </c>
    </row>
    <row r="6422" spans="1:5">
      <c r="A6422" s="68">
        <v>38534</v>
      </c>
      <c r="B6422" s="6">
        <v>2.6273148148148101E-2</v>
      </c>
      <c r="C6422" s="5">
        <v>126</v>
      </c>
    </row>
    <row r="6423" spans="1:5">
      <c r="A6423" s="68">
        <v>38534</v>
      </c>
      <c r="B6423" s="6">
        <v>2.63310185185185E-2</v>
      </c>
      <c r="C6423" s="5">
        <v>116</v>
      </c>
    </row>
    <row r="6424" spans="1:5">
      <c r="A6424" s="68">
        <v>38534</v>
      </c>
      <c r="B6424" s="6">
        <v>2.6388888888888899E-2</v>
      </c>
      <c r="C6424" s="5">
        <v>115</v>
      </c>
    </row>
    <row r="6425" spans="1:5">
      <c r="A6425" s="68">
        <v>38534</v>
      </c>
      <c r="B6425" s="6">
        <v>2.6446759259259298E-2</v>
      </c>
      <c r="C6425" s="5">
        <v>113</v>
      </c>
    </row>
    <row r="6426" spans="1:5">
      <c r="A6426" s="68">
        <v>38534</v>
      </c>
      <c r="B6426" s="6">
        <v>2.6504629629629701E-2</v>
      </c>
      <c r="C6426" s="5">
        <v>112</v>
      </c>
    </row>
    <row r="6427" spans="1:5">
      <c r="A6427" s="68">
        <v>38534</v>
      </c>
      <c r="B6427" s="6">
        <v>2.65625000000001E-2</v>
      </c>
      <c r="C6427" s="5">
        <v>111</v>
      </c>
    </row>
    <row r="6428" spans="1:5">
      <c r="A6428" s="68">
        <v>38534</v>
      </c>
      <c r="B6428" s="6">
        <v>2.6620370370370499E-2</v>
      </c>
      <c r="C6428" s="5">
        <v>110</v>
      </c>
    </row>
    <row r="6429" spans="1:5">
      <c r="A6429" s="68">
        <v>38534</v>
      </c>
      <c r="B6429" s="6">
        <v>2.6678240740740902E-2</v>
      </c>
      <c r="C6429" s="5">
        <v>111</v>
      </c>
    </row>
    <row r="6430" spans="1:5">
      <c r="A6430" s="68">
        <v>38534</v>
      </c>
      <c r="B6430" s="6">
        <v>2.6736111111111301E-2</v>
      </c>
      <c r="C6430" s="5">
        <v>111</v>
      </c>
    </row>
    <row r="6431" spans="1:5">
      <c r="A6431" s="68">
        <v>38534</v>
      </c>
      <c r="B6431" s="6">
        <v>2.67939814814817E-2</v>
      </c>
      <c r="C6431" s="5">
        <v>109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G382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S336"/>
  <sheetViews>
    <sheetView zoomScale="84" workbookViewId="0">
      <selection activeCell="B11" sqref="B11"/>
    </sheetView>
  </sheetViews>
  <sheetFormatPr defaultRowHeight="20.25"/>
  <cols>
    <col min="1" max="1" width="36" style="72" bestFit="1" customWidth="1"/>
    <col min="2" max="3" width="14.28515625" style="72" bestFit="1" customWidth="1"/>
    <col min="4" max="4" width="5.5703125" style="72" customWidth="1"/>
    <col min="5" max="5" width="8.42578125" style="72" customWidth="1"/>
    <col min="6" max="6" width="7.85546875" style="72" customWidth="1"/>
    <col min="7" max="7" width="9" style="72" customWidth="1"/>
    <col min="8" max="8" width="10.28515625" style="71" customWidth="1"/>
    <col min="9" max="9" width="12.7109375" style="71" bestFit="1" customWidth="1"/>
    <col min="10" max="10" width="11.7109375" style="72" bestFit="1" customWidth="1"/>
    <col min="11" max="11" width="22.140625" style="71" bestFit="1" customWidth="1"/>
    <col min="12" max="12" width="10.7109375" style="71" customWidth="1"/>
    <col min="13" max="13" width="12.140625" style="71" customWidth="1"/>
    <col min="14" max="14" width="12.85546875" style="71" bestFit="1" customWidth="1"/>
    <col min="15" max="15" width="14.5703125" style="71" customWidth="1"/>
    <col min="16" max="16" width="9.5703125" style="71" customWidth="1"/>
    <col min="17" max="18" width="11.7109375" style="71" bestFit="1" customWidth="1"/>
    <col min="19" max="19" width="13.140625" style="131" customWidth="1"/>
    <col min="20" max="16384" width="9.140625" style="71"/>
  </cols>
  <sheetData>
    <row r="1" spans="1:19">
      <c r="A1" s="69" t="s">
        <v>102</v>
      </c>
      <c r="B1" s="70"/>
      <c r="C1" s="70"/>
      <c r="D1" s="70"/>
      <c r="E1" s="70"/>
    </row>
    <row r="2" spans="1:19">
      <c r="A2" s="69"/>
      <c r="B2" s="70"/>
      <c r="C2" s="70"/>
      <c r="D2" s="70"/>
      <c r="E2" s="70"/>
      <c r="H2" s="80"/>
      <c r="I2" s="152">
        <f>B20</f>
        <v>3.2093059999210014E-3</v>
      </c>
      <c r="J2" s="72">
        <v>1</v>
      </c>
      <c r="K2" s="132" t="s">
        <v>238</v>
      </c>
      <c r="L2" s="132" t="s">
        <v>77</v>
      </c>
      <c r="M2" s="133"/>
    </row>
    <row r="3" spans="1:19">
      <c r="A3" s="69" t="s">
        <v>99</v>
      </c>
      <c r="B3" s="70"/>
      <c r="D3" s="70"/>
      <c r="E3" s="70" t="s">
        <v>103</v>
      </c>
      <c r="F3" s="72">
        <v>186</v>
      </c>
      <c r="H3" s="80"/>
      <c r="I3" s="152">
        <f t="shared" ref="I3:I23" si="0">$I$2*J3</f>
        <v>6.4186119998420029E-3</v>
      </c>
      <c r="J3" s="72">
        <v>2</v>
      </c>
      <c r="K3" s="134">
        <v>140</v>
      </c>
      <c r="L3" s="134">
        <f t="shared" ref="L3:L46" si="1">(K3-$B$29)/$B$28</f>
        <v>13.129973616515453</v>
      </c>
      <c r="M3" s="135">
        <f t="shared" ref="M3:M46" si="2">1/(L3*24)</f>
        <v>3.1734006391495348E-3</v>
      </c>
    </row>
    <row r="4" spans="1:19">
      <c r="A4" s="69"/>
      <c r="B4" s="70"/>
      <c r="C4" s="70"/>
      <c r="D4" s="70"/>
      <c r="E4" s="70" t="s">
        <v>104</v>
      </c>
      <c r="F4" s="72">
        <v>48</v>
      </c>
      <c r="H4" s="80"/>
      <c r="I4" s="152">
        <f t="shared" si="0"/>
        <v>9.6279179997630047E-3</v>
      </c>
      <c r="J4" s="72">
        <v>3</v>
      </c>
      <c r="K4" s="134">
        <v>141</v>
      </c>
      <c r="L4" s="134">
        <f t="shared" si="1"/>
        <v>13.243359642585142</v>
      </c>
      <c r="M4" s="135">
        <f t="shared" si="2"/>
        <v>3.1462308501147983E-3</v>
      </c>
      <c r="N4" s="81"/>
    </row>
    <row r="5" spans="1:19">
      <c r="B5" s="70"/>
      <c r="D5" s="70"/>
      <c r="H5" s="80"/>
      <c r="I5" s="152">
        <f t="shared" si="0"/>
        <v>1.2837223999684006E-2</v>
      </c>
      <c r="J5" s="72">
        <v>4</v>
      </c>
      <c r="K5" s="134">
        <v>142</v>
      </c>
      <c r="L5" s="134">
        <f t="shared" si="1"/>
        <v>13.356745668654829</v>
      </c>
      <c r="M5" s="135">
        <f t="shared" si="2"/>
        <v>3.1195223522484695E-3</v>
      </c>
      <c r="N5" s="81"/>
    </row>
    <row r="6" spans="1:19">
      <c r="A6" s="69" t="s">
        <v>116</v>
      </c>
      <c r="B6" s="73">
        <v>21.1</v>
      </c>
      <c r="E6" s="72" t="s">
        <v>105</v>
      </c>
      <c r="F6" s="72">
        <v>66</v>
      </c>
      <c r="G6" s="136">
        <f>($F$3-$F$4)*F6/100+$F$4</f>
        <v>139.07999999999998</v>
      </c>
      <c r="H6" s="80"/>
      <c r="I6" s="152">
        <f t="shared" si="0"/>
        <v>1.6046529999605007E-2</v>
      </c>
      <c r="J6" s="72">
        <v>5</v>
      </c>
      <c r="K6" s="134">
        <v>143</v>
      </c>
      <c r="L6" s="134">
        <f t="shared" si="1"/>
        <v>13.470131694724516</v>
      </c>
      <c r="M6" s="135">
        <f t="shared" si="2"/>
        <v>3.0932634966727999E-3</v>
      </c>
      <c r="N6" s="81"/>
    </row>
    <row r="7" spans="1:19">
      <c r="A7" s="72" t="s">
        <v>117</v>
      </c>
      <c r="B7" s="74">
        <v>5.9016203703703703E-2</v>
      </c>
      <c r="C7" s="74">
        <f>B7/B6</f>
        <v>2.7969764788485165E-3</v>
      </c>
      <c r="F7" s="72">
        <v>72</v>
      </c>
      <c r="G7" s="136">
        <f>($F$3-$F$4)*F7/100+$F$4</f>
        <v>147.36000000000001</v>
      </c>
      <c r="H7" s="80"/>
      <c r="I7" s="152">
        <f t="shared" si="0"/>
        <v>1.9255835999526009E-2</v>
      </c>
      <c r="J7" s="72">
        <v>6</v>
      </c>
      <c r="K7" s="134">
        <v>144</v>
      </c>
      <c r="L7" s="134">
        <f t="shared" si="1"/>
        <v>13.583517720794203</v>
      </c>
      <c r="M7" s="135">
        <f t="shared" si="2"/>
        <v>3.0674430234578806E-3</v>
      </c>
      <c r="N7" s="81"/>
    </row>
    <row r="8" spans="1:19">
      <c r="C8" s="72">
        <f>1/(24*C7)</f>
        <v>14.897038635026476</v>
      </c>
      <c r="G8" s="136"/>
      <c r="H8" s="81"/>
      <c r="I8" s="152">
        <f t="shared" si="0"/>
        <v>2.2465141999447009E-2</v>
      </c>
      <c r="J8" s="72">
        <v>7</v>
      </c>
      <c r="K8" s="134">
        <v>145</v>
      </c>
      <c r="L8" s="134">
        <f t="shared" si="1"/>
        <v>13.696903746863892</v>
      </c>
      <c r="M8" s="135">
        <f t="shared" si="2"/>
        <v>3.0420500455226509E-3</v>
      </c>
    </row>
    <row r="9" spans="1:19">
      <c r="E9" s="72" t="s">
        <v>106</v>
      </c>
      <c r="F9" s="72">
        <v>73</v>
      </c>
      <c r="G9" s="136">
        <f>($F$3-$F$4)*F9/100+$F$4</f>
        <v>148.74</v>
      </c>
      <c r="H9" s="80"/>
      <c r="I9" s="152">
        <f t="shared" si="0"/>
        <v>2.5674447999368012E-2</v>
      </c>
      <c r="J9" s="72">
        <v>8</v>
      </c>
      <c r="K9" s="134">
        <v>146</v>
      </c>
      <c r="L9" s="134">
        <f t="shared" si="1"/>
        <v>13.810289772933579</v>
      </c>
      <c r="M9" s="135">
        <f t="shared" si="2"/>
        <v>3.0170740333289791E-3</v>
      </c>
    </row>
    <row r="10" spans="1:19">
      <c r="A10" s="72" t="s">
        <v>100</v>
      </c>
      <c r="B10" s="72">
        <v>42.2</v>
      </c>
      <c r="F10" s="72">
        <v>76</v>
      </c>
      <c r="G10" s="136">
        <f>($F$3-$F$4)*F10/100+$F$4</f>
        <v>152.88</v>
      </c>
      <c r="H10" s="80"/>
      <c r="I10" s="152">
        <f t="shared" si="0"/>
        <v>2.8883753999289014E-2</v>
      </c>
      <c r="J10" s="72">
        <v>9</v>
      </c>
      <c r="K10" s="134">
        <v>147</v>
      </c>
      <c r="L10" s="134">
        <f t="shared" si="1"/>
        <v>13.923675799003266</v>
      </c>
      <c r="M10" s="135">
        <f t="shared" si="2"/>
        <v>2.9925048003235895E-3</v>
      </c>
    </row>
    <row r="11" spans="1:19">
      <c r="A11" s="72" t="s">
        <v>101</v>
      </c>
      <c r="B11" s="74">
        <f>B7*POWER(B10/B6,1.06)</f>
        <v>0.12304474339187217</v>
      </c>
      <c r="C11" s="117">
        <f>B11/B10</f>
        <v>2.9157522130775393E-3</v>
      </c>
      <c r="G11" s="136"/>
      <c r="H11" s="80"/>
      <c r="I11" s="152">
        <f t="shared" si="0"/>
        <v>3.2093059999210014E-2</v>
      </c>
      <c r="J11" s="72">
        <v>10</v>
      </c>
      <c r="K11" s="134">
        <v>148</v>
      </c>
      <c r="L11" s="134">
        <f t="shared" si="1"/>
        <v>14.037061825072955</v>
      </c>
      <c r="M11" s="135">
        <f t="shared" si="2"/>
        <v>2.9683324890855574E-3</v>
      </c>
    </row>
    <row r="12" spans="1:19">
      <c r="C12" s="72">
        <f>1/(24*C11)</f>
        <v>14.290194646783112</v>
      </c>
      <c r="E12" s="72" t="s">
        <v>107</v>
      </c>
      <c r="F12" s="72">
        <v>77</v>
      </c>
      <c r="G12" s="136">
        <f>($F$3-$F$4)*F12/100+$F$4</f>
        <v>154.26</v>
      </c>
      <c r="H12" s="80"/>
      <c r="I12" s="152">
        <f t="shared" si="0"/>
        <v>3.5302365999131016E-2</v>
      </c>
      <c r="J12" s="72">
        <v>11</v>
      </c>
      <c r="K12" s="134">
        <v>149</v>
      </c>
      <c r="L12" s="134">
        <f t="shared" si="1"/>
        <v>14.150447851142642</v>
      </c>
      <c r="M12" s="135">
        <f t="shared" si="2"/>
        <v>2.9445475581398014E-3</v>
      </c>
    </row>
    <row r="13" spans="1:19">
      <c r="B13" s="74"/>
      <c r="F13" s="72">
        <v>84</v>
      </c>
      <c r="G13" s="136">
        <f>($F$3-$F$4)*F13/100+$F$4</f>
        <v>163.92000000000002</v>
      </c>
      <c r="H13" s="80"/>
      <c r="I13" s="152">
        <f t="shared" si="0"/>
        <v>3.8511671999052019E-2</v>
      </c>
      <c r="J13" s="72">
        <v>12</v>
      </c>
      <c r="K13" s="134">
        <v>150</v>
      </c>
      <c r="L13" s="134">
        <f t="shared" si="1"/>
        <v>14.263833877212329</v>
      </c>
      <c r="M13" s="135">
        <f t="shared" si="2"/>
        <v>2.921140769399499E-3</v>
      </c>
    </row>
    <row r="14" spans="1:19">
      <c r="A14" s="72" t="s">
        <v>215</v>
      </c>
      <c r="B14" s="75">
        <v>3.1828703703703702E-3</v>
      </c>
      <c r="H14" s="80"/>
      <c r="I14" s="152">
        <f t="shared" si="0"/>
        <v>4.1720977998973022E-2</v>
      </c>
      <c r="J14" s="72">
        <v>13</v>
      </c>
      <c r="K14" s="134">
        <v>151</v>
      </c>
      <c r="L14" s="134">
        <f t="shared" si="1"/>
        <v>14.377219903282016</v>
      </c>
      <c r="M14" s="135">
        <f t="shared" si="2"/>
        <v>2.8981031762027264E-3</v>
      </c>
    </row>
    <row r="15" spans="1:19">
      <c r="A15" s="72" t="s">
        <v>16</v>
      </c>
      <c r="B15" s="73">
        <v>42.195</v>
      </c>
      <c r="E15" s="72" t="s">
        <v>109</v>
      </c>
      <c r="F15" s="72">
        <v>65</v>
      </c>
      <c r="G15" s="136">
        <f>($F$3-$F$4)*F15/100+$F$4</f>
        <v>137.69999999999999</v>
      </c>
      <c r="H15" s="80"/>
      <c r="I15" s="152">
        <f t="shared" si="0"/>
        <v>4.4930283998894018E-2</v>
      </c>
      <c r="J15" s="72">
        <v>14</v>
      </c>
      <c r="K15" s="134">
        <v>152</v>
      </c>
      <c r="L15" s="134">
        <f t="shared" si="1"/>
        <v>14.490605929351705</v>
      </c>
      <c r="M15" s="135">
        <f t="shared" si="2"/>
        <v>2.8754261119107519E-3</v>
      </c>
    </row>
    <row r="16" spans="1:19">
      <c r="A16" s="72" t="s">
        <v>214</v>
      </c>
      <c r="B16" s="118">
        <f>B14*B15</f>
        <v>0.13430121527777777</v>
      </c>
      <c r="H16" s="80"/>
      <c r="I16" s="152">
        <f t="shared" si="0"/>
        <v>4.813958999881502E-2</v>
      </c>
      <c r="J16" s="72">
        <v>15</v>
      </c>
      <c r="K16" s="134">
        <v>153</v>
      </c>
      <c r="L16" s="134">
        <f t="shared" si="1"/>
        <v>14.603991955421392</v>
      </c>
      <c r="M16" s="135">
        <f t="shared" si="2"/>
        <v>2.8531011790374813E-3</v>
      </c>
      <c r="S16" s="251"/>
    </row>
    <row r="17" spans="1:19">
      <c r="E17" s="72" t="s">
        <v>110</v>
      </c>
      <c r="F17" s="72">
        <v>85</v>
      </c>
      <c r="G17" s="136">
        <f>($F$3-$F$4)*F17/100+$F$4</f>
        <v>165.3</v>
      </c>
      <c r="H17" s="80"/>
      <c r="I17" s="152">
        <f t="shared" si="0"/>
        <v>5.1348895998736023E-2</v>
      </c>
      <c r="J17" s="72">
        <v>16</v>
      </c>
      <c r="K17" s="134">
        <v>154</v>
      </c>
      <c r="L17" s="134">
        <f t="shared" si="1"/>
        <v>14.717377981491079</v>
      </c>
      <c r="M17" s="135">
        <f t="shared" si="2"/>
        <v>2.8311202388813855E-3</v>
      </c>
    </row>
    <row r="18" spans="1:19">
      <c r="A18" s="72" t="s">
        <v>214</v>
      </c>
      <c r="B18" s="118">
        <v>0.13541666666666666</v>
      </c>
      <c r="F18" s="72">
        <v>90</v>
      </c>
      <c r="G18" s="136">
        <f>($F$3-$F$4)*F18/100+$F$4</f>
        <v>172.2</v>
      </c>
      <c r="H18" s="80"/>
      <c r="I18" s="152">
        <f t="shared" si="0"/>
        <v>5.4558201998657026E-2</v>
      </c>
      <c r="J18" s="72">
        <v>17</v>
      </c>
      <c r="K18" s="134">
        <v>155</v>
      </c>
      <c r="L18" s="134">
        <f t="shared" si="1"/>
        <v>14.830764007560768</v>
      </c>
      <c r="M18" s="135">
        <f t="shared" si="2"/>
        <v>2.8094754016330429E-3</v>
      </c>
      <c r="N18" s="119"/>
      <c r="R18" s="249"/>
      <c r="S18" s="250"/>
    </row>
    <row r="19" spans="1:19">
      <c r="A19" s="72" t="s">
        <v>16</v>
      </c>
      <c r="B19" s="73">
        <v>42.195</v>
      </c>
      <c r="H19" s="80"/>
      <c r="I19" s="152">
        <f t="shared" si="0"/>
        <v>5.7767507998578028E-2</v>
      </c>
      <c r="J19" s="72">
        <v>18</v>
      </c>
      <c r="K19" s="134">
        <v>156</v>
      </c>
      <c r="L19" s="134">
        <f t="shared" si="1"/>
        <v>14.944150033630455</v>
      </c>
      <c r="M19" s="135">
        <f t="shared" si="2"/>
        <v>2.7881590169330215E-3</v>
      </c>
    </row>
    <row r="20" spans="1:19">
      <c r="A20" s="72" t="s">
        <v>215</v>
      </c>
      <c r="B20" s="75">
        <f>B18/B19</f>
        <v>3.2093059999210014E-3</v>
      </c>
      <c r="H20" s="80"/>
      <c r="I20" s="152">
        <f t="shared" si="0"/>
        <v>6.0976813998499024E-2</v>
      </c>
      <c r="J20" s="72">
        <v>19</v>
      </c>
      <c r="K20" s="134">
        <v>157</v>
      </c>
      <c r="L20" s="134">
        <f t="shared" si="1"/>
        <v>15.057536059700142</v>
      </c>
      <c r="M20" s="135">
        <f t="shared" si="2"/>
        <v>2.7671636648563618E-3</v>
      </c>
    </row>
    <row r="21" spans="1:19">
      <c r="A21" s="72" t="s">
        <v>217</v>
      </c>
      <c r="B21" s="72">
        <f>1/(24*B20)</f>
        <v>12.983076923076924</v>
      </c>
      <c r="C21"/>
      <c r="D21"/>
      <c r="E21" s="32"/>
      <c r="F21" s="32"/>
      <c r="H21" s="80"/>
      <c r="I21" s="152">
        <f t="shared" si="0"/>
        <v>6.4186119998420027E-2</v>
      </c>
      <c r="J21" s="72">
        <v>20</v>
      </c>
      <c r="K21" s="134">
        <v>158</v>
      </c>
      <c r="L21" s="134">
        <f t="shared" si="1"/>
        <v>15.170922085769829</v>
      </c>
      <c r="M21" s="135">
        <f t="shared" si="2"/>
        <v>2.7464821473013549E-3</v>
      </c>
    </row>
    <row r="22" spans="1:19">
      <c r="A22"/>
      <c r="C22"/>
      <c r="D22"/>
      <c r="E22" s="32"/>
      <c r="F22" s="32"/>
      <c r="H22" s="80"/>
      <c r="I22" s="152">
        <f t="shared" si="0"/>
        <v>6.739542599834103E-2</v>
      </c>
      <c r="J22" s="72">
        <v>21</v>
      </c>
      <c r="K22" s="134">
        <v>159</v>
      </c>
      <c r="L22" s="134">
        <f t="shared" si="1"/>
        <v>15.284308111839518</v>
      </c>
      <c r="M22" s="135">
        <f t="shared" si="2"/>
        <v>2.7261074797616039E-3</v>
      </c>
    </row>
    <row r="23" spans="1:19">
      <c r="A23" s="72" t="s">
        <v>217</v>
      </c>
      <c r="B23" s="72">
        <v>14.78</v>
      </c>
      <c r="C23"/>
      <c r="D23"/>
      <c r="E23" s="32"/>
      <c r="F23" s="32"/>
      <c r="H23" s="82"/>
      <c r="I23" s="152">
        <f t="shared" si="0"/>
        <v>6.7716356598333138E-2</v>
      </c>
      <c r="J23" s="72">
        <v>21.1</v>
      </c>
      <c r="K23" s="134">
        <v>160</v>
      </c>
      <c r="L23" s="134">
        <f t="shared" si="1"/>
        <v>15.397694137909205</v>
      </c>
      <c r="M23" s="135">
        <f t="shared" si="2"/>
        <v>2.7060328834616286E-3</v>
      </c>
    </row>
    <row r="24" spans="1:19">
      <c r="A24" s="72" t="s">
        <v>215</v>
      </c>
      <c r="B24" s="75">
        <f>1/(B23*24)</f>
        <v>2.8191249436175015E-3</v>
      </c>
      <c r="C24" s="76"/>
      <c r="D24" s="76"/>
      <c r="E24" s="137"/>
      <c r="F24" s="32"/>
      <c r="H24" s="80"/>
      <c r="K24" s="134">
        <v>161</v>
      </c>
      <c r="L24" s="134">
        <f t="shared" si="1"/>
        <v>15.511080163978892</v>
      </c>
      <c r="M24" s="135">
        <f t="shared" si="2"/>
        <v>2.6862517778373958E-3</v>
      </c>
    </row>
    <row r="25" spans="1:19">
      <c r="C25" s="77"/>
      <c r="D25" s="77"/>
      <c r="E25" s="138"/>
      <c r="F25" s="139"/>
      <c r="G25" s="74"/>
      <c r="H25" s="80"/>
      <c r="I25" s="80"/>
      <c r="K25" s="134">
        <v>162</v>
      </c>
      <c r="L25" s="134">
        <f t="shared" si="1"/>
        <v>15.624466190048581</v>
      </c>
      <c r="M25" s="135">
        <f t="shared" si="2"/>
        <v>2.6667577733442624E-3</v>
      </c>
    </row>
    <row r="26" spans="1:19">
      <c r="A26" s="72" t="s">
        <v>215</v>
      </c>
      <c r="B26" s="74">
        <v>2.7777777777777779E-3</v>
      </c>
      <c r="C26" s="116"/>
      <c r="D26" s="77"/>
      <c r="E26" s="138"/>
      <c r="F26" s="139"/>
      <c r="G26" s="74"/>
      <c r="H26" s="80"/>
      <c r="I26" s="80"/>
      <c r="K26" s="134">
        <v>163</v>
      </c>
      <c r="L26" s="134">
        <f t="shared" si="1"/>
        <v>15.737852216118268</v>
      </c>
      <c r="M26" s="135">
        <f t="shared" si="2"/>
        <v>2.6475446645758201E-3</v>
      </c>
    </row>
    <row r="27" spans="1:19">
      <c r="A27" s="72" t="s">
        <v>217</v>
      </c>
      <c r="B27" s="72">
        <f>1/(24*B26)</f>
        <v>15</v>
      </c>
      <c r="C27" s="116"/>
      <c r="D27" s="77"/>
      <c r="E27" s="138"/>
      <c r="F27" s="139"/>
      <c r="G27" s="74"/>
      <c r="I27" s="80"/>
      <c r="K27" s="134">
        <v>164</v>
      </c>
      <c r="L27" s="134">
        <f t="shared" si="1"/>
        <v>15.851238242187955</v>
      </c>
      <c r="M27" s="135">
        <f t="shared" si="2"/>
        <v>2.6286064236780652E-3</v>
      </c>
    </row>
    <row r="28" spans="1:19">
      <c r="A28" s="72" t="s">
        <v>226</v>
      </c>
      <c r="B28" s="72">
        <f>SLOPE(Reeksen!$E$706:$E$710,Reeksen!$I$706:$I$710)</f>
        <v>8.8194289425523689</v>
      </c>
      <c r="C28" s="116"/>
      <c r="D28" s="77"/>
      <c r="E28" s="138"/>
      <c r="F28" s="139"/>
      <c r="G28" s="74"/>
      <c r="H28" s="80"/>
      <c r="I28" s="82"/>
      <c r="J28" s="199"/>
      <c r="K28" s="134">
        <v>165</v>
      </c>
      <c r="L28" s="134">
        <f t="shared" si="1"/>
        <v>15.964624268257642</v>
      </c>
      <c r="M28" s="135">
        <f t="shared" si="2"/>
        <v>2.6099371940442235E-3</v>
      </c>
    </row>
    <row r="29" spans="1:19">
      <c r="A29" s="72" t="s">
        <v>227</v>
      </c>
      <c r="B29" s="72">
        <f>INTERCEPT(Reeksen!$E$706:$E$710,Reeksen!$I$706:$I$710)</f>
        <v>24.201130671554608</v>
      </c>
      <c r="C29" s="116"/>
      <c r="D29" s="77"/>
      <c r="E29" s="138"/>
      <c r="F29" s="139"/>
      <c r="G29" s="74"/>
      <c r="I29" s="82"/>
      <c r="J29" s="199"/>
      <c r="K29" s="134">
        <v>166</v>
      </c>
      <c r="L29" s="134">
        <f t="shared" si="1"/>
        <v>16.078010294327331</v>
      </c>
      <c r="M29" s="135">
        <f t="shared" si="2"/>
        <v>2.5915312842763609E-3</v>
      </c>
      <c r="S29" s="251"/>
    </row>
    <row r="30" spans="1:19">
      <c r="A30" s="72" t="s">
        <v>225</v>
      </c>
      <c r="B30" s="72">
        <f>$B$28*B27+$B$29</f>
        <v>156.49256480984013</v>
      </c>
      <c r="C30" s="116"/>
      <c r="D30" s="77"/>
      <c r="E30" s="138"/>
      <c r="F30" s="139"/>
      <c r="G30" s="74"/>
      <c r="I30" s="82"/>
      <c r="J30" s="199"/>
      <c r="K30" s="134">
        <v>167</v>
      </c>
      <c r="L30" s="134">
        <f t="shared" si="1"/>
        <v>16.191396320397018</v>
      </c>
      <c r="M30" s="135">
        <f t="shared" si="2"/>
        <v>2.5733831624007203E-3</v>
      </c>
      <c r="S30" s="251"/>
    </row>
    <row r="31" spans="1:19" s="79" customFormat="1">
      <c r="A31" s="72" t="s">
        <v>228</v>
      </c>
      <c r="B31" s="124">
        <f>ROUND(B30,0)+2</f>
        <v>158</v>
      </c>
      <c r="C31" s="116"/>
      <c r="D31" s="78"/>
      <c r="E31" s="140"/>
      <c r="F31" s="141"/>
      <c r="G31" s="142"/>
      <c r="H31" s="125"/>
      <c r="I31" s="125"/>
      <c r="J31" s="200"/>
      <c r="K31" s="134">
        <v>168</v>
      </c>
      <c r="L31" s="134">
        <f t="shared" si="1"/>
        <v>16.304782346466705</v>
      </c>
      <c r="M31" s="135">
        <f t="shared" si="2"/>
        <v>2.555487450324411E-3</v>
      </c>
      <c r="N31" s="125"/>
      <c r="O31" s="71"/>
    </row>
    <row r="32" spans="1:19">
      <c r="A32" s="90"/>
      <c r="B32" s="77"/>
      <c r="C32" s="116"/>
      <c r="D32" s="77"/>
      <c r="E32" s="138"/>
      <c r="F32" s="139"/>
      <c r="G32" s="74"/>
      <c r="H32" s="125"/>
      <c r="I32" s="126"/>
      <c r="J32" s="200"/>
      <c r="K32" s="134">
        <v>169</v>
      </c>
      <c r="L32" s="134">
        <f t="shared" si="1"/>
        <v>16.418168372536392</v>
      </c>
      <c r="M32" s="135">
        <f t="shared" si="2"/>
        <v>2.5378389185218052E-3</v>
      </c>
      <c r="N32" s="126"/>
      <c r="O32" s="126"/>
      <c r="S32" s="251"/>
    </row>
    <row r="33" spans="1:16">
      <c r="A33" s="237" t="s">
        <v>505</v>
      </c>
      <c r="H33" s="125"/>
      <c r="I33" s="126"/>
      <c r="J33" s="200"/>
      <c r="K33" s="134">
        <v>170</v>
      </c>
      <c r="L33" s="134">
        <f t="shared" si="1"/>
        <v>16.53155439860608</v>
      </c>
      <c r="M33" s="135">
        <f t="shared" si="2"/>
        <v>2.5204324809395993E-3</v>
      </c>
      <c r="N33" s="126"/>
      <c r="O33" s="126"/>
    </row>
    <row r="34" spans="1:16">
      <c r="G34" s="74"/>
      <c r="H34" s="127"/>
      <c r="I34" s="126"/>
      <c r="J34" s="200"/>
      <c r="K34" s="134">
        <v>171</v>
      </c>
      <c r="L34" s="134">
        <f t="shared" si="1"/>
        <v>16.64494042467577</v>
      </c>
      <c r="M34" s="135">
        <f t="shared" si="2"/>
        <v>2.5032631901101138E-3</v>
      </c>
      <c r="N34" s="126"/>
      <c r="O34" s="126"/>
    </row>
    <row r="35" spans="1:16">
      <c r="A35" s="130" t="s">
        <v>485</v>
      </c>
      <c r="H35" s="125"/>
      <c r="I35" s="126"/>
      <c r="J35" s="200"/>
      <c r="K35" s="134">
        <v>172</v>
      </c>
      <c r="L35" s="134">
        <f t="shared" si="1"/>
        <v>16.758326450745457</v>
      </c>
      <c r="M35" s="135">
        <f t="shared" si="2"/>
        <v>2.4863262324629808E-3</v>
      </c>
      <c r="N35" s="126"/>
      <c r="O35" s="126"/>
    </row>
    <row r="36" spans="1:16">
      <c r="A36"/>
      <c r="I36" s="125"/>
      <c r="J36" s="200"/>
      <c r="K36" s="134">
        <v>173</v>
      </c>
      <c r="L36" s="134">
        <f t="shared" si="1"/>
        <v>16.871712476815144</v>
      </c>
      <c r="M36" s="135">
        <f t="shared" si="2"/>
        <v>2.4696169238258643E-3</v>
      </c>
      <c r="N36" s="125"/>
      <c r="O36" s="125"/>
      <c r="P36" s="125"/>
    </row>
    <row r="37" spans="1:16">
      <c r="A37" s="227" t="s">
        <v>478</v>
      </c>
      <c r="B37" s="228"/>
      <c r="C37" s="228"/>
      <c r="D37" s="228"/>
      <c r="E37" s="228"/>
      <c r="I37" s="125"/>
      <c r="J37" s="200"/>
      <c r="K37" s="134">
        <v>174</v>
      </c>
      <c r="L37" s="134">
        <f t="shared" si="1"/>
        <v>16.985098502884831</v>
      </c>
      <c r="M37" s="135">
        <f t="shared" si="2"/>
        <v>2.4531307051054076E-3</v>
      </c>
      <c r="N37" s="125"/>
      <c r="O37" s="125"/>
      <c r="P37" s="125"/>
    </row>
    <row r="38" spans="1:16">
      <c r="A38" s="227" t="s">
        <v>479</v>
      </c>
      <c r="B38" s="228"/>
      <c r="C38" s="228"/>
      <c r="D38" s="228"/>
      <c r="E38" s="228"/>
      <c r="I38" s="125"/>
      <c r="J38" s="200"/>
      <c r="K38" s="134">
        <v>175</v>
      </c>
      <c r="L38" s="134">
        <f t="shared" si="1"/>
        <v>17.098484528954518</v>
      </c>
      <c r="M38" s="135">
        <f t="shared" si="2"/>
        <v>2.4368631381400186E-3</v>
      </c>
      <c r="N38" s="125"/>
      <c r="O38" s="125"/>
    </row>
    <row r="39" spans="1:16">
      <c r="A39" s="227" t="s">
        <v>480</v>
      </c>
      <c r="B39" s="228"/>
      <c r="C39" s="228"/>
      <c r="D39" s="228"/>
      <c r="E39" s="228"/>
      <c r="I39" s="125"/>
      <c r="J39" s="200"/>
      <c r="K39" s="134">
        <v>176</v>
      </c>
      <c r="L39" s="134">
        <f t="shared" si="1"/>
        <v>17.211870555024205</v>
      </c>
      <c r="M39" s="135">
        <f t="shared" si="2"/>
        <v>2.4208099017165815E-3</v>
      </c>
      <c r="N39" s="125"/>
      <c r="O39" s="125"/>
    </row>
    <row r="40" spans="1:16">
      <c r="A40" s="227" t="s">
        <v>481</v>
      </c>
      <c r="B40" s="228"/>
      <c r="C40" s="228"/>
      <c r="D40" s="228"/>
      <c r="E40" s="228"/>
      <c r="I40" s="125"/>
      <c r="J40" s="201"/>
      <c r="K40" s="134">
        <v>177</v>
      </c>
      <c r="L40" s="134">
        <f t="shared" si="1"/>
        <v>17.325256581093893</v>
      </c>
      <c r="M40" s="135">
        <f t="shared" si="2"/>
        <v>2.4049667877435784E-3</v>
      </c>
      <c r="N40" s="129"/>
    </row>
    <row r="41" spans="1:16">
      <c r="A41" s="227" t="s">
        <v>482</v>
      </c>
      <c r="B41" s="228"/>
      <c r="C41" s="228"/>
      <c r="D41" s="228"/>
      <c r="E41" s="228"/>
      <c r="I41" s="125"/>
      <c r="J41" s="200"/>
      <c r="K41" s="134">
        <v>178</v>
      </c>
      <c r="L41" s="134">
        <f t="shared" si="1"/>
        <v>17.438642607163583</v>
      </c>
      <c r="M41" s="135">
        <f t="shared" si="2"/>
        <v>2.3893296975735089E-3</v>
      </c>
      <c r="N41" s="125"/>
      <c r="O41" s="125"/>
    </row>
    <row r="42" spans="1:16">
      <c r="A42" s="227" t="s">
        <v>483</v>
      </c>
      <c r="B42" s="228"/>
      <c r="C42" s="228"/>
      <c r="D42" s="228"/>
      <c r="E42" s="228"/>
      <c r="J42" s="202"/>
      <c r="K42" s="134">
        <v>179</v>
      </c>
      <c r="L42" s="134">
        <f t="shared" si="1"/>
        <v>17.55202863323327</v>
      </c>
      <c r="M42" s="135">
        <f t="shared" si="2"/>
        <v>2.3738946384678512E-3</v>
      </c>
      <c r="N42" s="128"/>
      <c r="O42" s="128"/>
    </row>
    <row r="43" spans="1:16">
      <c r="A43" s="227" t="s">
        <v>484</v>
      </c>
      <c r="B43" s="228"/>
      <c r="C43" s="228"/>
      <c r="D43" s="228"/>
      <c r="E43" s="228"/>
      <c r="J43" s="202"/>
      <c r="K43" s="134">
        <v>180</v>
      </c>
      <c r="L43" s="134">
        <f t="shared" si="1"/>
        <v>17.665414659302957</v>
      </c>
      <c r="M43" s="135">
        <f t="shared" si="2"/>
        <v>2.3586577201981599E-3</v>
      </c>
    </row>
    <row r="44" spans="1:16">
      <c r="A44"/>
      <c r="J44" s="202"/>
      <c r="K44" s="134">
        <v>181</v>
      </c>
      <c r="L44" s="134">
        <f t="shared" si="1"/>
        <v>17.778800685372644</v>
      </c>
      <c r="M44" s="135">
        <f t="shared" si="2"/>
        <v>2.3436151517772265E-3</v>
      </c>
    </row>
    <row r="45" spans="1:16">
      <c r="A45"/>
      <c r="K45" s="134">
        <v>182</v>
      </c>
      <c r="L45" s="134">
        <f t="shared" si="1"/>
        <v>17.892186711442331</v>
      </c>
      <c r="M45" s="135">
        <f t="shared" si="2"/>
        <v>2.3287632383145315E-3</v>
      </c>
    </row>
    <row r="46" spans="1:16">
      <c r="K46" s="134">
        <v>183</v>
      </c>
      <c r="L46" s="134">
        <f t="shared" si="1"/>
        <v>18.005572737512018</v>
      </c>
      <c r="M46" s="135">
        <f t="shared" si="2"/>
        <v>2.3140983779905075E-3</v>
      </c>
    </row>
    <row r="47" spans="1:16">
      <c r="A47" s="237"/>
      <c r="B47" s="237"/>
      <c r="C47" s="237"/>
      <c r="M47" s="131"/>
    </row>
    <row r="48" spans="1:16">
      <c r="A48" s="237"/>
      <c r="B48" s="237"/>
      <c r="C48" s="237"/>
    </row>
    <row r="49" spans="1:13">
      <c r="A49" s="237"/>
      <c r="B49" s="237"/>
      <c r="C49" s="237"/>
      <c r="M49" s="131"/>
    </row>
    <row r="50" spans="1:13">
      <c r="A50" s="237"/>
      <c r="B50" s="237"/>
      <c r="C50" s="237"/>
      <c r="M50" s="131"/>
    </row>
    <row r="51" spans="1:13">
      <c r="A51" s="237"/>
      <c r="B51" s="237"/>
      <c r="C51" s="237"/>
      <c r="M51" s="131"/>
    </row>
    <row r="52" spans="1:13">
      <c r="A52" s="237"/>
      <c r="B52" s="237"/>
      <c r="C52" s="237"/>
      <c r="M52" s="131"/>
    </row>
    <row r="53" spans="1:13">
      <c r="A53" s="237"/>
      <c r="B53" s="237"/>
      <c r="C53" s="237"/>
      <c r="M53" s="131"/>
    </row>
    <row r="54" spans="1:13">
      <c r="A54" s="237"/>
      <c r="B54" s="237"/>
      <c r="C54" s="237"/>
      <c r="M54" s="131"/>
    </row>
    <row r="55" spans="1:13">
      <c r="A55" s="237"/>
      <c r="B55" s="237"/>
      <c r="C55" s="237"/>
      <c r="M55" s="131"/>
    </row>
    <row r="56" spans="1:13">
      <c r="A56" s="237"/>
      <c r="B56" s="237"/>
      <c r="C56" s="237"/>
      <c r="M56" s="131"/>
    </row>
    <row r="57" spans="1:13">
      <c r="M57" s="131"/>
    </row>
    <row r="58" spans="1:13">
      <c r="M58" s="131"/>
    </row>
    <row r="59" spans="1:13">
      <c r="M59" s="131"/>
    </row>
    <row r="60" spans="1:13">
      <c r="M60" s="131"/>
    </row>
    <row r="61" spans="1:13">
      <c r="M61" s="131"/>
    </row>
    <row r="62" spans="1:13">
      <c r="M62" s="131"/>
    </row>
    <row r="63" spans="1:13">
      <c r="M63" s="131"/>
    </row>
    <row r="64" spans="1:13">
      <c r="M64" s="131"/>
    </row>
    <row r="65" spans="13:13">
      <c r="M65" s="131"/>
    </row>
    <row r="66" spans="13:13">
      <c r="M66" s="131"/>
    </row>
    <row r="67" spans="13:13">
      <c r="M67" s="131"/>
    </row>
    <row r="68" spans="13:13">
      <c r="M68" s="131"/>
    </row>
    <row r="69" spans="13:13">
      <c r="M69" s="131"/>
    </row>
    <row r="70" spans="13:13">
      <c r="M70" s="131"/>
    </row>
    <row r="71" spans="13:13">
      <c r="M71" s="131"/>
    </row>
    <row r="72" spans="13:13">
      <c r="M72" s="131"/>
    </row>
    <row r="73" spans="13:13">
      <c r="M73" s="131"/>
    </row>
    <row r="74" spans="13:13">
      <c r="M74" s="131"/>
    </row>
    <row r="75" spans="13:13">
      <c r="M75" s="131"/>
    </row>
    <row r="76" spans="13:13">
      <c r="M76" s="131"/>
    </row>
    <row r="77" spans="13:13">
      <c r="M77" s="131"/>
    </row>
    <row r="78" spans="13:13">
      <c r="M78" s="131"/>
    </row>
    <row r="79" spans="13:13">
      <c r="M79" s="131"/>
    </row>
    <row r="80" spans="13:13">
      <c r="M80" s="131"/>
    </row>
    <row r="81" spans="13:13">
      <c r="M81" s="131"/>
    </row>
    <row r="82" spans="13:13">
      <c r="M82" s="131"/>
    </row>
    <row r="83" spans="13:13">
      <c r="M83" s="131"/>
    </row>
    <row r="84" spans="13:13">
      <c r="M84" s="131"/>
    </row>
    <row r="85" spans="13:13">
      <c r="M85" s="131"/>
    </row>
    <row r="86" spans="13:13">
      <c r="M86" s="131"/>
    </row>
    <row r="87" spans="13:13">
      <c r="M87" s="131"/>
    </row>
    <row r="88" spans="13:13">
      <c r="M88" s="131"/>
    </row>
    <row r="89" spans="13:13">
      <c r="M89" s="131"/>
    </row>
    <row r="90" spans="13:13">
      <c r="M90" s="131"/>
    </row>
    <row r="91" spans="13:13">
      <c r="M91" s="131"/>
    </row>
    <row r="92" spans="13:13">
      <c r="M92" s="131"/>
    </row>
    <row r="93" spans="13:13">
      <c r="M93" s="131"/>
    </row>
    <row r="94" spans="13:13">
      <c r="M94" s="131"/>
    </row>
    <row r="95" spans="13:13">
      <c r="M95" s="131"/>
    </row>
    <row r="96" spans="13:13">
      <c r="M96" s="131"/>
    </row>
    <row r="97" spans="13:13">
      <c r="M97" s="131"/>
    </row>
    <row r="98" spans="13:13">
      <c r="M98" s="131"/>
    </row>
    <row r="99" spans="13:13">
      <c r="M99" s="131"/>
    </row>
    <row r="100" spans="13:13">
      <c r="M100" s="131"/>
    </row>
    <row r="101" spans="13:13">
      <c r="M101" s="131"/>
    </row>
    <row r="102" spans="13:13">
      <c r="M102" s="131"/>
    </row>
    <row r="103" spans="13:13">
      <c r="M103" s="131"/>
    </row>
    <row r="104" spans="13:13">
      <c r="M104" s="131"/>
    </row>
    <row r="105" spans="13:13">
      <c r="M105" s="131"/>
    </row>
    <row r="106" spans="13:13">
      <c r="M106" s="131"/>
    </row>
    <row r="107" spans="13:13">
      <c r="M107" s="131"/>
    </row>
    <row r="108" spans="13:13">
      <c r="M108" s="131"/>
    </row>
    <row r="109" spans="13:13">
      <c r="M109" s="131"/>
    </row>
    <row r="110" spans="13:13">
      <c r="M110" s="131"/>
    </row>
    <row r="111" spans="13:13">
      <c r="M111" s="131"/>
    </row>
    <row r="112" spans="13:13">
      <c r="M112" s="131"/>
    </row>
    <row r="113" spans="13:13">
      <c r="M113" s="131"/>
    </row>
    <row r="114" spans="13:13">
      <c r="M114" s="131"/>
    </row>
    <row r="115" spans="13:13">
      <c r="M115" s="131"/>
    </row>
    <row r="116" spans="13:13">
      <c r="M116" s="131"/>
    </row>
    <row r="117" spans="13:13">
      <c r="M117" s="131"/>
    </row>
    <row r="118" spans="13:13">
      <c r="M118" s="131"/>
    </row>
    <row r="119" spans="13:13">
      <c r="M119" s="131"/>
    </row>
    <row r="120" spans="13:13">
      <c r="M120" s="131"/>
    </row>
    <row r="121" spans="13:13">
      <c r="M121" s="131"/>
    </row>
    <row r="122" spans="13:13">
      <c r="M122" s="131"/>
    </row>
    <row r="123" spans="13:13">
      <c r="M123" s="131"/>
    </row>
    <row r="124" spans="13:13">
      <c r="M124" s="131"/>
    </row>
    <row r="125" spans="13:13">
      <c r="M125" s="131"/>
    </row>
    <row r="126" spans="13:13">
      <c r="M126" s="131"/>
    </row>
    <row r="127" spans="13:13">
      <c r="M127" s="131"/>
    </row>
    <row r="128" spans="13:13">
      <c r="M128" s="131"/>
    </row>
    <row r="129" spans="13:13">
      <c r="M129" s="131"/>
    </row>
    <row r="130" spans="13:13">
      <c r="M130" s="131"/>
    </row>
    <row r="131" spans="13:13">
      <c r="M131" s="131"/>
    </row>
    <row r="132" spans="13:13">
      <c r="M132" s="131"/>
    </row>
    <row r="133" spans="13:13">
      <c r="M133" s="131"/>
    </row>
    <row r="134" spans="13:13">
      <c r="M134" s="131"/>
    </row>
    <row r="135" spans="13:13">
      <c r="M135" s="131"/>
    </row>
    <row r="136" spans="13:13">
      <c r="M136" s="131"/>
    </row>
    <row r="137" spans="13:13">
      <c r="M137" s="131"/>
    </row>
    <row r="138" spans="13:13">
      <c r="M138" s="131"/>
    </row>
    <row r="139" spans="13:13">
      <c r="M139" s="131"/>
    </row>
    <row r="140" spans="13:13">
      <c r="M140" s="131"/>
    </row>
    <row r="141" spans="13:13">
      <c r="M141" s="131"/>
    </row>
    <row r="142" spans="13:13">
      <c r="M142" s="131"/>
    </row>
    <row r="143" spans="13:13">
      <c r="M143" s="131"/>
    </row>
    <row r="144" spans="13:13">
      <c r="M144" s="131"/>
    </row>
    <row r="145" spans="13:13">
      <c r="M145" s="131"/>
    </row>
    <row r="146" spans="13:13">
      <c r="M146" s="131"/>
    </row>
    <row r="147" spans="13:13">
      <c r="M147" s="131"/>
    </row>
    <row r="148" spans="13:13">
      <c r="M148" s="131"/>
    </row>
    <row r="149" spans="13:13">
      <c r="M149" s="131"/>
    </row>
    <row r="150" spans="13:13">
      <c r="M150" s="131"/>
    </row>
    <row r="151" spans="13:13">
      <c r="M151" s="131"/>
    </row>
    <row r="152" spans="13:13">
      <c r="M152" s="131"/>
    </row>
    <row r="153" spans="13:13">
      <c r="M153" s="131"/>
    </row>
    <row r="154" spans="13:13">
      <c r="M154" s="131"/>
    </row>
    <row r="155" spans="13:13">
      <c r="M155" s="131"/>
    </row>
    <row r="156" spans="13:13">
      <c r="M156" s="131"/>
    </row>
    <row r="157" spans="13:13">
      <c r="M157" s="131"/>
    </row>
    <row r="158" spans="13:13">
      <c r="M158" s="131"/>
    </row>
    <row r="159" spans="13:13">
      <c r="M159" s="131"/>
    </row>
    <row r="160" spans="13:13">
      <c r="M160" s="131"/>
    </row>
    <row r="161" spans="13:13">
      <c r="M161" s="131"/>
    </row>
    <row r="162" spans="13:13">
      <c r="M162" s="131"/>
    </row>
    <row r="163" spans="13:13">
      <c r="M163" s="131"/>
    </row>
    <row r="164" spans="13:13">
      <c r="M164" s="131"/>
    </row>
    <row r="165" spans="13:13">
      <c r="M165" s="131"/>
    </row>
    <row r="166" spans="13:13">
      <c r="M166" s="131"/>
    </row>
    <row r="167" spans="13:13">
      <c r="M167" s="131"/>
    </row>
    <row r="168" spans="13:13">
      <c r="M168" s="131"/>
    </row>
    <row r="169" spans="13:13">
      <c r="M169" s="131"/>
    </row>
    <row r="170" spans="13:13">
      <c r="M170" s="131"/>
    </row>
    <row r="171" spans="13:13">
      <c r="M171" s="131"/>
    </row>
    <row r="172" spans="13:13">
      <c r="M172" s="131"/>
    </row>
    <row r="173" spans="13:13">
      <c r="M173" s="131"/>
    </row>
    <row r="174" spans="13:13">
      <c r="M174" s="131"/>
    </row>
    <row r="175" spans="13:13">
      <c r="M175" s="131"/>
    </row>
    <row r="176" spans="13:13">
      <c r="M176" s="131"/>
    </row>
    <row r="177" spans="13:13">
      <c r="M177" s="131"/>
    </row>
    <row r="178" spans="13:13">
      <c r="M178" s="131"/>
    </row>
    <row r="179" spans="13:13">
      <c r="M179" s="131"/>
    </row>
    <row r="180" spans="13:13">
      <c r="M180" s="131"/>
    </row>
    <row r="181" spans="13:13">
      <c r="M181" s="131"/>
    </row>
    <row r="182" spans="13:13">
      <c r="M182" s="131"/>
    </row>
    <row r="183" spans="13:13">
      <c r="M183" s="131"/>
    </row>
    <row r="184" spans="13:13">
      <c r="M184" s="131"/>
    </row>
    <row r="185" spans="13:13">
      <c r="M185" s="131"/>
    </row>
    <row r="186" spans="13:13">
      <c r="M186" s="131"/>
    </row>
    <row r="187" spans="13:13">
      <c r="M187" s="131"/>
    </row>
    <row r="188" spans="13:13">
      <c r="M188" s="131"/>
    </row>
    <row r="189" spans="13:13">
      <c r="M189" s="131"/>
    </row>
    <row r="190" spans="13:13">
      <c r="M190" s="131"/>
    </row>
    <row r="191" spans="13:13">
      <c r="M191" s="131"/>
    </row>
    <row r="192" spans="13:13">
      <c r="M192" s="131"/>
    </row>
    <row r="193" spans="13:13">
      <c r="M193" s="131"/>
    </row>
    <row r="194" spans="13:13">
      <c r="M194" s="131"/>
    </row>
    <row r="195" spans="13:13">
      <c r="M195" s="131"/>
    </row>
    <row r="196" spans="13:13">
      <c r="M196" s="131"/>
    </row>
    <row r="197" spans="13:13">
      <c r="M197" s="131"/>
    </row>
    <row r="198" spans="13:13">
      <c r="M198" s="131"/>
    </row>
    <row r="199" spans="13:13">
      <c r="M199" s="131"/>
    </row>
    <row r="200" spans="13:13">
      <c r="M200" s="131"/>
    </row>
    <row r="201" spans="13:13">
      <c r="M201" s="131"/>
    </row>
    <row r="202" spans="13:13">
      <c r="M202" s="131"/>
    </row>
    <row r="203" spans="13:13">
      <c r="M203" s="131"/>
    </row>
    <row r="204" spans="13:13">
      <c r="M204" s="131"/>
    </row>
    <row r="205" spans="13:13">
      <c r="M205" s="131"/>
    </row>
    <row r="206" spans="13:13">
      <c r="M206" s="131"/>
    </row>
    <row r="207" spans="13:13">
      <c r="M207" s="131"/>
    </row>
    <row r="208" spans="13:13">
      <c r="M208" s="131"/>
    </row>
    <row r="209" spans="13:13">
      <c r="M209" s="131"/>
    </row>
    <row r="210" spans="13:13">
      <c r="M210" s="131"/>
    </row>
    <row r="211" spans="13:13">
      <c r="M211" s="131"/>
    </row>
    <row r="212" spans="13:13">
      <c r="M212" s="131"/>
    </row>
    <row r="213" spans="13:13">
      <c r="M213" s="131"/>
    </row>
    <row r="214" spans="13:13">
      <c r="M214" s="131"/>
    </row>
    <row r="215" spans="13:13">
      <c r="M215" s="131"/>
    </row>
    <row r="216" spans="13:13">
      <c r="M216" s="131"/>
    </row>
    <row r="217" spans="13:13">
      <c r="M217" s="131"/>
    </row>
    <row r="218" spans="13:13">
      <c r="M218" s="131"/>
    </row>
    <row r="219" spans="13:13">
      <c r="M219" s="131"/>
    </row>
    <row r="220" spans="13:13">
      <c r="M220" s="131"/>
    </row>
    <row r="221" spans="13:13">
      <c r="M221" s="131"/>
    </row>
    <row r="222" spans="13:13">
      <c r="M222" s="131"/>
    </row>
    <row r="223" spans="13:13">
      <c r="M223" s="131"/>
    </row>
    <row r="224" spans="13:13">
      <c r="M224" s="131"/>
    </row>
    <row r="225" spans="13:13">
      <c r="M225" s="131"/>
    </row>
    <row r="226" spans="13:13">
      <c r="M226" s="131"/>
    </row>
    <row r="227" spans="13:13">
      <c r="M227" s="131"/>
    </row>
    <row r="228" spans="13:13">
      <c r="M228" s="131"/>
    </row>
    <row r="229" spans="13:13">
      <c r="M229" s="131"/>
    </row>
    <row r="230" spans="13:13">
      <c r="M230" s="131"/>
    </row>
    <row r="231" spans="13:13">
      <c r="M231" s="131"/>
    </row>
    <row r="232" spans="13:13">
      <c r="M232" s="131"/>
    </row>
    <row r="233" spans="13:13">
      <c r="M233" s="131"/>
    </row>
    <row r="234" spans="13:13">
      <c r="M234" s="131"/>
    </row>
    <row r="235" spans="13:13">
      <c r="M235" s="131"/>
    </row>
    <row r="236" spans="13:13">
      <c r="M236" s="131"/>
    </row>
    <row r="237" spans="13:13">
      <c r="M237" s="131"/>
    </row>
    <row r="238" spans="13:13">
      <c r="M238" s="131"/>
    </row>
    <row r="239" spans="13:13">
      <c r="M239" s="131"/>
    </row>
    <row r="240" spans="13:13">
      <c r="M240" s="131"/>
    </row>
    <row r="241" spans="13:13">
      <c r="M241" s="131"/>
    </row>
    <row r="242" spans="13:13">
      <c r="M242" s="131"/>
    </row>
    <row r="243" spans="13:13">
      <c r="M243" s="131"/>
    </row>
    <row r="244" spans="13:13">
      <c r="M244" s="131"/>
    </row>
    <row r="245" spans="13:13">
      <c r="M245" s="131"/>
    </row>
    <row r="246" spans="13:13">
      <c r="M246" s="131"/>
    </row>
    <row r="247" spans="13:13">
      <c r="M247" s="131"/>
    </row>
    <row r="248" spans="13:13">
      <c r="M248" s="131"/>
    </row>
    <row r="249" spans="13:13">
      <c r="M249" s="131"/>
    </row>
    <row r="250" spans="13:13">
      <c r="M250" s="131"/>
    </row>
    <row r="251" spans="13:13">
      <c r="M251" s="131"/>
    </row>
    <row r="252" spans="13:13">
      <c r="M252" s="131"/>
    </row>
    <row r="253" spans="13:13">
      <c r="M253" s="131"/>
    </row>
    <row r="254" spans="13:13">
      <c r="M254" s="131"/>
    </row>
    <row r="255" spans="13:13">
      <c r="M255" s="131"/>
    </row>
    <row r="256" spans="13:13">
      <c r="M256" s="131"/>
    </row>
    <row r="257" spans="13:13">
      <c r="M257" s="131"/>
    </row>
    <row r="258" spans="13:13">
      <c r="M258" s="131"/>
    </row>
    <row r="259" spans="13:13">
      <c r="M259" s="131"/>
    </row>
    <row r="260" spans="13:13">
      <c r="M260" s="131"/>
    </row>
    <row r="261" spans="13:13">
      <c r="M261" s="131"/>
    </row>
    <row r="262" spans="13:13">
      <c r="M262" s="131"/>
    </row>
    <row r="263" spans="13:13">
      <c r="M263" s="131"/>
    </row>
    <row r="264" spans="13:13">
      <c r="M264" s="131"/>
    </row>
    <row r="265" spans="13:13">
      <c r="M265" s="131"/>
    </row>
    <row r="266" spans="13:13">
      <c r="M266" s="131"/>
    </row>
    <row r="267" spans="13:13">
      <c r="M267" s="131"/>
    </row>
    <row r="268" spans="13:13">
      <c r="M268" s="131"/>
    </row>
    <row r="269" spans="13:13">
      <c r="M269" s="131"/>
    </row>
    <row r="270" spans="13:13">
      <c r="M270" s="131"/>
    </row>
    <row r="271" spans="13:13">
      <c r="M271" s="131"/>
    </row>
    <row r="272" spans="13:13">
      <c r="M272" s="131"/>
    </row>
    <row r="273" spans="13:13">
      <c r="M273" s="131"/>
    </row>
    <row r="274" spans="13:13">
      <c r="M274" s="131"/>
    </row>
    <row r="275" spans="13:13">
      <c r="M275" s="131"/>
    </row>
    <row r="276" spans="13:13">
      <c r="M276" s="131"/>
    </row>
    <row r="277" spans="13:13">
      <c r="M277" s="131"/>
    </row>
    <row r="278" spans="13:13">
      <c r="M278" s="131"/>
    </row>
    <row r="279" spans="13:13">
      <c r="M279" s="131"/>
    </row>
    <row r="280" spans="13:13">
      <c r="M280" s="131"/>
    </row>
    <row r="281" spans="13:13">
      <c r="M281" s="131"/>
    </row>
    <row r="282" spans="13:13">
      <c r="M282" s="131"/>
    </row>
    <row r="283" spans="13:13">
      <c r="M283" s="131"/>
    </row>
    <row r="284" spans="13:13">
      <c r="M284" s="131"/>
    </row>
    <row r="285" spans="13:13">
      <c r="M285" s="131"/>
    </row>
    <row r="286" spans="13:13">
      <c r="M286" s="131"/>
    </row>
    <row r="287" spans="13:13">
      <c r="M287" s="131"/>
    </row>
    <row r="288" spans="13:13">
      <c r="M288" s="131"/>
    </row>
    <row r="289" spans="13:13">
      <c r="M289" s="131"/>
    </row>
    <row r="290" spans="13:13">
      <c r="M290" s="131"/>
    </row>
    <row r="291" spans="13:13">
      <c r="M291" s="131"/>
    </row>
    <row r="292" spans="13:13">
      <c r="M292" s="131"/>
    </row>
    <row r="293" spans="13:13">
      <c r="M293" s="131"/>
    </row>
    <row r="294" spans="13:13">
      <c r="M294" s="131"/>
    </row>
    <row r="295" spans="13:13">
      <c r="M295" s="131"/>
    </row>
    <row r="296" spans="13:13">
      <c r="M296" s="131"/>
    </row>
    <row r="297" spans="13:13">
      <c r="M297" s="131"/>
    </row>
    <row r="298" spans="13:13">
      <c r="M298" s="131"/>
    </row>
    <row r="299" spans="13:13">
      <c r="M299" s="131"/>
    </row>
    <row r="300" spans="13:13">
      <c r="M300" s="131"/>
    </row>
    <row r="301" spans="13:13">
      <c r="M301" s="131"/>
    </row>
    <row r="302" spans="13:13">
      <c r="M302" s="131"/>
    </row>
    <row r="303" spans="13:13">
      <c r="M303" s="131"/>
    </row>
    <row r="304" spans="13:13">
      <c r="M304" s="131"/>
    </row>
    <row r="305" spans="13:13">
      <c r="M305" s="131"/>
    </row>
    <row r="306" spans="13:13">
      <c r="M306" s="131"/>
    </row>
    <row r="307" spans="13:13">
      <c r="M307" s="131"/>
    </row>
    <row r="308" spans="13:13">
      <c r="M308" s="131"/>
    </row>
    <row r="309" spans="13:13">
      <c r="M309" s="131"/>
    </row>
    <row r="310" spans="13:13">
      <c r="M310" s="131"/>
    </row>
    <row r="311" spans="13:13">
      <c r="M311" s="131"/>
    </row>
    <row r="312" spans="13:13">
      <c r="M312" s="131"/>
    </row>
    <row r="313" spans="13:13">
      <c r="M313" s="131"/>
    </row>
    <row r="314" spans="13:13">
      <c r="M314" s="131"/>
    </row>
    <row r="315" spans="13:13">
      <c r="M315" s="131"/>
    </row>
    <row r="316" spans="13:13">
      <c r="M316" s="131"/>
    </row>
    <row r="317" spans="13:13">
      <c r="M317" s="131"/>
    </row>
    <row r="318" spans="13:13">
      <c r="M318" s="131"/>
    </row>
    <row r="319" spans="13:13">
      <c r="M319" s="131"/>
    </row>
    <row r="320" spans="13:13">
      <c r="M320" s="131"/>
    </row>
    <row r="321" spans="13:13">
      <c r="M321" s="131"/>
    </row>
    <row r="322" spans="13:13">
      <c r="M322" s="131"/>
    </row>
    <row r="323" spans="13:13">
      <c r="M323" s="131"/>
    </row>
    <row r="324" spans="13:13">
      <c r="M324" s="131"/>
    </row>
    <row r="325" spans="13:13">
      <c r="M325" s="131"/>
    </row>
    <row r="326" spans="13:13">
      <c r="M326" s="131"/>
    </row>
    <row r="327" spans="13:13">
      <c r="M327" s="131"/>
    </row>
    <row r="328" spans="13:13">
      <c r="M328" s="131"/>
    </row>
    <row r="329" spans="13:13">
      <c r="M329" s="131"/>
    </row>
    <row r="330" spans="13:13">
      <c r="M330" s="131"/>
    </row>
    <row r="331" spans="13:13">
      <c r="M331" s="131"/>
    </row>
    <row r="332" spans="13:13">
      <c r="M332" s="131"/>
    </row>
    <row r="333" spans="13:13">
      <c r="M333" s="131"/>
    </row>
    <row r="334" spans="13:13">
      <c r="M334" s="131"/>
    </row>
    <row r="335" spans="13:13">
      <c r="M335" s="131"/>
    </row>
    <row r="336" spans="13:13">
      <c r="M336" s="131"/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42"/>
  <sheetViews>
    <sheetView topLeftCell="A4" workbookViewId="0">
      <selection activeCell="B48" sqref="B48"/>
    </sheetView>
  </sheetViews>
  <sheetFormatPr defaultColWidth="11.5703125" defaultRowHeight="12.75"/>
  <cols>
    <col min="1" max="1" width="11.7109375" customWidth="1"/>
    <col min="2" max="2" width="7.7109375" customWidth="1"/>
  </cols>
  <sheetData>
    <row r="1" spans="1:2" ht="15">
      <c r="A1" s="1" t="s">
        <v>34</v>
      </c>
      <c r="B1" s="1" t="s">
        <v>35</v>
      </c>
    </row>
    <row r="2" spans="1:2" ht="15">
      <c r="A2" s="1" t="s">
        <v>36</v>
      </c>
      <c r="B2" s="1" t="s">
        <v>37</v>
      </c>
    </row>
    <row r="3" spans="1:2" ht="15">
      <c r="A3" s="1" t="s">
        <v>38</v>
      </c>
      <c r="B3" s="1" t="s">
        <v>39</v>
      </c>
    </row>
    <row r="4" spans="1:2" ht="15">
      <c r="A4" s="1" t="s">
        <v>40</v>
      </c>
      <c r="B4" s="1" t="s">
        <v>41</v>
      </c>
    </row>
    <row r="5" spans="1:2" ht="15">
      <c r="A5" s="1" t="s">
        <v>42</v>
      </c>
      <c r="B5" s="1" t="s">
        <v>43</v>
      </c>
    </row>
    <row r="6" spans="1:2" ht="15">
      <c r="A6" s="1" t="s">
        <v>44</v>
      </c>
      <c r="B6" s="1" t="s">
        <v>45</v>
      </c>
    </row>
    <row r="7" spans="1:2" ht="15">
      <c r="A7" s="1" t="s">
        <v>46</v>
      </c>
      <c r="B7" s="1"/>
    </row>
    <row r="8" spans="1:2" ht="15">
      <c r="A8" s="1"/>
      <c r="B8" s="1"/>
    </row>
    <row r="9" spans="1:2" ht="15">
      <c r="A9" s="1" t="s">
        <v>47</v>
      </c>
      <c r="B9" s="1" t="s">
        <v>48</v>
      </c>
    </row>
    <row r="10" spans="1:2" ht="15">
      <c r="A10" s="1" t="s">
        <v>49</v>
      </c>
      <c r="B10" s="1" t="s">
        <v>50</v>
      </c>
    </row>
    <row r="11" spans="1:2" ht="15">
      <c r="A11" s="1" t="s">
        <v>51</v>
      </c>
      <c r="B11" s="1" t="s">
        <v>52</v>
      </c>
    </row>
    <row r="12" spans="1:2" ht="15">
      <c r="A12" s="1" t="s">
        <v>53</v>
      </c>
      <c r="B12" s="1" t="s">
        <v>54</v>
      </c>
    </row>
    <row r="13" spans="1:2" ht="15">
      <c r="A13" s="1" t="s">
        <v>55</v>
      </c>
      <c r="B13" s="1" t="s">
        <v>56</v>
      </c>
    </row>
    <row r="14" spans="1:2" ht="15">
      <c r="A14" s="1" t="s">
        <v>57</v>
      </c>
      <c r="B14" s="1" t="s">
        <v>58</v>
      </c>
    </row>
    <row r="15" spans="1:2" ht="15">
      <c r="A15" s="1" t="s">
        <v>59</v>
      </c>
      <c r="B15" s="1" t="s">
        <v>60</v>
      </c>
    </row>
    <row r="16" spans="1:2" ht="15">
      <c r="A16" s="1" t="s">
        <v>61</v>
      </c>
      <c r="B16" s="1" t="s">
        <v>62</v>
      </c>
    </row>
    <row r="17" spans="1:3" ht="15">
      <c r="A17" s="1" t="s">
        <v>63</v>
      </c>
      <c r="B17" s="1" t="s">
        <v>64</v>
      </c>
    </row>
    <row r="18" spans="1:3" ht="15">
      <c r="A18" s="1" t="s">
        <v>65</v>
      </c>
      <c r="B18" s="1" t="s">
        <v>66</v>
      </c>
    </row>
    <row r="19" spans="1:3" ht="15">
      <c r="A19" s="1" t="s">
        <v>67</v>
      </c>
      <c r="B19" s="1"/>
    </row>
    <row r="21" spans="1:3" ht="15">
      <c r="A21" s="88" t="s">
        <v>42</v>
      </c>
      <c r="B21" s="88" t="s">
        <v>130</v>
      </c>
    </row>
    <row r="22" spans="1:3" ht="15">
      <c r="A22" s="88" t="s">
        <v>65</v>
      </c>
      <c r="B22" s="88" t="s">
        <v>131</v>
      </c>
    </row>
    <row r="23" spans="1:3" ht="15">
      <c r="A23" s="88" t="s">
        <v>132</v>
      </c>
      <c r="B23" s="88" t="s">
        <v>133</v>
      </c>
    </row>
    <row r="24" spans="1:3" ht="15">
      <c r="A24" s="88" t="s">
        <v>134</v>
      </c>
      <c r="B24" s="88" t="s">
        <v>135</v>
      </c>
    </row>
    <row r="25" spans="1:3" ht="15">
      <c r="A25" s="88" t="s">
        <v>136</v>
      </c>
    </row>
    <row r="27" spans="1:3" ht="15">
      <c r="A27" s="88" t="s">
        <v>137</v>
      </c>
    </row>
    <row r="29" spans="1:3" ht="15">
      <c r="A29" s="88" t="s">
        <v>138</v>
      </c>
    </row>
    <row r="32" spans="1:3">
      <c r="A32" t="s">
        <v>140</v>
      </c>
      <c r="B32">
        <f>156*4+177*2</f>
        <v>978</v>
      </c>
      <c r="C32" t="s">
        <v>141</v>
      </c>
    </row>
    <row r="33" spans="1:3">
      <c r="A33" t="s">
        <v>142</v>
      </c>
      <c r="B33">
        <v>30</v>
      </c>
      <c r="C33" t="s">
        <v>143</v>
      </c>
    </row>
    <row r="34" spans="1:3">
      <c r="A34" t="s">
        <v>144</v>
      </c>
      <c r="B34">
        <f>B32*B33/100</f>
        <v>293.39999999999998</v>
      </c>
      <c r="C34" t="s">
        <v>145</v>
      </c>
    </row>
    <row r="35" spans="1:3">
      <c r="A35" t="s">
        <v>140</v>
      </c>
      <c r="B35">
        <f>B34/1000</f>
        <v>0.29339999999999999</v>
      </c>
      <c r="C35" t="s">
        <v>139</v>
      </c>
    </row>
    <row r="37" spans="1:3">
      <c r="A37" s="91" t="s">
        <v>146</v>
      </c>
      <c r="B37">
        <v>156</v>
      </c>
      <c r="C37" t="s">
        <v>141</v>
      </c>
    </row>
    <row r="38" spans="1:3">
      <c r="A38" t="s">
        <v>147</v>
      </c>
      <c r="B38">
        <v>156</v>
      </c>
      <c r="C38" t="s">
        <v>141</v>
      </c>
    </row>
    <row r="39" spans="1:3">
      <c r="A39" t="s">
        <v>148</v>
      </c>
      <c r="B39">
        <v>177</v>
      </c>
      <c r="C39" t="s">
        <v>141</v>
      </c>
    </row>
    <row r="40" spans="1:3">
      <c r="A40" t="s">
        <v>149</v>
      </c>
      <c r="B40">
        <v>156</v>
      </c>
      <c r="C40" t="s">
        <v>141</v>
      </c>
    </row>
    <row r="41" spans="1:3">
      <c r="A41" t="s">
        <v>150</v>
      </c>
      <c r="B41">
        <v>156</v>
      </c>
      <c r="C41" t="s">
        <v>141</v>
      </c>
    </row>
    <row r="42" spans="1:3">
      <c r="A42" t="s">
        <v>151</v>
      </c>
      <c r="B42">
        <v>177</v>
      </c>
      <c r="C42" t="s">
        <v>141</v>
      </c>
    </row>
  </sheetData>
  <phoneticPr fontId="0" type="noConversion"/>
  <printOptions gridLines="1" gridLinesSet="0"/>
  <pageMargins left="0.75" right="0.75" top="1" bottom="1" header="0.51181102300000003" footer="0.51181102300000003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45"/>
  <sheetViews>
    <sheetView workbookViewId="0">
      <selection activeCell="I18" sqref="I18"/>
    </sheetView>
  </sheetViews>
  <sheetFormatPr defaultRowHeight="13.5"/>
  <cols>
    <col min="1" max="1" width="14.5703125" style="206" customWidth="1"/>
    <col min="2" max="2" width="4.28515625" style="206" customWidth="1"/>
    <col min="3" max="4" width="5.42578125" style="206" customWidth="1"/>
    <col min="5" max="5" width="44.42578125" style="209" customWidth="1"/>
    <col min="6" max="6" width="6.85546875" style="209" customWidth="1"/>
    <col min="7" max="7" width="3.85546875" style="209" customWidth="1"/>
    <col min="8" max="8" width="6.85546875" style="206" customWidth="1"/>
    <col min="9" max="9" width="56.5703125" style="203" customWidth="1"/>
    <col min="10" max="16384" width="9.140625" style="203"/>
  </cols>
  <sheetData>
    <row r="1" spans="1:10" ht="27">
      <c r="E1" s="207" t="s">
        <v>308</v>
      </c>
      <c r="F1" s="207"/>
      <c r="G1" s="207"/>
      <c r="I1" s="208" t="s">
        <v>388</v>
      </c>
    </row>
    <row r="2" spans="1:10">
      <c r="E2" s="209" t="s">
        <v>309</v>
      </c>
    </row>
    <row r="3" spans="1:10" ht="27">
      <c r="E3" s="210" t="s">
        <v>387</v>
      </c>
      <c r="F3" s="210"/>
      <c r="G3" s="210"/>
    </row>
    <row r="6" spans="1:10">
      <c r="A6" s="211">
        <v>38481</v>
      </c>
      <c r="B6" s="212">
        <v>1</v>
      </c>
      <c r="C6" s="212" t="s">
        <v>310</v>
      </c>
      <c r="D6" s="212">
        <v>20</v>
      </c>
      <c r="E6" s="213" t="s">
        <v>317</v>
      </c>
      <c r="F6" s="213"/>
      <c r="G6" s="213"/>
      <c r="H6" s="212">
        <v>24</v>
      </c>
      <c r="I6" s="214" t="s">
        <v>381</v>
      </c>
    </row>
    <row r="7" spans="1:10">
      <c r="A7" s="215">
        <f>A6+1</f>
        <v>38482</v>
      </c>
      <c r="B7" s="216">
        <v>1</v>
      </c>
      <c r="C7" s="216" t="s">
        <v>311</v>
      </c>
      <c r="D7" s="216">
        <v>12</v>
      </c>
      <c r="E7" s="217" t="s">
        <v>318</v>
      </c>
      <c r="F7" s="217"/>
      <c r="G7" s="217"/>
      <c r="H7" s="216">
        <v>8</v>
      </c>
      <c r="I7" s="218" t="s">
        <v>382</v>
      </c>
    </row>
    <row r="8" spans="1:10">
      <c r="A8" s="215">
        <f t="shared" ref="A8:A71" si="0">A7+1</f>
        <v>38483</v>
      </c>
      <c r="B8" s="216">
        <v>1</v>
      </c>
      <c r="C8" s="216" t="s">
        <v>312</v>
      </c>
      <c r="D8" s="216">
        <v>15</v>
      </c>
      <c r="E8" s="217" t="s">
        <v>319</v>
      </c>
      <c r="F8" s="217"/>
      <c r="G8" s="217"/>
      <c r="H8" s="216">
        <v>20</v>
      </c>
      <c r="I8" s="218" t="s">
        <v>383</v>
      </c>
    </row>
    <row r="9" spans="1:10">
      <c r="A9" s="215">
        <f t="shared" si="0"/>
        <v>38484</v>
      </c>
      <c r="B9" s="216">
        <v>1</v>
      </c>
      <c r="C9" s="216" t="s">
        <v>313</v>
      </c>
      <c r="D9" s="216">
        <v>8</v>
      </c>
      <c r="E9" s="217" t="s">
        <v>320</v>
      </c>
      <c r="F9" s="217"/>
      <c r="G9" s="217"/>
      <c r="H9" s="216">
        <v>21</v>
      </c>
      <c r="I9" s="218" t="s">
        <v>384</v>
      </c>
    </row>
    <row r="10" spans="1:10">
      <c r="A10" s="215">
        <f t="shared" si="0"/>
        <v>38485</v>
      </c>
      <c r="B10" s="216">
        <v>1</v>
      </c>
      <c r="C10" s="216" t="s">
        <v>314</v>
      </c>
      <c r="D10" s="216">
        <v>20</v>
      </c>
      <c r="E10" s="217" t="s">
        <v>321</v>
      </c>
      <c r="F10" s="217"/>
      <c r="G10" s="217"/>
      <c r="H10" s="216"/>
      <c r="I10" s="218" t="s">
        <v>395</v>
      </c>
    </row>
    <row r="11" spans="1:10">
      <c r="A11" s="215">
        <f t="shared" si="0"/>
        <v>38486</v>
      </c>
      <c r="B11" s="216">
        <v>1</v>
      </c>
      <c r="C11" s="216" t="s">
        <v>315</v>
      </c>
      <c r="D11" s="216">
        <v>25</v>
      </c>
      <c r="E11" s="217" t="s">
        <v>322</v>
      </c>
      <c r="F11" s="217"/>
      <c r="G11" s="217"/>
      <c r="H11" s="216">
        <v>25</v>
      </c>
      <c r="I11" s="218" t="s">
        <v>385</v>
      </c>
    </row>
    <row r="12" spans="1:10">
      <c r="A12" s="219">
        <f t="shared" si="0"/>
        <v>38487</v>
      </c>
      <c r="B12" s="220">
        <v>1</v>
      </c>
      <c r="C12" s="220" t="s">
        <v>316</v>
      </c>
      <c r="D12" s="220">
        <v>10</v>
      </c>
      <c r="E12" s="221" t="s">
        <v>323</v>
      </c>
      <c r="F12" s="221">
        <f>SUM(D6:D12)</f>
        <v>110</v>
      </c>
      <c r="G12" s="221"/>
      <c r="H12" s="220">
        <v>12</v>
      </c>
      <c r="I12" s="222" t="s">
        <v>386</v>
      </c>
      <c r="J12" s="203">
        <f>SUM(H6:H12)</f>
        <v>110</v>
      </c>
    </row>
    <row r="13" spans="1:10">
      <c r="A13" s="211">
        <f t="shared" si="0"/>
        <v>38488</v>
      </c>
      <c r="B13" s="212">
        <v>2</v>
      </c>
      <c r="C13" s="212" t="s">
        <v>310</v>
      </c>
      <c r="D13" s="212">
        <v>20</v>
      </c>
      <c r="E13" s="213" t="s">
        <v>317</v>
      </c>
      <c r="F13" s="213"/>
      <c r="G13" s="213"/>
      <c r="H13" s="212">
        <v>24</v>
      </c>
      <c r="I13" s="214" t="s">
        <v>381</v>
      </c>
    </row>
    <row r="14" spans="1:10">
      <c r="A14" s="215">
        <f t="shared" si="0"/>
        <v>38489</v>
      </c>
      <c r="B14" s="216">
        <v>2</v>
      </c>
      <c r="C14" s="216" t="s">
        <v>311</v>
      </c>
      <c r="D14" s="216">
        <v>12</v>
      </c>
      <c r="E14" s="217" t="s">
        <v>318</v>
      </c>
      <c r="F14" s="217"/>
      <c r="G14" s="217"/>
      <c r="H14" s="216">
        <v>8</v>
      </c>
      <c r="I14" s="218" t="s">
        <v>382</v>
      </c>
    </row>
    <row r="15" spans="1:10">
      <c r="A15" s="215">
        <f t="shared" si="0"/>
        <v>38490</v>
      </c>
      <c r="B15" s="216">
        <v>2</v>
      </c>
      <c r="C15" s="216" t="s">
        <v>312</v>
      </c>
      <c r="D15" s="216">
        <v>15</v>
      </c>
      <c r="E15" s="217" t="s">
        <v>319</v>
      </c>
      <c r="F15" s="217"/>
      <c r="G15" s="217"/>
      <c r="H15" s="216">
        <v>10</v>
      </c>
      <c r="I15" s="218" t="s">
        <v>383</v>
      </c>
    </row>
    <row r="16" spans="1:10">
      <c r="A16" s="215">
        <f t="shared" si="0"/>
        <v>38491</v>
      </c>
      <c r="B16" s="216">
        <v>2</v>
      </c>
      <c r="C16" s="216" t="s">
        <v>313</v>
      </c>
      <c r="D16" s="216">
        <v>8</v>
      </c>
      <c r="E16" s="217" t="s">
        <v>320</v>
      </c>
      <c r="F16" s="217"/>
      <c r="G16" s="217"/>
      <c r="H16" s="216">
        <v>21</v>
      </c>
      <c r="I16" s="218" t="s">
        <v>384</v>
      </c>
    </row>
    <row r="17" spans="1:10">
      <c r="A17" s="215">
        <f t="shared" si="0"/>
        <v>38492</v>
      </c>
      <c r="B17" s="216">
        <v>2</v>
      </c>
      <c r="C17" s="216" t="s">
        <v>314</v>
      </c>
      <c r="D17" s="216">
        <v>20</v>
      </c>
      <c r="E17" s="217" t="s">
        <v>321</v>
      </c>
      <c r="F17" s="217"/>
      <c r="G17" s="217"/>
      <c r="H17" s="216"/>
      <c r="I17" s="218" t="s">
        <v>395</v>
      </c>
    </row>
    <row r="18" spans="1:10">
      <c r="A18" s="215">
        <f t="shared" si="0"/>
        <v>38493</v>
      </c>
      <c r="B18" s="216">
        <v>2</v>
      </c>
      <c r="C18" s="216" t="s">
        <v>315</v>
      </c>
      <c r="D18" s="216">
        <v>25</v>
      </c>
      <c r="E18" s="217" t="s">
        <v>322</v>
      </c>
      <c r="F18" s="217"/>
      <c r="G18" s="217"/>
      <c r="H18" s="216">
        <v>25</v>
      </c>
      <c r="I18" s="218" t="s">
        <v>385</v>
      </c>
    </row>
    <row r="19" spans="1:10">
      <c r="A19" s="219">
        <f t="shared" si="0"/>
        <v>38494</v>
      </c>
      <c r="B19" s="220">
        <v>2</v>
      </c>
      <c r="C19" s="220" t="s">
        <v>316</v>
      </c>
      <c r="D19" s="220">
        <v>10</v>
      </c>
      <c r="E19" s="221" t="s">
        <v>323</v>
      </c>
      <c r="F19" s="221">
        <f>SUM(D13:D19)</f>
        <v>110</v>
      </c>
      <c r="G19" s="221"/>
      <c r="H19" s="220">
        <v>12</v>
      </c>
      <c r="I19" s="222" t="s">
        <v>386</v>
      </c>
      <c r="J19" s="203">
        <f>SUM(H13:H19)</f>
        <v>100</v>
      </c>
    </row>
    <row r="20" spans="1:10">
      <c r="A20" s="211">
        <f t="shared" si="0"/>
        <v>38495</v>
      </c>
      <c r="B20" s="212">
        <v>3</v>
      </c>
      <c r="C20" s="212" t="s">
        <v>310</v>
      </c>
      <c r="D20" s="212">
        <v>25</v>
      </c>
      <c r="E20" s="213" t="s">
        <v>337</v>
      </c>
      <c r="F20" s="213"/>
      <c r="G20" s="213"/>
      <c r="H20" s="212"/>
      <c r="I20" s="214"/>
    </row>
    <row r="21" spans="1:10">
      <c r="A21" s="215">
        <f t="shared" si="0"/>
        <v>38496</v>
      </c>
      <c r="B21" s="216">
        <v>3</v>
      </c>
      <c r="C21" s="216" t="s">
        <v>311</v>
      </c>
      <c r="D21" s="216">
        <v>8</v>
      </c>
      <c r="E21" s="217" t="s">
        <v>320</v>
      </c>
      <c r="F21" s="217"/>
      <c r="G21" s="217"/>
      <c r="H21" s="216">
        <v>20</v>
      </c>
      <c r="I21" s="218" t="s">
        <v>389</v>
      </c>
    </row>
    <row r="22" spans="1:10">
      <c r="A22" s="215">
        <f t="shared" si="0"/>
        <v>38497</v>
      </c>
      <c r="B22" s="216">
        <v>3</v>
      </c>
      <c r="C22" s="216" t="s">
        <v>312</v>
      </c>
      <c r="D22" s="216">
        <v>15</v>
      </c>
      <c r="E22" s="217" t="s">
        <v>319</v>
      </c>
      <c r="F22" s="217"/>
      <c r="G22" s="217"/>
      <c r="H22" s="216">
        <v>22</v>
      </c>
      <c r="I22" s="218" t="s">
        <v>390</v>
      </c>
    </row>
    <row r="23" spans="1:10">
      <c r="A23" s="215">
        <f t="shared" si="0"/>
        <v>38498</v>
      </c>
      <c r="B23" s="216">
        <v>3</v>
      </c>
      <c r="C23" s="216" t="s">
        <v>313</v>
      </c>
      <c r="D23" s="216">
        <v>6</v>
      </c>
      <c r="E23" s="217" t="s">
        <v>324</v>
      </c>
      <c r="F23" s="217"/>
      <c r="G23" s="217"/>
      <c r="H23" s="216">
        <v>20</v>
      </c>
      <c r="I23" s="218" t="s">
        <v>391</v>
      </c>
    </row>
    <row r="24" spans="1:10">
      <c r="A24" s="215">
        <f t="shared" si="0"/>
        <v>38499</v>
      </c>
      <c r="B24" s="216">
        <v>3</v>
      </c>
      <c r="C24" s="216" t="s">
        <v>314</v>
      </c>
      <c r="D24" s="216">
        <v>10</v>
      </c>
      <c r="E24" s="217" t="s">
        <v>323</v>
      </c>
      <c r="F24" s="217"/>
      <c r="G24" s="217"/>
      <c r="H24" s="216">
        <v>10</v>
      </c>
      <c r="I24" s="218" t="s">
        <v>392</v>
      </c>
    </row>
    <row r="25" spans="1:10">
      <c r="A25" s="215">
        <f t="shared" si="0"/>
        <v>38500</v>
      </c>
      <c r="B25" s="216">
        <v>3</v>
      </c>
      <c r="C25" s="216" t="s">
        <v>315</v>
      </c>
      <c r="D25" s="216">
        <v>10</v>
      </c>
      <c r="E25" s="217" t="s">
        <v>325</v>
      </c>
      <c r="F25" s="217"/>
      <c r="G25" s="217"/>
      <c r="H25" s="216">
        <v>15</v>
      </c>
      <c r="I25" s="218" t="s">
        <v>393</v>
      </c>
    </row>
    <row r="26" spans="1:10">
      <c r="A26" s="219">
        <f t="shared" si="0"/>
        <v>38501</v>
      </c>
      <c r="B26" s="220">
        <v>3</v>
      </c>
      <c r="C26" s="220" t="s">
        <v>316</v>
      </c>
      <c r="D26" s="220">
        <v>10</v>
      </c>
      <c r="E26" s="221" t="s">
        <v>326</v>
      </c>
      <c r="F26" s="221">
        <f>SUM(D20:D26)</f>
        <v>84</v>
      </c>
      <c r="G26" s="221"/>
      <c r="H26" s="220">
        <v>5</v>
      </c>
      <c r="I26" s="222" t="s">
        <v>394</v>
      </c>
      <c r="J26" s="203">
        <f>SUM(H20:H26)</f>
        <v>92</v>
      </c>
    </row>
    <row r="27" spans="1:10">
      <c r="A27" s="211">
        <f t="shared" si="0"/>
        <v>38502</v>
      </c>
      <c r="B27" s="212">
        <v>4</v>
      </c>
      <c r="C27" s="212" t="s">
        <v>310</v>
      </c>
      <c r="D27" s="212">
        <v>15</v>
      </c>
      <c r="E27" s="213" t="s">
        <v>327</v>
      </c>
      <c r="F27" s="213"/>
      <c r="G27" s="213"/>
      <c r="H27" s="212">
        <v>15</v>
      </c>
      <c r="I27" s="214" t="s">
        <v>396</v>
      </c>
    </row>
    <row r="28" spans="1:10">
      <c r="A28" s="215">
        <f t="shared" si="0"/>
        <v>38503</v>
      </c>
      <c r="B28" s="216">
        <v>4</v>
      </c>
      <c r="C28" s="216" t="s">
        <v>311</v>
      </c>
      <c r="D28" s="216">
        <v>15</v>
      </c>
      <c r="E28" s="217" t="s">
        <v>328</v>
      </c>
      <c r="F28" s="217"/>
      <c r="G28" s="217"/>
      <c r="H28" s="216">
        <v>20</v>
      </c>
      <c r="I28" s="218" t="s">
        <v>397</v>
      </c>
    </row>
    <row r="29" spans="1:10">
      <c r="A29" s="215">
        <f t="shared" si="0"/>
        <v>38504</v>
      </c>
      <c r="B29" s="216">
        <v>4</v>
      </c>
      <c r="C29" s="216" t="s">
        <v>312</v>
      </c>
      <c r="D29" s="216">
        <v>25</v>
      </c>
      <c r="E29" s="217" t="s">
        <v>329</v>
      </c>
      <c r="F29" s="217"/>
      <c r="G29" s="217"/>
      <c r="H29" s="216">
        <v>9</v>
      </c>
      <c r="I29" s="218" t="s">
        <v>398</v>
      </c>
    </row>
    <row r="30" spans="1:10">
      <c r="A30" s="215">
        <f t="shared" si="0"/>
        <v>38505</v>
      </c>
      <c r="B30" s="216">
        <v>4</v>
      </c>
      <c r="C30" s="216" t="s">
        <v>313</v>
      </c>
      <c r="D30" s="216">
        <v>15</v>
      </c>
      <c r="E30" s="217" t="s">
        <v>330</v>
      </c>
      <c r="F30" s="217"/>
      <c r="G30" s="217"/>
      <c r="H30" s="216">
        <v>15</v>
      </c>
      <c r="I30" s="218" t="s">
        <v>399</v>
      </c>
    </row>
    <row r="31" spans="1:10">
      <c r="A31" s="215">
        <f t="shared" si="0"/>
        <v>38506</v>
      </c>
      <c r="B31" s="216">
        <v>4</v>
      </c>
      <c r="C31" s="216" t="s">
        <v>314</v>
      </c>
      <c r="D31" s="216">
        <v>9</v>
      </c>
      <c r="E31" s="217" t="s">
        <v>331</v>
      </c>
      <c r="F31" s="217"/>
      <c r="G31" s="217"/>
      <c r="H31" s="216">
        <v>15</v>
      </c>
      <c r="I31" s="218" t="s">
        <v>400</v>
      </c>
    </row>
    <row r="32" spans="1:10">
      <c r="A32" s="215">
        <f t="shared" si="0"/>
        <v>38507</v>
      </c>
      <c r="B32" s="216">
        <v>4</v>
      </c>
      <c r="C32" s="216" t="s">
        <v>315</v>
      </c>
      <c r="D32" s="216">
        <v>25</v>
      </c>
      <c r="E32" s="217" t="s">
        <v>329</v>
      </c>
      <c r="F32" s="217"/>
      <c r="G32" s="217"/>
      <c r="H32" s="216">
        <v>22</v>
      </c>
      <c r="I32" s="218" t="s">
        <v>401</v>
      </c>
    </row>
    <row r="33" spans="1:10">
      <c r="A33" s="219">
        <f t="shared" si="0"/>
        <v>38508</v>
      </c>
      <c r="B33" s="220">
        <v>4</v>
      </c>
      <c r="C33" s="220" t="s">
        <v>316</v>
      </c>
      <c r="D33" s="220">
        <v>20</v>
      </c>
      <c r="E33" s="221" t="s">
        <v>332</v>
      </c>
      <c r="F33" s="221">
        <f>SUM(D27:D33)</f>
        <v>124</v>
      </c>
      <c r="G33" s="221"/>
      <c r="H33" s="220">
        <v>20</v>
      </c>
      <c r="I33" s="222" t="s">
        <v>357</v>
      </c>
      <c r="J33" s="203">
        <f>SUM(H27:H33)</f>
        <v>116</v>
      </c>
    </row>
    <row r="34" spans="1:10">
      <c r="A34" s="211">
        <f t="shared" si="0"/>
        <v>38509</v>
      </c>
      <c r="B34" s="212">
        <v>5</v>
      </c>
      <c r="C34" s="212" t="s">
        <v>310</v>
      </c>
      <c r="D34" s="212">
        <v>15</v>
      </c>
      <c r="E34" s="213" t="s">
        <v>330</v>
      </c>
      <c r="F34" s="213"/>
      <c r="G34" s="213"/>
      <c r="H34" s="212">
        <v>15</v>
      </c>
      <c r="I34" s="214" t="s">
        <v>402</v>
      </c>
    </row>
    <row r="35" spans="1:10">
      <c r="A35" s="215">
        <f t="shared" si="0"/>
        <v>38510</v>
      </c>
      <c r="B35" s="216">
        <v>5</v>
      </c>
      <c r="C35" s="216" t="s">
        <v>311</v>
      </c>
      <c r="D35" s="216">
        <v>20</v>
      </c>
      <c r="E35" s="217" t="s">
        <v>333</v>
      </c>
      <c r="F35" s="217"/>
      <c r="G35" s="217"/>
      <c r="H35" s="216">
        <v>10</v>
      </c>
      <c r="I35" s="218" t="s">
        <v>403</v>
      </c>
    </row>
    <row r="36" spans="1:10">
      <c r="A36" s="215">
        <f t="shared" si="0"/>
        <v>38511</v>
      </c>
      <c r="B36" s="216">
        <v>5</v>
      </c>
      <c r="C36" s="216" t="s">
        <v>312</v>
      </c>
      <c r="D36" s="216">
        <v>8</v>
      </c>
      <c r="E36" s="217" t="s">
        <v>334</v>
      </c>
      <c r="F36" s="217"/>
      <c r="G36" s="217"/>
      <c r="H36" s="216">
        <v>20</v>
      </c>
      <c r="I36" s="218" t="s">
        <v>404</v>
      </c>
    </row>
    <row r="37" spans="1:10">
      <c r="A37" s="215">
        <f t="shared" si="0"/>
        <v>38512</v>
      </c>
      <c r="B37" s="216">
        <v>5</v>
      </c>
      <c r="C37" s="216" t="s">
        <v>313</v>
      </c>
      <c r="D37" s="216">
        <v>20</v>
      </c>
      <c r="E37" s="217" t="s">
        <v>321</v>
      </c>
      <c r="F37" s="217"/>
      <c r="G37" s="217"/>
      <c r="H37" s="216">
        <v>21</v>
      </c>
      <c r="I37" s="218" t="s">
        <v>384</v>
      </c>
    </row>
    <row r="38" spans="1:10">
      <c r="A38" s="215">
        <f t="shared" si="0"/>
        <v>38513</v>
      </c>
      <c r="B38" s="216">
        <v>5</v>
      </c>
      <c r="C38" s="216" t="s">
        <v>314</v>
      </c>
      <c r="D38" s="216">
        <v>15</v>
      </c>
      <c r="E38" s="217" t="s">
        <v>319</v>
      </c>
      <c r="F38" s="217"/>
      <c r="G38" s="217"/>
      <c r="H38" s="216">
        <v>20</v>
      </c>
      <c r="I38" s="218" t="s">
        <v>405</v>
      </c>
    </row>
    <row r="39" spans="1:10">
      <c r="A39" s="215">
        <f t="shared" si="0"/>
        <v>38514</v>
      </c>
      <c r="B39" s="216">
        <v>5</v>
      </c>
      <c r="C39" s="216" t="s">
        <v>315</v>
      </c>
      <c r="D39" s="216">
        <v>13</v>
      </c>
      <c r="E39" s="217" t="s">
        <v>335</v>
      </c>
      <c r="F39" s="217"/>
      <c r="G39" s="217"/>
      <c r="H39" s="216">
        <v>25</v>
      </c>
      <c r="I39" s="218" t="s">
        <v>406</v>
      </c>
    </row>
    <row r="40" spans="1:10">
      <c r="A40" s="219">
        <f t="shared" si="0"/>
        <v>38515</v>
      </c>
      <c r="B40" s="220">
        <v>5</v>
      </c>
      <c r="C40" s="220" t="s">
        <v>316</v>
      </c>
      <c r="D40" s="220">
        <v>25</v>
      </c>
      <c r="E40" s="221" t="s">
        <v>336</v>
      </c>
      <c r="F40" s="221">
        <f>SUM(D34:D40)</f>
        <v>116</v>
      </c>
      <c r="G40" s="221"/>
      <c r="H40" s="220">
        <v>12</v>
      </c>
      <c r="I40" s="222" t="s">
        <v>407</v>
      </c>
      <c r="J40" s="203">
        <f>SUM(H34:H40)</f>
        <v>123</v>
      </c>
    </row>
    <row r="41" spans="1:10">
      <c r="A41" s="211">
        <f t="shared" si="0"/>
        <v>38516</v>
      </c>
      <c r="B41" s="212">
        <v>6</v>
      </c>
      <c r="C41" s="212" t="s">
        <v>310</v>
      </c>
      <c r="D41" s="212">
        <v>15</v>
      </c>
      <c r="E41" s="213" t="s">
        <v>330</v>
      </c>
      <c r="F41" s="213"/>
      <c r="G41" s="213"/>
      <c r="H41" s="212">
        <v>15</v>
      </c>
      <c r="I41" s="214" t="s">
        <v>402</v>
      </c>
    </row>
    <row r="42" spans="1:10">
      <c r="A42" s="215">
        <f t="shared" si="0"/>
        <v>38517</v>
      </c>
      <c r="B42" s="216">
        <v>6</v>
      </c>
      <c r="C42" s="216" t="s">
        <v>311</v>
      </c>
      <c r="D42" s="216">
        <v>20</v>
      </c>
      <c r="E42" s="217" t="s">
        <v>333</v>
      </c>
      <c r="F42" s="217"/>
      <c r="G42" s="217"/>
      <c r="H42" s="216">
        <v>10</v>
      </c>
      <c r="I42" s="218" t="s">
        <v>403</v>
      </c>
    </row>
    <row r="43" spans="1:10">
      <c r="A43" s="215">
        <f t="shared" si="0"/>
        <v>38518</v>
      </c>
      <c r="B43" s="216">
        <v>6</v>
      </c>
      <c r="C43" s="216" t="s">
        <v>312</v>
      </c>
      <c r="D43" s="216">
        <v>8</v>
      </c>
      <c r="E43" s="217" t="s">
        <v>334</v>
      </c>
      <c r="F43" s="217"/>
      <c r="G43" s="217"/>
      <c r="H43" s="216">
        <v>20</v>
      </c>
      <c r="I43" s="218" t="s">
        <v>404</v>
      </c>
    </row>
    <row r="44" spans="1:10">
      <c r="A44" s="215">
        <f t="shared" si="0"/>
        <v>38519</v>
      </c>
      <c r="B44" s="216">
        <v>6</v>
      </c>
      <c r="C44" s="216" t="s">
        <v>313</v>
      </c>
      <c r="D44" s="216">
        <v>20</v>
      </c>
      <c r="E44" s="217" t="s">
        <v>321</v>
      </c>
      <c r="F44" s="217"/>
      <c r="G44" s="217"/>
      <c r="H44" s="216">
        <v>21</v>
      </c>
      <c r="I44" s="218" t="s">
        <v>384</v>
      </c>
    </row>
    <row r="45" spans="1:10">
      <c r="A45" s="215">
        <f t="shared" si="0"/>
        <v>38520</v>
      </c>
      <c r="B45" s="216">
        <v>6</v>
      </c>
      <c r="C45" s="216" t="s">
        <v>314</v>
      </c>
      <c r="D45" s="216">
        <v>15</v>
      </c>
      <c r="E45" s="217" t="s">
        <v>319</v>
      </c>
      <c r="F45" s="217"/>
      <c r="G45" s="217"/>
      <c r="H45" s="216">
        <v>20</v>
      </c>
      <c r="I45" s="218" t="s">
        <v>405</v>
      </c>
    </row>
    <row r="46" spans="1:10">
      <c r="A46" s="215">
        <f t="shared" si="0"/>
        <v>38521</v>
      </c>
      <c r="B46" s="216">
        <v>6</v>
      </c>
      <c r="C46" s="216" t="s">
        <v>315</v>
      </c>
      <c r="D46" s="216">
        <v>13</v>
      </c>
      <c r="E46" s="217" t="s">
        <v>335</v>
      </c>
      <c r="F46" s="217"/>
      <c r="G46" s="217"/>
      <c r="H46" s="216">
        <v>25</v>
      </c>
      <c r="I46" s="218" t="s">
        <v>406</v>
      </c>
    </row>
    <row r="47" spans="1:10">
      <c r="A47" s="219">
        <f t="shared" si="0"/>
        <v>38522</v>
      </c>
      <c r="B47" s="220">
        <v>6</v>
      </c>
      <c r="C47" s="220" t="s">
        <v>316</v>
      </c>
      <c r="D47" s="220">
        <v>25</v>
      </c>
      <c r="E47" s="221" t="s">
        <v>336</v>
      </c>
      <c r="F47" s="221">
        <f>SUM(D41:D47)</f>
        <v>116</v>
      </c>
      <c r="G47" s="221"/>
      <c r="H47" s="220">
        <v>12</v>
      </c>
      <c r="I47" s="222" t="s">
        <v>407</v>
      </c>
      <c r="J47" s="203">
        <f>SUM(H41:H47)</f>
        <v>123</v>
      </c>
    </row>
    <row r="48" spans="1:10">
      <c r="A48" s="211">
        <f t="shared" si="0"/>
        <v>38523</v>
      </c>
      <c r="B48" s="212">
        <v>7</v>
      </c>
      <c r="C48" s="212" t="s">
        <v>310</v>
      </c>
      <c r="D48" s="212">
        <v>15</v>
      </c>
      <c r="E48" s="213" t="s">
        <v>338</v>
      </c>
      <c r="F48" s="213"/>
      <c r="G48" s="213"/>
      <c r="H48" s="212"/>
      <c r="I48" s="214"/>
    </row>
    <row r="49" spans="1:10">
      <c r="A49" s="215">
        <f t="shared" si="0"/>
        <v>38524</v>
      </c>
      <c r="B49" s="216">
        <v>7</v>
      </c>
      <c r="C49" s="216" t="s">
        <v>311</v>
      </c>
      <c r="D49" s="216">
        <v>21</v>
      </c>
      <c r="E49" s="217" t="s">
        <v>339</v>
      </c>
      <c r="F49" s="217"/>
      <c r="G49" s="217"/>
      <c r="H49" s="216">
        <v>20</v>
      </c>
      <c r="I49" s="218" t="s">
        <v>408</v>
      </c>
    </row>
    <row r="50" spans="1:10">
      <c r="A50" s="215">
        <f t="shared" si="0"/>
        <v>38525</v>
      </c>
      <c r="B50" s="216">
        <v>7</v>
      </c>
      <c r="C50" s="216" t="s">
        <v>312</v>
      </c>
      <c r="D50" s="216">
        <v>20</v>
      </c>
      <c r="E50" s="217" t="s">
        <v>321</v>
      </c>
      <c r="F50" s="217"/>
      <c r="G50" s="217"/>
      <c r="H50" s="216">
        <v>15</v>
      </c>
      <c r="I50" s="218" t="s">
        <v>409</v>
      </c>
    </row>
    <row r="51" spans="1:10">
      <c r="A51" s="215">
        <f t="shared" si="0"/>
        <v>38526</v>
      </c>
      <c r="B51" s="216">
        <v>7</v>
      </c>
      <c r="C51" s="216" t="s">
        <v>313</v>
      </c>
      <c r="D51" s="216">
        <v>6</v>
      </c>
      <c r="E51" s="217" t="s">
        <v>340</v>
      </c>
      <c r="F51" s="217"/>
      <c r="G51" s="217"/>
      <c r="H51" s="216">
        <v>22</v>
      </c>
      <c r="I51" s="218" t="s">
        <v>410</v>
      </c>
    </row>
    <row r="52" spans="1:10">
      <c r="A52" s="215">
        <f t="shared" si="0"/>
        <v>38527</v>
      </c>
      <c r="B52" s="216">
        <v>7</v>
      </c>
      <c r="C52" s="216" t="s">
        <v>314</v>
      </c>
      <c r="D52" s="216">
        <v>15</v>
      </c>
      <c r="E52" s="217" t="s">
        <v>330</v>
      </c>
      <c r="F52" s="217"/>
      <c r="G52" s="217"/>
      <c r="H52" s="216">
        <v>18</v>
      </c>
      <c r="I52" s="218" t="s">
        <v>411</v>
      </c>
    </row>
    <row r="53" spans="1:10">
      <c r="A53" s="215">
        <f t="shared" si="0"/>
        <v>38528</v>
      </c>
      <c r="B53" s="216">
        <v>7</v>
      </c>
      <c r="C53" s="216" t="s">
        <v>315</v>
      </c>
      <c r="D53" s="216">
        <v>10</v>
      </c>
      <c r="E53" s="217" t="s">
        <v>341</v>
      </c>
      <c r="F53" s="217"/>
      <c r="G53" s="217"/>
      <c r="H53" s="216">
        <v>15</v>
      </c>
      <c r="I53" s="218" t="s">
        <v>393</v>
      </c>
    </row>
    <row r="54" spans="1:10">
      <c r="A54" s="219">
        <f t="shared" si="0"/>
        <v>38529</v>
      </c>
      <c r="B54" s="220">
        <v>7</v>
      </c>
      <c r="C54" s="220" t="s">
        <v>316</v>
      </c>
      <c r="D54" s="220">
        <v>10</v>
      </c>
      <c r="E54" s="221" t="s">
        <v>342</v>
      </c>
      <c r="F54" s="221">
        <f>SUM(D48:D54)</f>
        <v>97</v>
      </c>
      <c r="G54" s="221"/>
      <c r="H54" s="220">
        <v>5</v>
      </c>
      <c r="I54" s="222" t="s">
        <v>412</v>
      </c>
      <c r="J54" s="203">
        <f>SUM(H48:H54)</f>
        <v>95</v>
      </c>
    </row>
    <row r="55" spans="1:10">
      <c r="A55" s="211">
        <f t="shared" si="0"/>
        <v>38530</v>
      </c>
      <c r="B55" s="212">
        <v>8</v>
      </c>
      <c r="C55" s="212" t="s">
        <v>310</v>
      </c>
      <c r="D55" s="212">
        <v>15</v>
      </c>
      <c r="E55" s="213" t="s">
        <v>327</v>
      </c>
      <c r="F55" s="213"/>
      <c r="G55" s="213"/>
      <c r="H55" s="212">
        <v>15</v>
      </c>
      <c r="I55" s="214" t="s">
        <v>413</v>
      </c>
    </row>
    <row r="56" spans="1:10">
      <c r="A56" s="215">
        <f t="shared" si="0"/>
        <v>38531</v>
      </c>
      <c r="B56" s="216">
        <v>8</v>
      </c>
      <c r="C56" s="216" t="s">
        <v>311</v>
      </c>
      <c r="D56" s="216">
        <v>15</v>
      </c>
      <c r="E56" s="217" t="s">
        <v>330</v>
      </c>
      <c r="F56" s="217"/>
      <c r="G56" s="217"/>
      <c r="H56" s="216">
        <v>20</v>
      </c>
      <c r="I56" s="218" t="s">
        <v>397</v>
      </c>
    </row>
    <row r="57" spans="1:10">
      <c r="A57" s="215">
        <f t="shared" si="0"/>
        <v>38532</v>
      </c>
      <c r="B57" s="216">
        <v>8</v>
      </c>
      <c r="C57" s="216" t="s">
        <v>312</v>
      </c>
      <c r="D57" s="216">
        <v>15</v>
      </c>
      <c r="E57" s="217" t="s">
        <v>343</v>
      </c>
      <c r="F57" s="217"/>
      <c r="G57" s="217"/>
      <c r="H57" s="216">
        <v>9</v>
      </c>
      <c r="I57" s="218" t="s">
        <v>414</v>
      </c>
    </row>
    <row r="58" spans="1:10">
      <c r="A58" s="215">
        <f t="shared" si="0"/>
        <v>38533</v>
      </c>
      <c r="B58" s="216">
        <v>8</v>
      </c>
      <c r="C58" s="216" t="s">
        <v>313</v>
      </c>
      <c r="D58" s="216">
        <v>25</v>
      </c>
      <c r="E58" s="217" t="s">
        <v>344</v>
      </c>
      <c r="F58" s="217"/>
      <c r="G58" s="217"/>
      <c r="H58" s="216">
        <v>20</v>
      </c>
      <c r="I58" s="218" t="s">
        <v>415</v>
      </c>
    </row>
    <row r="59" spans="1:10">
      <c r="A59" s="215">
        <f t="shared" si="0"/>
        <v>38534</v>
      </c>
      <c r="B59" s="216">
        <v>8</v>
      </c>
      <c r="C59" s="216" t="s">
        <v>314</v>
      </c>
      <c r="D59" s="216">
        <v>9</v>
      </c>
      <c r="E59" s="217" t="s">
        <v>331</v>
      </c>
      <c r="F59" s="217"/>
      <c r="G59" s="217"/>
      <c r="H59" s="216">
        <v>20</v>
      </c>
      <c r="I59" s="218" t="s">
        <v>416</v>
      </c>
    </row>
    <row r="60" spans="1:10">
      <c r="A60" s="215">
        <f t="shared" si="0"/>
        <v>38535</v>
      </c>
      <c r="B60" s="216">
        <v>8</v>
      </c>
      <c r="C60" s="216" t="s">
        <v>315</v>
      </c>
      <c r="D60" s="216">
        <v>20</v>
      </c>
      <c r="E60" s="217" t="s">
        <v>345</v>
      </c>
      <c r="F60" s="217"/>
      <c r="G60" s="217"/>
      <c r="H60" s="216">
        <v>25</v>
      </c>
      <c r="I60" s="218" t="s">
        <v>417</v>
      </c>
    </row>
    <row r="61" spans="1:10">
      <c r="A61" s="219">
        <f t="shared" si="0"/>
        <v>38536</v>
      </c>
      <c r="B61" s="220">
        <v>8</v>
      </c>
      <c r="C61" s="220" t="s">
        <v>316</v>
      </c>
      <c r="D61" s="220">
        <v>25</v>
      </c>
      <c r="E61" s="221" t="s">
        <v>346</v>
      </c>
      <c r="F61" s="221">
        <f>SUM(D55:D61)</f>
        <v>124</v>
      </c>
      <c r="G61" s="221"/>
      <c r="H61" s="220">
        <v>20</v>
      </c>
      <c r="I61" s="222" t="s">
        <v>418</v>
      </c>
      <c r="J61" s="203">
        <f>SUM(H55:H61)</f>
        <v>129</v>
      </c>
    </row>
    <row r="62" spans="1:10">
      <c r="A62" s="211">
        <f>A61+1</f>
        <v>38537</v>
      </c>
      <c r="B62" s="212">
        <v>9</v>
      </c>
      <c r="C62" s="212" t="s">
        <v>310</v>
      </c>
      <c r="D62" s="212">
        <v>20</v>
      </c>
      <c r="E62" s="213" t="s">
        <v>317</v>
      </c>
      <c r="F62" s="213"/>
      <c r="G62" s="213"/>
      <c r="H62" s="212">
        <v>15</v>
      </c>
      <c r="I62" s="214" t="s">
        <v>419</v>
      </c>
    </row>
    <row r="63" spans="1:10">
      <c r="A63" s="215">
        <f t="shared" si="0"/>
        <v>38538</v>
      </c>
      <c r="B63" s="216">
        <v>9</v>
      </c>
      <c r="C63" s="216" t="s">
        <v>311</v>
      </c>
      <c r="D63" s="216">
        <v>13</v>
      </c>
      <c r="E63" s="217" t="s">
        <v>347</v>
      </c>
      <c r="F63" s="217"/>
      <c r="G63" s="217"/>
      <c r="H63" s="216">
        <v>10</v>
      </c>
      <c r="I63" s="218" t="s">
        <v>420</v>
      </c>
    </row>
    <row r="64" spans="1:10">
      <c r="A64" s="215">
        <f t="shared" si="0"/>
        <v>38539</v>
      </c>
      <c r="B64" s="216">
        <v>9</v>
      </c>
      <c r="C64" s="216" t="s">
        <v>312</v>
      </c>
      <c r="D64" s="216">
        <v>15</v>
      </c>
      <c r="E64" s="217" t="s">
        <v>348</v>
      </c>
      <c r="F64" s="217"/>
      <c r="G64" s="217"/>
      <c r="H64" s="216">
        <v>20</v>
      </c>
      <c r="I64" s="218" t="s">
        <v>421</v>
      </c>
    </row>
    <row r="65" spans="1:10">
      <c r="A65" s="215">
        <f t="shared" si="0"/>
        <v>38540</v>
      </c>
      <c r="B65" s="216">
        <v>9</v>
      </c>
      <c r="C65" s="216" t="s">
        <v>313</v>
      </c>
      <c r="D65" s="216">
        <v>10</v>
      </c>
      <c r="E65" s="217" t="s">
        <v>349</v>
      </c>
      <c r="F65" s="217"/>
      <c r="G65" s="217"/>
      <c r="H65" s="216">
        <v>21</v>
      </c>
      <c r="I65" s="218" t="s">
        <v>384</v>
      </c>
    </row>
    <row r="66" spans="1:10">
      <c r="A66" s="215">
        <f t="shared" si="0"/>
        <v>38541</v>
      </c>
      <c r="B66" s="216">
        <v>9</v>
      </c>
      <c r="C66" s="216" t="s">
        <v>314</v>
      </c>
      <c r="D66" s="216">
        <v>25</v>
      </c>
      <c r="E66" s="217" t="s">
        <v>350</v>
      </c>
      <c r="F66" s="217"/>
      <c r="G66" s="217"/>
      <c r="H66" s="216">
        <v>20</v>
      </c>
      <c r="I66" s="218" t="s">
        <v>405</v>
      </c>
    </row>
    <row r="67" spans="1:10">
      <c r="A67" s="215">
        <f t="shared" si="0"/>
        <v>38542</v>
      </c>
      <c r="B67" s="216">
        <v>9</v>
      </c>
      <c r="C67" s="216" t="s">
        <v>315</v>
      </c>
      <c r="D67" s="216">
        <v>15</v>
      </c>
      <c r="E67" s="217" t="s">
        <v>330</v>
      </c>
      <c r="F67" s="217"/>
      <c r="G67" s="217"/>
      <c r="H67" s="216">
        <v>25</v>
      </c>
      <c r="I67" s="218" t="s">
        <v>406</v>
      </c>
    </row>
    <row r="68" spans="1:10">
      <c r="A68" s="219">
        <f t="shared" si="0"/>
        <v>38543</v>
      </c>
      <c r="B68" s="220">
        <v>9</v>
      </c>
      <c r="C68" s="220" t="s">
        <v>316</v>
      </c>
      <c r="D68" s="220">
        <v>25</v>
      </c>
      <c r="E68" s="221" t="s">
        <v>344</v>
      </c>
      <c r="F68" s="221">
        <f>SUM(D62:D68)</f>
        <v>123</v>
      </c>
      <c r="G68" s="221"/>
      <c r="H68" s="220">
        <v>12</v>
      </c>
      <c r="I68" s="222" t="s">
        <v>407</v>
      </c>
      <c r="J68" s="203">
        <f>SUM(H62:H68)</f>
        <v>123</v>
      </c>
    </row>
    <row r="69" spans="1:10">
      <c r="A69" s="211">
        <f t="shared" si="0"/>
        <v>38544</v>
      </c>
      <c r="B69" s="212">
        <v>10</v>
      </c>
      <c r="C69" s="212" t="s">
        <v>310</v>
      </c>
      <c r="D69" s="212">
        <v>20</v>
      </c>
      <c r="E69" s="213" t="s">
        <v>317</v>
      </c>
      <c r="F69" s="213"/>
      <c r="G69" s="213"/>
      <c r="H69" s="212">
        <v>15</v>
      </c>
      <c r="I69" s="214" t="s">
        <v>419</v>
      </c>
    </row>
    <row r="70" spans="1:10">
      <c r="A70" s="215">
        <f t="shared" si="0"/>
        <v>38545</v>
      </c>
      <c r="B70" s="216">
        <v>10</v>
      </c>
      <c r="C70" s="216" t="s">
        <v>311</v>
      </c>
      <c r="D70" s="216">
        <v>13</v>
      </c>
      <c r="E70" s="217" t="s">
        <v>347</v>
      </c>
      <c r="F70" s="217"/>
      <c r="G70" s="217"/>
      <c r="H70" s="216">
        <v>10</v>
      </c>
      <c r="I70" s="218" t="s">
        <v>420</v>
      </c>
    </row>
    <row r="71" spans="1:10">
      <c r="A71" s="215">
        <f t="shared" si="0"/>
        <v>38546</v>
      </c>
      <c r="B71" s="216">
        <v>10</v>
      </c>
      <c r="C71" s="216" t="s">
        <v>312</v>
      </c>
      <c r="D71" s="216">
        <v>15</v>
      </c>
      <c r="E71" s="217" t="s">
        <v>348</v>
      </c>
      <c r="F71" s="217"/>
      <c r="G71" s="217"/>
      <c r="H71" s="216">
        <v>20</v>
      </c>
      <c r="I71" s="218" t="s">
        <v>421</v>
      </c>
    </row>
    <row r="72" spans="1:10">
      <c r="A72" s="215">
        <f t="shared" ref="A72:A135" si="1">A71+1</f>
        <v>38547</v>
      </c>
      <c r="B72" s="216">
        <v>10</v>
      </c>
      <c r="C72" s="216" t="s">
        <v>313</v>
      </c>
      <c r="D72" s="216">
        <v>10</v>
      </c>
      <c r="E72" s="217" t="s">
        <v>349</v>
      </c>
      <c r="F72" s="217"/>
      <c r="G72" s="217"/>
      <c r="H72" s="216">
        <v>21</v>
      </c>
      <c r="I72" s="218" t="s">
        <v>384</v>
      </c>
    </row>
    <row r="73" spans="1:10">
      <c r="A73" s="215">
        <f t="shared" si="1"/>
        <v>38548</v>
      </c>
      <c r="B73" s="216">
        <v>10</v>
      </c>
      <c r="C73" s="216" t="s">
        <v>314</v>
      </c>
      <c r="D73" s="216">
        <v>25</v>
      </c>
      <c r="E73" s="217" t="s">
        <v>350</v>
      </c>
      <c r="F73" s="217"/>
      <c r="G73" s="217"/>
      <c r="H73" s="216">
        <v>20</v>
      </c>
      <c r="I73" s="218" t="s">
        <v>405</v>
      </c>
    </row>
    <row r="74" spans="1:10">
      <c r="A74" s="215">
        <f t="shared" si="1"/>
        <v>38549</v>
      </c>
      <c r="B74" s="216">
        <v>10</v>
      </c>
      <c r="C74" s="216" t="s">
        <v>315</v>
      </c>
      <c r="D74" s="216">
        <v>15</v>
      </c>
      <c r="E74" s="217" t="s">
        <v>330</v>
      </c>
      <c r="F74" s="217"/>
      <c r="G74" s="217"/>
      <c r="H74" s="216">
        <v>25</v>
      </c>
      <c r="I74" s="218" t="s">
        <v>406</v>
      </c>
    </row>
    <row r="75" spans="1:10">
      <c r="A75" s="219">
        <f t="shared" si="1"/>
        <v>38550</v>
      </c>
      <c r="B75" s="220">
        <v>10</v>
      </c>
      <c r="C75" s="220" t="s">
        <v>316</v>
      </c>
      <c r="D75" s="220">
        <v>25</v>
      </c>
      <c r="E75" s="221" t="s">
        <v>344</v>
      </c>
      <c r="F75" s="221">
        <f>SUM(D69:D75)</f>
        <v>123</v>
      </c>
      <c r="G75" s="221"/>
      <c r="H75" s="220">
        <v>12</v>
      </c>
      <c r="I75" s="222" t="s">
        <v>407</v>
      </c>
      <c r="J75" s="203">
        <f>SUM(H69:H75)</f>
        <v>123</v>
      </c>
    </row>
    <row r="76" spans="1:10">
      <c r="A76" s="211">
        <f t="shared" si="1"/>
        <v>38551</v>
      </c>
      <c r="B76" s="212">
        <v>11</v>
      </c>
      <c r="C76" s="212" t="s">
        <v>310</v>
      </c>
      <c r="D76" s="212">
        <v>21</v>
      </c>
      <c r="E76" s="213" t="s">
        <v>339</v>
      </c>
      <c r="F76" s="213"/>
      <c r="G76" s="213"/>
      <c r="H76" s="212"/>
      <c r="I76" s="214"/>
    </row>
    <row r="77" spans="1:10">
      <c r="A77" s="215">
        <f t="shared" si="1"/>
        <v>38552</v>
      </c>
      <c r="B77" s="216">
        <v>11</v>
      </c>
      <c r="C77" s="216" t="s">
        <v>311</v>
      </c>
      <c r="D77" s="216">
        <v>15</v>
      </c>
      <c r="E77" s="217" t="s">
        <v>319</v>
      </c>
      <c r="F77" s="217"/>
      <c r="G77" s="217"/>
      <c r="H77" s="216">
        <v>25</v>
      </c>
      <c r="I77" s="218" t="s">
        <v>422</v>
      </c>
    </row>
    <row r="78" spans="1:10" ht="40.5">
      <c r="A78" s="215">
        <f t="shared" si="1"/>
        <v>38553</v>
      </c>
      <c r="B78" s="216">
        <v>11</v>
      </c>
      <c r="C78" s="216" t="s">
        <v>312</v>
      </c>
      <c r="D78" s="216">
        <f>1.5+2+2</f>
        <v>5.5</v>
      </c>
      <c r="E78" s="217" t="s">
        <v>351</v>
      </c>
      <c r="F78" s="217"/>
      <c r="G78" s="217"/>
      <c r="H78" s="216">
        <v>22</v>
      </c>
      <c r="I78" s="218" t="s">
        <v>424</v>
      </c>
    </row>
    <row r="79" spans="1:10">
      <c r="A79" s="215">
        <f t="shared" si="1"/>
        <v>38554</v>
      </c>
      <c r="B79" s="216">
        <v>11</v>
      </c>
      <c r="C79" s="216" t="s">
        <v>313</v>
      </c>
      <c r="D79" s="216">
        <v>20</v>
      </c>
      <c r="E79" s="217" t="s">
        <v>321</v>
      </c>
      <c r="F79" s="217"/>
      <c r="G79" s="217"/>
      <c r="H79" s="216">
        <v>21</v>
      </c>
      <c r="I79" s="218" t="s">
        <v>384</v>
      </c>
    </row>
    <row r="80" spans="1:10">
      <c r="A80" s="215">
        <f t="shared" si="1"/>
        <v>38555</v>
      </c>
      <c r="B80" s="216">
        <v>11</v>
      </c>
      <c r="C80" s="216" t="s">
        <v>314</v>
      </c>
      <c r="D80" s="216">
        <v>15</v>
      </c>
      <c r="E80" s="217" t="s">
        <v>352</v>
      </c>
      <c r="F80" s="217"/>
      <c r="G80" s="217"/>
      <c r="H80" s="216">
        <v>15</v>
      </c>
      <c r="I80" s="218" t="s">
        <v>400</v>
      </c>
    </row>
    <row r="81" spans="1:10">
      <c r="A81" s="215">
        <f t="shared" si="1"/>
        <v>38556</v>
      </c>
      <c r="B81" s="216">
        <v>11</v>
      </c>
      <c r="C81" s="216" t="s">
        <v>315</v>
      </c>
      <c r="D81" s="216">
        <v>10</v>
      </c>
      <c r="E81" s="217" t="s">
        <v>353</v>
      </c>
      <c r="F81" s="217"/>
      <c r="G81" s="217"/>
      <c r="H81" s="216">
        <v>20</v>
      </c>
      <c r="I81" s="218" t="s">
        <v>423</v>
      </c>
    </row>
    <row r="82" spans="1:10">
      <c r="A82" s="219">
        <f t="shared" si="1"/>
        <v>38557</v>
      </c>
      <c r="B82" s="220">
        <v>11</v>
      </c>
      <c r="C82" s="220" t="s">
        <v>316</v>
      </c>
      <c r="D82" s="220">
        <v>15</v>
      </c>
      <c r="E82" s="221" t="s">
        <v>354</v>
      </c>
      <c r="F82" s="221">
        <f>SUM(D76:D82)</f>
        <v>101.5</v>
      </c>
      <c r="G82" s="221"/>
      <c r="H82" s="220">
        <v>5</v>
      </c>
      <c r="I82" s="222" t="s">
        <v>425</v>
      </c>
      <c r="J82" s="203">
        <f>SUM(H76:H82)</f>
        <v>108</v>
      </c>
    </row>
    <row r="83" spans="1:10">
      <c r="A83" s="211">
        <f t="shared" si="1"/>
        <v>38558</v>
      </c>
      <c r="B83" s="212">
        <v>12</v>
      </c>
      <c r="C83" s="212" t="s">
        <v>310</v>
      </c>
      <c r="D83" s="212">
        <v>15</v>
      </c>
      <c r="E83" s="213" t="s">
        <v>327</v>
      </c>
      <c r="F83" s="213"/>
      <c r="G83" s="213"/>
      <c r="H83" s="212"/>
      <c r="I83" s="223" t="s">
        <v>426</v>
      </c>
    </row>
    <row r="84" spans="1:10">
      <c r="A84" s="215">
        <f t="shared" si="1"/>
        <v>38559</v>
      </c>
      <c r="B84" s="216">
        <v>12</v>
      </c>
      <c r="C84" s="216" t="s">
        <v>311</v>
      </c>
      <c r="D84" s="216">
        <v>21</v>
      </c>
      <c r="E84" s="217" t="s">
        <v>355</v>
      </c>
      <c r="F84" s="217"/>
      <c r="G84" s="217"/>
      <c r="H84" s="216"/>
      <c r="I84" s="224" t="s">
        <v>422</v>
      </c>
    </row>
    <row r="85" spans="1:10">
      <c r="A85" s="215">
        <f t="shared" si="1"/>
        <v>38560</v>
      </c>
      <c r="B85" s="216">
        <v>12</v>
      </c>
      <c r="C85" s="216" t="s">
        <v>312</v>
      </c>
      <c r="D85" s="216">
        <v>25</v>
      </c>
      <c r="E85" s="217" t="s">
        <v>344</v>
      </c>
      <c r="F85" s="217"/>
      <c r="G85" s="217"/>
      <c r="H85" s="216"/>
      <c r="I85" s="224" t="s">
        <v>427</v>
      </c>
    </row>
    <row r="86" spans="1:10">
      <c r="A86" s="215">
        <f t="shared" si="1"/>
        <v>38561</v>
      </c>
      <c r="B86" s="216">
        <v>12</v>
      </c>
      <c r="C86" s="216" t="s">
        <v>313</v>
      </c>
      <c r="D86" s="216">
        <v>9</v>
      </c>
      <c r="E86" s="217" t="s">
        <v>331</v>
      </c>
      <c r="F86" s="217"/>
      <c r="G86" s="217"/>
      <c r="H86" s="216"/>
      <c r="I86" s="224" t="s">
        <v>428</v>
      </c>
    </row>
    <row r="87" spans="1:10">
      <c r="A87" s="215">
        <f t="shared" si="1"/>
        <v>38562</v>
      </c>
      <c r="B87" s="216">
        <v>12</v>
      </c>
      <c r="C87" s="216" t="s">
        <v>314</v>
      </c>
      <c r="D87" s="216">
        <v>10</v>
      </c>
      <c r="E87" s="217" t="s">
        <v>323</v>
      </c>
      <c r="F87" s="217"/>
      <c r="G87" s="217"/>
      <c r="H87" s="216"/>
      <c r="I87" s="224" t="s">
        <v>429</v>
      </c>
    </row>
    <row r="88" spans="1:10">
      <c r="A88" s="215">
        <f t="shared" si="1"/>
        <v>38563</v>
      </c>
      <c r="B88" s="216">
        <v>12</v>
      </c>
      <c r="C88" s="216" t="s">
        <v>315</v>
      </c>
      <c r="D88" s="216">
        <v>15</v>
      </c>
      <c r="E88" s="217" t="s">
        <v>356</v>
      </c>
      <c r="F88" s="217"/>
      <c r="G88" s="217"/>
      <c r="H88" s="216"/>
      <c r="I88" s="224" t="s">
        <v>430</v>
      </c>
    </row>
    <row r="89" spans="1:10" ht="15.75">
      <c r="A89" s="219">
        <f t="shared" si="1"/>
        <v>38564</v>
      </c>
      <c r="B89" s="220">
        <v>12</v>
      </c>
      <c r="C89" s="220" t="s">
        <v>316</v>
      </c>
      <c r="D89" s="220">
        <v>20</v>
      </c>
      <c r="E89" s="221" t="s">
        <v>357</v>
      </c>
      <c r="F89" s="221">
        <f>SUM(D83:D89)</f>
        <v>115</v>
      </c>
      <c r="G89" s="221"/>
      <c r="H89" s="220"/>
      <c r="I89" s="226" t="s">
        <v>431</v>
      </c>
    </row>
    <row r="90" spans="1:10">
      <c r="A90" s="211">
        <f t="shared" si="1"/>
        <v>38565</v>
      </c>
      <c r="B90" s="212">
        <v>13</v>
      </c>
      <c r="C90" s="212" t="s">
        <v>310</v>
      </c>
      <c r="D90" s="212">
        <v>15</v>
      </c>
      <c r="E90" s="213" t="s">
        <v>330</v>
      </c>
      <c r="F90" s="213"/>
      <c r="G90" s="213"/>
      <c r="H90" s="212"/>
      <c r="I90" s="223" t="s">
        <v>402</v>
      </c>
    </row>
    <row r="91" spans="1:10">
      <c r="A91" s="215">
        <f t="shared" si="1"/>
        <v>38566</v>
      </c>
      <c r="B91" s="216">
        <v>13</v>
      </c>
      <c r="C91" s="216" t="s">
        <v>311</v>
      </c>
      <c r="D91" s="216">
        <v>13</v>
      </c>
      <c r="E91" s="217" t="s">
        <v>335</v>
      </c>
      <c r="F91" s="217"/>
      <c r="G91" s="217"/>
      <c r="H91" s="216"/>
      <c r="I91" s="224" t="s">
        <v>432</v>
      </c>
    </row>
    <row r="92" spans="1:10">
      <c r="A92" s="215">
        <f t="shared" si="1"/>
        <v>38567</v>
      </c>
      <c r="B92" s="216">
        <v>13</v>
      </c>
      <c r="C92" s="216" t="s">
        <v>312</v>
      </c>
      <c r="D92" s="216">
        <v>20</v>
      </c>
      <c r="E92" s="217" t="s">
        <v>358</v>
      </c>
      <c r="F92" s="217"/>
      <c r="G92" s="217"/>
      <c r="H92" s="216"/>
      <c r="I92" s="224" t="s">
        <v>433</v>
      </c>
    </row>
    <row r="93" spans="1:10">
      <c r="A93" s="215">
        <f t="shared" si="1"/>
        <v>38568</v>
      </c>
      <c r="B93" s="216">
        <v>13</v>
      </c>
      <c r="C93" s="216" t="s">
        <v>313</v>
      </c>
      <c r="D93" s="216">
        <v>20</v>
      </c>
      <c r="E93" s="217" t="s">
        <v>321</v>
      </c>
      <c r="F93" s="217"/>
      <c r="G93" s="217"/>
      <c r="H93" s="216"/>
      <c r="I93" s="224" t="s">
        <v>384</v>
      </c>
    </row>
    <row r="94" spans="1:10">
      <c r="A94" s="215">
        <f t="shared" si="1"/>
        <v>38569</v>
      </c>
      <c r="B94" s="216">
        <v>13</v>
      </c>
      <c r="C94" s="216" t="s">
        <v>314</v>
      </c>
      <c r="D94" s="216">
        <v>10</v>
      </c>
      <c r="E94" s="217" t="s">
        <v>359</v>
      </c>
      <c r="F94" s="217"/>
      <c r="G94" s="217"/>
      <c r="H94" s="216"/>
      <c r="I94" s="224" t="s">
        <v>434</v>
      </c>
    </row>
    <row r="95" spans="1:10">
      <c r="A95" s="215">
        <f t="shared" si="1"/>
        <v>38570</v>
      </c>
      <c r="B95" s="216">
        <v>13</v>
      </c>
      <c r="C95" s="216" t="s">
        <v>315</v>
      </c>
      <c r="D95" s="216">
        <v>25</v>
      </c>
      <c r="E95" s="217" t="s">
        <v>336</v>
      </c>
      <c r="F95" s="217"/>
      <c r="G95" s="217"/>
      <c r="H95" s="216"/>
      <c r="I95" s="224" t="s">
        <v>435</v>
      </c>
    </row>
    <row r="96" spans="1:10">
      <c r="A96" s="219">
        <f t="shared" si="1"/>
        <v>38571</v>
      </c>
      <c r="B96" s="220">
        <v>13</v>
      </c>
      <c r="C96" s="220" t="s">
        <v>316</v>
      </c>
      <c r="D96" s="220">
        <v>20</v>
      </c>
      <c r="E96" s="221" t="s">
        <v>332</v>
      </c>
      <c r="F96" s="221">
        <f>SUM(D90:D96)</f>
        <v>123</v>
      </c>
      <c r="G96" s="221"/>
      <c r="H96" s="220"/>
      <c r="I96" s="225" t="s">
        <v>436</v>
      </c>
    </row>
    <row r="97" spans="1:9">
      <c r="A97" s="211">
        <f t="shared" si="1"/>
        <v>38572</v>
      </c>
      <c r="B97" s="212">
        <v>14</v>
      </c>
      <c r="C97" s="212" t="s">
        <v>310</v>
      </c>
      <c r="D97" s="212">
        <v>15</v>
      </c>
      <c r="E97" s="213" t="s">
        <v>330</v>
      </c>
      <c r="F97" s="213"/>
      <c r="G97" s="213"/>
      <c r="H97" s="212"/>
      <c r="I97" s="223" t="s">
        <v>402</v>
      </c>
    </row>
    <row r="98" spans="1:9">
      <c r="A98" s="215">
        <f t="shared" si="1"/>
        <v>38573</v>
      </c>
      <c r="B98" s="216">
        <v>14</v>
      </c>
      <c r="C98" s="216" t="s">
        <v>311</v>
      </c>
      <c r="D98" s="216">
        <v>13</v>
      </c>
      <c r="E98" s="217" t="s">
        <v>335</v>
      </c>
      <c r="F98" s="217"/>
      <c r="G98" s="217"/>
      <c r="H98" s="216"/>
      <c r="I98" s="224" t="s">
        <v>432</v>
      </c>
    </row>
    <row r="99" spans="1:9">
      <c r="A99" s="215">
        <f t="shared" si="1"/>
        <v>38574</v>
      </c>
      <c r="B99" s="216">
        <v>14</v>
      </c>
      <c r="C99" s="216" t="s">
        <v>312</v>
      </c>
      <c r="D99" s="216">
        <v>20</v>
      </c>
      <c r="E99" s="217" t="s">
        <v>358</v>
      </c>
      <c r="F99" s="217"/>
      <c r="G99" s="217"/>
      <c r="H99" s="216"/>
      <c r="I99" s="224" t="s">
        <v>433</v>
      </c>
    </row>
    <row r="100" spans="1:9">
      <c r="A100" s="215">
        <f t="shared" si="1"/>
        <v>38575</v>
      </c>
      <c r="B100" s="216">
        <v>14</v>
      </c>
      <c r="C100" s="216" t="s">
        <v>313</v>
      </c>
      <c r="D100" s="216">
        <v>20</v>
      </c>
      <c r="E100" s="217" t="s">
        <v>321</v>
      </c>
      <c r="F100" s="217"/>
      <c r="G100" s="217"/>
      <c r="H100" s="216"/>
      <c r="I100" s="224" t="s">
        <v>384</v>
      </c>
    </row>
    <row r="101" spans="1:9">
      <c r="A101" s="215">
        <f t="shared" si="1"/>
        <v>38576</v>
      </c>
      <c r="B101" s="216">
        <v>14</v>
      </c>
      <c r="C101" s="216" t="s">
        <v>314</v>
      </c>
      <c r="D101" s="216">
        <v>10</v>
      </c>
      <c r="E101" s="217" t="s">
        <v>359</v>
      </c>
      <c r="F101" s="217"/>
      <c r="G101" s="217"/>
      <c r="H101" s="216"/>
      <c r="I101" s="224" t="s">
        <v>434</v>
      </c>
    </row>
    <row r="102" spans="1:9">
      <c r="A102" s="215">
        <f t="shared" si="1"/>
        <v>38577</v>
      </c>
      <c r="B102" s="216">
        <v>14</v>
      </c>
      <c r="C102" s="216" t="s">
        <v>315</v>
      </c>
      <c r="D102" s="216">
        <v>25</v>
      </c>
      <c r="E102" s="217" t="s">
        <v>336</v>
      </c>
      <c r="F102" s="217"/>
      <c r="G102" s="217"/>
      <c r="H102" s="216"/>
      <c r="I102" s="224" t="s">
        <v>435</v>
      </c>
    </row>
    <row r="103" spans="1:9">
      <c r="A103" s="219">
        <f t="shared" si="1"/>
        <v>38578</v>
      </c>
      <c r="B103" s="220">
        <v>14</v>
      </c>
      <c r="C103" s="220" t="s">
        <v>316</v>
      </c>
      <c r="D103" s="220">
        <v>20</v>
      </c>
      <c r="E103" s="221" t="s">
        <v>332</v>
      </c>
      <c r="F103" s="221">
        <f>SUM(D97:D103)</f>
        <v>123</v>
      </c>
      <c r="G103" s="221"/>
      <c r="H103" s="220"/>
      <c r="I103" s="225" t="s">
        <v>436</v>
      </c>
    </row>
    <row r="104" spans="1:9">
      <c r="A104" s="211">
        <f t="shared" si="1"/>
        <v>38579</v>
      </c>
      <c r="B104" s="212">
        <v>15</v>
      </c>
      <c r="C104" s="212" t="s">
        <v>310</v>
      </c>
      <c r="D104" s="212"/>
      <c r="E104" s="213" t="s">
        <v>360</v>
      </c>
      <c r="F104" s="213"/>
      <c r="G104" s="213"/>
      <c r="H104" s="212"/>
      <c r="I104" s="223" t="s">
        <v>437</v>
      </c>
    </row>
    <row r="105" spans="1:9">
      <c r="A105" s="215">
        <f t="shared" si="1"/>
        <v>38580</v>
      </c>
      <c r="B105" s="216">
        <v>15</v>
      </c>
      <c r="C105" s="216" t="s">
        <v>311</v>
      </c>
      <c r="D105" s="216"/>
      <c r="E105" s="217" t="s">
        <v>344</v>
      </c>
      <c r="F105" s="217"/>
      <c r="G105" s="217"/>
      <c r="H105" s="216"/>
      <c r="I105" s="224" t="s">
        <v>438</v>
      </c>
    </row>
    <row r="106" spans="1:9">
      <c r="A106" s="215">
        <f t="shared" si="1"/>
        <v>38581</v>
      </c>
      <c r="B106" s="216">
        <v>15</v>
      </c>
      <c r="C106" s="216" t="s">
        <v>312</v>
      </c>
      <c r="D106" s="216"/>
      <c r="E106" s="217" t="s">
        <v>323</v>
      </c>
      <c r="F106" s="217"/>
      <c r="G106" s="217"/>
      <c r="H106" s="216"/>
      <c r="I106" s="224" t="s">
        <v>439</v>
      </c>
    </row>
    <row r="107" spans="1:9">
      <c r="A107" s="215">
        <f t="shared" si="1"/>
        <v>38582</v>
      </c>
      <c r="B107" s="216">
        <v>15</v>
      </c>
      <c r="C107" s="216" t="s">
        <v>313</v>
      </c>
      <c r="D107" s="216"/>
      <c r="E107" s="217" t="s">
        <v>321</v>
      </c>
      <c r="F107" s="217"/>
      <c r="G107" s="217"/>
      <c r="H107" s="216"/>
      <c r="I107" s="224" t="s">
        <v>440</v>
      </c>
    </row>
    <row r="108" spans="1:9">
      <c r="A108" s="215">
        <f t="shared" si="1"/>
        <v>38583</v>
      </c>
      <c r="B108" s="216">
        <v>15</v>
      </c>
      <c r="C108" s="216" t="s">
        <v>314</v>
      </c>
      <c r="D108" s="216"/>
      <c r="E108" s="217" t="s">
        <v>319</v>
      </c>
      <c r="F108" s="217"/>
      <c r="G108" s="217"/>
      <c r="H108" s="216"/>
      <c r="I108" s="224" t="s">
        <v>441</v>
      </c>
    </row>
    <row r="109" spans="1:9">
      <c r="A109" s="215">
        <f t="shared" si="1"/>
        <v>38584</v>
      </c>
      <c r="B109" s="216">
        <v>15</v>
      </c>
      <c r="C109" s="216" t="s">
        <v>315</v>
      </c>
      <c r="D109" s="216"/>
      <c r="E109" s="217" t="s">
        <v>361</v>
      </c>
      <c r="F109" s="217"/>
      <c r="G109" s="217"/>
      <c r="H109" s="216"/>
      <c r="I109" s="224" t="s">
        <v>442</v>
      </c>
    </row>
    <row r="110" spans="1:9">
      <c r="A110" s="219">
        <f t="shared" si="1"/>
        <v>38585</v>
      </c>
      <c r="B110" s="220">
        <v>15</v>
      </c>
      <c r="C110" s="220" t="s">
        <v>316</v>
      </c>
      <c r="D110" s="220"/>
      <c r="E110" s="221" t="s">
        <v>362</v>
      </c>
      <c r="F110" s="221"/>
      <c r="G110" s="221"/>
      <c r="H110" s="220"/>
      <c r="I110" s="225" t="s">
        <v>443</v>
      </c>
    </row>
    <row r="111" spans="1:9">
      <c r="A111" s="211">
        <f t="shared" si="1"/>
        <v>38586</v>
      </c>
      <c r="B111" s="212">
        <v>16</v>
      </c>
      <c r="C111" s="212" t="s">
        <v>310</v>
      </c>
      <c r="D111" s="212"/>
      <c r="E111" s="213" t="s">
        <v>363</v>
      </c>
      <c r="F111" s="213"/>
      <c r="G111" s="213"/>
      <c r="H111" s="212"/>
      <c r="I111" s="214"/>
    </row>
    <row r="112" spans="1:9">
      <c r="A112" s="215">
        <f t="shared" si="1"/>
        <v>38587</v>
      </c>
      <c r="B112" s="216">
        <v>16</v>
      </c>
      <c r="C112" s="216" t="s">
        <v>311</v>
      </c>
      <c r="D112" s="216"/>
      <c r="E112" s="217" t="s">
        <v>360</v>
      </c>
      <c r="F112" s="217"/>
      <c r="G112" s="217"/>
      <c r="H112" s="216"/>
      <c r="I112" s="224" t="s">
        <v>444</v>
      </c>
    </row>
    <row r="113" spans="1:9">
      <c r="A113" s="215">
        <f t="shared" si="1"/>
        <v>38588</v>
      </c>
      <c r="B113" s="216">
        <v>16</v>
      </c>
      <c r="C113" s="216" t="s">
        <v>312</v>
      </c>
      <c r="D113" s="216"/>
      <c r="E113" s="217" t="s">
        <v>344</v>
      </c>
      <c r="F113" s="217"/>
      <c r="G113" s="217"/>
      <c r="H113" s="216"/>
      <c r="I113" s="224" t="s">
        <v>445</v>
      </c>
    </row>
    <row r="114" spans="1:9">
      <c r="A114" s="215">
        <f t="shared" si="1"/>
        <v>38589</v>
      </c>
      <c r="B114" s="216">
        <v>16</v>
      </c>
      <c r="C114" s="216" t="s">
        <v>313</v>
      </c>
      <c r="D114" s="216"/>
      <c r="E114" s="217" t="s">
        <v>364</v>
      </c>
      <c r="F114" s="217"/>
      <c r="G114" s="217"/>
      <c r="H114" s="216"/>
      <c r="I114" s="224" t="s">
        <v>446</v>
      </c>
    </row>
    <row r="115" spans="1:9">
      <c r="A115" s="215">
        <f t="shared" si="1"/>
        <v>38590</v>
      </c>
      <c r="B115" s="216">
        <v>16</v>
      </c>
      <c r="C115" s="216" t="s">
        <v>314</v>
      </c>
      <c r="D115" s="216"/>
      <c r="E115" s="217" t="s">
        <v>331</v>
      </c>
      <c r="F115" s="217"/>
      <c r="G115" s="217"/>
      <c r="H115" s="216"/>
      <c r="I115" s="224" t="s">
        <v>447</v>
      </c>
    </row>
    <row r="116" spans="1:9">
      <c r="A116" s="215">
        <f t="shared" si="1"/>
        <v>38591</v>
      </c>
      <c r="B116" s="216">
        <v>16</v>
      </c>
      <c r="C116" s="216" t="s">
        <v>315</v>
      </c>
      <c r="D116" s="216"/>
      <c r="E116" s="217" t="s">
        <v>350</v>
      </c>
      <c r="F116" s="217"/>
      <c r="G116" s="217"/>
      <c r="H116" s="216"/>
      <c r="I116" s="224" t="s">
        <v>448</v>
      </c>
    </row>
    <row r="117" spans="1:9">
      <c r="A117" s="219">
        <f t="shared" si="1"/>
        <v>38592</v>
      </c>
      <c r="B117" s="220">
        <v>16</v>
      </c>
      <c r="C117" s="220" t="s">
        <v>316</v>
      </c>
      <c r="D117" s="220"/>
      <c r="E117" s="221" t="s">
        <v>365</v>
      </c>
      <c r="F117" s="221"/>
      <c r="G117" s="221"/>
      <c r="H117" s="220"/>
      <c r="I117" s="225" t="s">
        <v>449</v>
      </c>
    </row>
    <row r="118" spans="1:9">
      <c r="A118" s="211">
        <f t="shared" si="1"/>
        <v>38593</v>
      </c>
      <c r="B118" s="212">
        <v>17</v>
      </c>
      <c r="C118" s="212" t="s">
        <v>310</v>
      </c>
      <c r="D118" s="212"/>
      <c r="E118" s="213" t="s">
        <v>337</v>
      </c>
      <c r="F118" s="213"/>
      <c r="G118" s="213"/>
      <c r="H118" s="212"/>
      <c r="I118" s="223" t="s">
        <v>450</v>
      </c>
    </row>
    <row r="119" spans="1:9" ht="27">
      <c r="A119" s="215">
        <f t="shared" si="1"/>
        <v>38594</v>
      </c>
      <c r="B119" s="216">
        <v>17</v>
      </c>
      <c r="C119" s="216" t="s">
        <v>311</v>
      </c>
      <c r="D119" s="216"/>
      <c r="E119" s="217" t="s">
        <v>366</v>
      </c>
      <c r="F119" s="217"/>
      <c r="G119" s="217"/>
      <c r="H119" s="216"/>
      <c r="I119" s="224" t="s">
        <v>451</v>
      </c>
    </row>
    <row r="120" spans="1:9">
      <c r="A120" s="215">
        <f t="shared" si="1"/>
        <v>38595</v>
      </c>
      <c r="B120" s="216">
        <v>17</v>
      </c>
      <c r="C120" s="216" t="s">
        <v>312</v>
      </c>
      <c r="D120" s="216"/>
      <c r="E120" s="217" t="s">
        <v>367</v>
      </c>
      <c r="F120" s="217"/>
      <c r="G120" s="217"/>
      <c r="H120" s="216"/>
      <c r="I120" s="224" t="s">
        <v>452</v>
      </c>
    </row>
    <row r="121" spans="1:9">
      <c r="A121" s="215">
        <f t="shared" si="1"/>
        <v>38596</v>
      </c>
      <c r="B121" s="216">
        <v>17</v>
      </c>
      <c r="C121" s="216" t="s">
        <v>313</v>
      </c>
      <c r="D121" s="216"/>
      <c r="E121" s="217" t="s">
        <v>368</v>
      </c>
      <c r="F121" s="217"/>
      <c r="G121" s="217"/>
      <c r="H121" s="216"/>
      <c r="I121" s="224" t="s">
        <v>453</v>
      </c>
    </row>
    <row r="122" spans="1:9">
      <c r="A122" s="215">
        <f t="shared" si="1"/>
        <v>38597</v>
      </c>
      <c r="B122" s="216">
        <v>17</v>
      </c>
      <c r="C122" s="216" t="s">
        <v>314</v>
      </c>
      <c r="D122" s="216"/>
      <c r="E122" s="217" t="s">
        <v>349</v>
      </c>
      <c r="F122" s="217"/>
      <c r="G122" s="217"/>
      <c r="H122" s="216"/>
      <c r="I122" s="218"/>
    </row>
    <row r="123" spans="1:9">
      <c r="A123" s="215">
        <f t="shared" si="1"/>
        <v>38598</v>
      </c>
      <c r="B123" s="216">
        <v>17</v>
      </c>
      <c r="C123" s="216" t="s">
        <v>315</v>
      </c>
      <c r="D123" s="216"/>
      <c r="E123" s="217" t="s">
        <v>321</v>
      </c>
      <c r="F123" s="217"/>
      <c r="G123" s="217"/>
      <c r="H123" s="216"/>
      <c r="I123" s="224" t="s">
        <v>454</v>
      </c>
    </row>
    <row r="124" spans="1:9">
      <c r="A124" s="215">
        <f t="shared" si="1"/>
        <v>38599</v>
      </c>
      <c r="B124" s="216">
        <v>17</v>
      </c>
      <c r="C124" s="216" t="s">
        <v>316</v>
      </c>
      <c r="D124" s="216"/>
      <c r="E124" s="217" t="s">
        <v>344</v>
      </c>
      <c r="F124" s="217"/>
      <c r="G124" s="217"/>
      <c r="H124" s="216"/>
      <c r="I124" s="224" t="s">
        <v>455</v>
      </c>
    </row>
    <row r="125" spans="1:9">
      <c r="A125" s="211">
        <f t="shared" si="1"/>
        <v>38600</v>
      </c>
      <c r="B125" s="212">
        <v>18</v>
      </c>
      <c r="C125" s="212" t="s">
        <v>310</v>
      </c>
      <c r="D125" s="212"/>
      <c r="E125" s="213" t="s">
        <v>369</v>
      </c>
      <c r="F125" s="213"/>
      <c r="G125" s="213"/>
      <c r="H125" s="212"/>
      <c r="I125" s="223" t="s">
        <v>456</v>
      </c>
    </row>
    <row r="126" spans="1:9">
      <c r="A126" s="215">
        <f t="shared" si="1"/>
        <v>38601</v>
      </c>
      <c r="B126" s="216">
        <v>18</v>
      </c>
      <c r="C126" s="216" t="s">
        <v>311</v>
      </c>
      <c r="D126" s="216"/>
      <c r="E126" s="217" t="s">
        <v>370</v>
      </c>
      <c r="F126" s="217"/>
      <c r="G126" s="217"/>
      <c r="H126" s="216"/>
      <c r="I126" s="224" t="s">
        <v>457</v>
      </c>
    </row>
    <row r="127" spans="1:9">
      <c r="A127" s="215">
        <f t="shared" si="1"/>
        <v>38602</v>
      </c>
      <c r="B127" s="216">
        <v>18</v>
      </c>
      <c r="C127" s="216" t="s">
        <v>312</v>
      </c>
      <c r="D127" s="216"/>
      <c r="E127" s="217" t="s">
        <v>350</v>
      </c>
      <c r="F127" s="217"/>
      <c r="G127" s="217"/>
      <c r="H127" s="216"/>
      <c r="I127" s="224" t="s">
        <v>458</v>
      </c>
    </row>
    <row r="128" spans="1:9">
      <c r="A128" s="215">
        <f t="shared" si="1"/>
        <v>38603</v>
      </c>
      <c r="B128" s="216">
        <v>18</v>
      </c>
      <c r="C128" s="216" t="s">
        <v>313</v>
      </c>
      <c r="D128" s="216"/>
      <c r="E128" s="217" t="s">
        <v>340</v>
      </c>
      <c r="F128" s="217"/>
      <c r="G128" s="217"/>
      <c r="H128" s="216"/>
      <c r="I128" s="224" t="s">
        <v>459</v>
      </c>
    </row>
    <row r="129" spans="1:9">
      <c r="A129" s="215">
        <f t="shared" si="1"/>
        <v>38604</v>
      </c>
      <c r="B129" s="216">
        <v>18</v>
      </c>
      <c r="C129" s="216" t="s">
        <v>314</v>
      </c>
      <c r="D129" s="216"/>
      <c r="E129" s="217" t="s">
        <v>371</v>
      </c>
      <c r="F129" s="217"/>
      <c r="G129" s="217"/>
      <c r="H129" s="216"/>
      <c r="I129" s="218"/>
    </row>
    <row r="130" spans="1:9" ht="54">
      <c r="A130" s="215">
        <f t="shared" si="1"/>
        <v>38605</v>
      </c>
      <c r="B130" s="216">
        <v>18</v>
      </c>
      <c r="C130" s="216" t="s">
        <v>315</v>
      </c>
      <c r="D130" s="216"/>
      <c r="E130" s="217" t="s">
        <v>372</v>
      </c>
      <c r="F130" s="217"/>
      <c r="G130" s="217"/>
      <c r="H130" s="216"/>
      <c r="I130" s="224" t="s">
        <v>460</v>
      </c>
    </row>
    <row r="131" spans="1:9">
      <c r="A131" s="219">
        <f t="shared" si="1"/>
        <v>38606</v>
      </c>
      <c r="B131" s="220">
        <v>18</v>
      </c>
      <c r="C131" s="220" t="s">
        <v>316</v>
      </c>
      <c r="D131" s="220"/>
      <c r="E131" s="221" t="s">
        <v>362</v>
      </c>
      <c r="F131" s="221"/>
      <c r="G131" s="221"/>
      <c r="H131" s="220"/>
      <c r="I131" s="225" t="s">
        <v>461</v>
      </c>
    </row>
    <row r="132" spans="1:9">
      <c r="A132" s="211">
        <f t="shared" si="1"/>
        <v>38607</v>
      </c>
      <c r="B132" s="212">
        <v>19</v>
      </c>
      <c r="C132" s="212" t="s">
        <v>310</v>
      </c>
      <c r="D132" s="212"/>
      <c r="E132" s="213" t="s">
        <v>327</v>
      </c>
      <c r="F132" s="213"/>
      <c r="G132" s="213"/>
      <c r="H132" s="212"/>
      <c r="I132" s="223" t="s">
        <v>462</v>
      </c>
    </row>
    <row r="133" spans="1:9">
      <c r="A133" s="215">
        <f t="shared" si="1"/>
        <v>38608</v>
      </c>
      <c r="B133" s="216">
        <v>19</v>
      </c>
      <c r="C133" s="216" t="s">
        <v>311</v>
      </c>
      <c r="D133" s="216"/>
      <c r="E133" s="217" t="s">
        <v>373</v>
      </c>
      <c r="F133" s="217"/>
      <c r="G133" s="217"/>
      <c r="H133" s="216"/>
      <c r="I133" s="224" t="s">
        <v>463</v>
      </c>
    </row>
    <row r="134" spans="1:9">
      <c r="A134" s="215">
        <f t="shared" si="1"/>
        <v>38609</v>
      </c>
      <c r="B134" s="216">
        <v>19</v>
      </c>
      <c r="C134" s="216" t="s">
        <v>312</v>
      </c>
      <c r="D134" s="216"/>
      <c r="E134" s="217" t="s">
        <v>377</v>
      </c>
      <c r="F134" s="217"/>
      <c r="G134" s="217"/>
      <c r="H134" s="216"/>
      <c r="I134" s="224" t="s">
        <v>464</v>
      </c>
    </row>
    <row r="135" spans="1:9">
      <c r="A135" s="215">
        <f t="shared" si="1"/>
        <v>38610</v>
      </c>
      <c r="B135" s="216">
        <v>19</v>
      </c>
      <c r="C135" s="216" t="s">
        <v>313</v>
      </c>
      <c r="D135" s="216"/>
      <c r="E135" s="217" t="s">
        <v>321</v>
      </c>
      <c r="F135" s="217"/>
      <c r="G135" s="217"/>
      <c r="H135" s="216"/>
      <c r="I135" s="224" t="s">
        <v>465</v>
      </c>
    </row>
    <row r="136" spans="1:9">
      <c r="A136" s="215">
        <f t="shared" ref="A136:A145" si="2">A135+1</f>
        <v>38611</v>
      </c>
      <c r="B136" s="216">
        <v>19</v>
      </c>
      <c r="C136" s="216" t="s">
        <v>314</v>
      </c>
      <c r="D136" s="216"/>
      <c r="E136" s="217" t="s">
        <v>374</v>
      </c>
      <c r="F136" s="217"/>
      <c r="G136" s="217"/>
      <c r="H136" s="216"/>
      <c r="I136" s="224" t="s">
        <v>466</v>
      </c>
    </row>
    <row r="137" spans="1:9">
      <c r="A137" s="215">
        <f t="shared" si="2"/>
        <v>38612</v>
      </c>
      <c r="B137" s="216">
        <v>19</v>
      </c>
      <c r="C137" s="216" t="s">
        <v>315</v>
      </c>
      <c r="D137" s="216"/>
      <c r="E137" s="217" t="s">
        <v>375</v>
      </c>
      <c r="F137" s="217"/>
      <c r="G137" s="217"/>
      <c r="H137" s="216"/>
      <c r="I137" s="224" t="s">
        <v>467</v>
      </c>
    </row>
    <row r="138" spans="1:9">
      <c r="A138" s="219">
        <f t="shared" si="2"/>
        <v>38613</v>
      </c>
      <c r="B138" s="220">
        <v>19</v>
      </c>
      <c r="C138" s="220" t="s">
        <v>316</v>
      </c>
      <c r="D138" s="220"/>
      <c r="E138" s="221" t="s">
        <v>376</v>
      </c>
      <c r="F138" s="221"/>
      <c r="G138" s="221"/>
      <c r="H138" s="220"/>
      <c r="I138" s="225" t="s">
        <v>455</v>
      </c>
    </row>
    <row r="139" spans="1:9">
      <c r="A139" s="211">
        <f t="shared" si="2"/>
        <v>38614</v>
      </c>
      <c r="B139" s="212">
        <v>20</v>
      </c>
      <c r="C139" s="212" t="s">
        <v>310</v>
      </c>
      <c r="D139" s="212"/>
      <c r="E139" s="213" t="s">
        <v>378</v>
      </c>
      <c r="F139" s="213"/>
      <c r="G139" s="213"/>
      <c r="H139" s="212"/>
      <c r="I139" s="223" t="s">
        <v>468</v>
      </c>
    </row>
    <row r="140" spans="1:9">
      <c r="A140" s="215">
        <f t="shared" si="2"/>
        <v>38615</v>
      </c>
      <c r="B140" s="216">
        <v>20</v>
      </c>
      <c r="C140" s="216" t="s">
        <v>311</v>
      </c>
      <c r="D140" s="216"/>
      <c r="E140" s="217" t="s">
        <v>358</v>
      </c>
      <c r="F140" s="217"/>
      <c r="G140" s="217"/>
      <c r="H140" s="216"/>
      <c r="I140" s="218"/>
    </row>
    <row r="141" spans="1:9">
      <c r="A141" s="215">
        <f t="shared" si="2"/>
        <v>38616</v>
      </c>
      <c r="B141" s="216">
        <v>20</v>
      </c>
      <c r="C141" s="216" t="s">
        <v>312</v>
      </c>
      <c r="D141" s="216"/>
      <c r="E141" s="217" t="s">
        <v>360</v>
      </c>
      <c r="F141" s="217"/>
      <c r="G141" s="217"/>
      <c r="H141" s="216"/>
      <c r="I141" s="224" t="s">
        <v>469</v>
      </c>
    </row>
    <row r="142" spans="1:9" ht="27">
      <c r="A142" s="215">
        <f t="shared" si="2"/>
        <v>38617</v>
      </c>
      <c r="B142" s="216">
        <v>20</v>
      </c>
      <c r="C142" s="216" t="s">
        <v>313</v>
      </c>
      <c r="D142" s="216"/>
      <c r="E142" s="217" t="s">
        <v>379</v>
      </c>
      <c r="F142" s="217"/>
      <c r="G142" s="217"/>
      <c r="H142" s="216"/>
      <c r="I142" s="224" t="s">
        <v>470</v>
      </c>
    </row>
    <row r="143" spans="1:9">
      <c r="A143" s="215">
        <f t="shared" si="2"/>
        <v>38618</v>
      </c>
      <c r="B143" s="216">
        <v>20</v>
      </c>
      <c r="C143" s="216" t="s">
        <v>314</v>
      </c>
      <c r="D143" s="216"/>
      <c r="E143" s="217"/>
      <c r="F143" s="217"/>
      <c r="G143" s="217"/>
      <c r="H143" s="216"/>
      <c r="I143" s="218"/>
    </row>
    <row r="144" spans="1:9">
      <c r="A144" s="215">
        <f t="shared" si="2"/>
        <v>38619</v>
      </c>
      <c r="B144" s="216">
        <v>20</v>
      </c>
      <c r="C144" s="216" t="s">
        <v>315</v>
      </c>
      <c r="D144" s="216"/>
      <c r="E144" s="217" t="s">
        <v>376</v>
      </c>
      <c r="F144" s="217"/>
      <c r="G144" s="217"/>
      <c r="H144" s="216"/>
      <c r="I144" s="224" t="s">
        <v>471</v>
      </c>
    </row>
    <row r="145" spans="1:9">
      <c r="A145" s="219">
        <f t="shared" si="2"/>
        <v>38620</v>
      </c>
      <c r="B145" s="220">
        <v>20</v>
      </c>
      <c r="C145" s="220" t="s">
        <v>316</v>
      </c>
      <c r="D145" s="220"/>
      <c r="E145" s="221" t="s">
        <v>380</v>
      </c>
      <c r="F145" s="221"/>
      <c r="G145" s="221"/>
      <c r="H145" s="220"/>
      <c r="I145" s="225" t="s">
        <v>472</v>
      </c>
    </row>
  </sheetData>
  <phoneticPr fontId="19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83"/>
  <sheetViews>
    <sheetView topLeftCell="A22" workbookViewId="0">
      <selection activeCell="E42" sqref="E42"/>
    </sheetView>
  </sheetViews>
  <sheetFormatPr defaultRowHeight="12.75"/>
  <sheetData>
    <row r="1" spans="1:3" s="52" customFormat="1">
      <c r="A1" s="60" t="s">
        <v>90</v>
      </c>
      <c r="B1" s="60" t="s">
        <v>78</v>
      </c>
      <c r="C1" s="60" t="s">
        <v>77</v>
      </c>
    </row>
    <row r="2" spans="1:3">
      <c r="A2" s="59">
        <v>0</v>
      </c>
      <c r="B2">
        <v>69</v>
      </c>
    </row>
    <row r="3" spans="1:3">
      <c r="A3" s="59">
        <v>5.7870370370370366E-5</v>
      </c>
      <c r="B3">
        <v>69</v>
      </c>
    </row>
    <row r="4" spans="1:3">
      <c r="A4" s="59">
        <v>1.15740740740741E-4</v>
      </c>
      <c r="B4">
        <v>86</v>
      </c>
    </row>
    <row r="5" spans="1:3">
      <c r="A5" s="59">
        <v>1.7361111111111101E-4</v>
      </c>
      <c r="B5">
        <v>93</v>
      </c>
    </row>
    <row r="6" spans="1:3">
      <c r="A6" s="59">
        <v>2.31481481481481E-4</v>
      </c>
      <c r="B6">
        <v>96</v>
      </c>
    </row>
    <row r="7" spans="1:3">
      <c r="A7" s="59">
        <v>2.89351851851852E-4</v>
      </c>
      <c r="B7">
        <v>97</v>
      </c>
    </row>
    <row r="8" spans="1:3">
      <c r="A8" s="59">
        <v>3.4722222222222202E-4</v>
      </c>
      <c r="B8">
        <v>97</v>
      </c>
    </row>
    <row r="9" spans="1:3">
      <c r="A9" s="59">
        <v>4.0509259259259301E-4</v>
      </c>
      <c r="B9">
        <v>93</v>
      </c>
    </row>
    <row r="10" spans="1:3">
      <c r="A10" s="59">
        <v>4.6296296296296298E-4</v>
      </c>
      <c r="B10">
        <v>88</v>
      </c>
    </row>
    <row r="11" spans="1:3">
      <c r="A11" s="59">
        <v>5.20833333333333E-4</v>
      </c>
      <c r="B11">
        <v>92</v>
      </c>
    </row>
    <row r="12" spans="1:3">
      <c r="A12" s="59">
        <v>5.78703703703704E-4</v>
      </c>
      <c r="B12">
        <v>92</v>
      </c>
    </row>
    <row r="13" spans="1:3">
      <c r="A13" s="59">
        <v>6.3657407407407402E-4</v>
      </c>
      <c r="B13">
        <v>90</v>
      </c>
    </row>
    <row r="14" spans="1:3">
      <c r="A14" s="59">
        <v>6.7129629629629625E-4</v>
      </c>
      <c r="C14">
        <v>4.5</v>
      </c>
    </row>
    <row r="15" spans="1:3">
      <c r="A15" s="59">
        <v>6.9444444444444404E-4</v>
      </c>
      <c r="B15">
        <v>87</v>
      </c>
      <c r="C15">
        <v>4.5</v>
      </c>
    </row>
    <row r="16" spans="1:3">
      <c r="A16" s="59">
        <v>7.5231481481481503E-4</v>
      </c>
      <c r="B16">
        <v>94</v>
      </c>
      <c r="C16">
        <v>4.5</v>
      </c>
    </row>
    <row r="17" spans="1:3">
      <c r="A17" s="59">
        <v>8.1018518518518505E-4</v>
      </c>
      <c r="B17">
        <v>97</v>
      </c>
      <c r="C17">
        <v>4.5</v>
      </c>
    </row>
    <row r="18" spans="1:3">
      <c r="A18" s="59">
        <v>8.6805555555555605E-4</v>
      </c>
      <c r="B18">
        <v>99</v>
      </c>
      <c r="C18">
        <v>4.5</v>
      </c>
    </row>
    <row r="19" spans="1:3">
      <c r="A19" s="59">
        <v>9.2592592592592596E-4</v>
      </c>
      <c r="B19">
        <v>100</v>
      </c>
      <c r="C19">
        <v>4.5</v>
      </c>
    </row>
    <row r="20" spans="1:3">
      <c r="A20" s="59">
        <v>9.8379629629629598E-4</v>
      </c>
      <c r="B20">
        <v>101</v>
      </c>
      <c r="C20">
        <v>4.5</v>
      </c>
    </row>
    <row r="21" spans="1:3">
      <c r="A21" s="59">
        <v>1.0416666666666699E-3</v>
      </c>
      <c r="B21">
        <v>101</v>
      </c>
      <c r="C21">
        <v>4.5</v>
      </c>
    </row>
    <row r="22" spans="1:3">
      <c r="A22" s="59">
        <v>1.0995370370370399E-3</v>
      </c>
      <c r="B22">
        <v>99</v>
      </c>
      <c r="C22">
        <v>4.5</v>
      </c>
    </row>
    <row r="23" spans="1:3">
      <c r="A23" s="59">
        <v>1.1574074074074099E-3</v>
      </c>
      <c r="B23">
        <v>100</v>
      </c>
      <c r="C23">
        <v>4.5</v>
      </c>
    </row>
    <row r="24" spans="1:3">
      <c r="A24" s="59">
        <v>1.21527777777778E-3</v>
      </c>
      <c r="B24">
        <v>99</v>
      </c>
      <c r="C24">
        <v>4.5</v>
      </c>
    </row>
    <row r="25" spans="1:3">
      <c r="A25" s="59">
        <v>1.27314814814815E-3</v>
      </c>
      <c r="B25">
        <v>99</v>
      </c>
      <c r="C25">
        <v>4.5</v>
      </c>
    </row>
    <row r="26" spans="1:3">
      <c r="A26" s="59">
        <v>1.33101851851852E-3</v>
      </c>
      <c r="B26">
        <v>97</v>
      </c>
      <c r="C26">
        <v>4.5</v>
      </c>
    </row>
    <row r="27" spans="1:3">
      <c r="A27" s="59">
        <v>1.38888888888889E-3</v>
      </c>
      <c r="B27">
        <v>92</v>
      </c>
      <c r="C27">
        <v>4.5</v>
      </c>
    </row>
    <row r="28" spans="1:3">
      <c r="A28" s="59">
        <v>1.44675925925926E-3</v>
      </c>
      <c r="B28">
        <v>93</v>
      </c>
      <c r="C28">
        <v>4.5</v>
      </c>
    </row>
    <row r="29" spans="1:3">
      <c r="A29" s="59">
        <v>1.5046296296296301E-3</v>
      </c>
      <c r="B29">
        <v>96</v>
      </c>
      <c r="C29">
        <v>4.5</v>
      </c>
    </row>
    <row r="30" spans="1:3">
      <c r="A30" s="59">
        <v>1.5625000000000001E-3</v>
      </c>
      <c r="B30">
        <v>95</v>
      </c>
      <c r="C30">
        <v>4.5</v>
      </c>
    </row>
    <row r="31" spans="1:3">
      <c r="A31" s="59">
        <v>1.6203703703703701E-3</v>
      </c>
      <c r="B31">
        <v>89</v>
      </c>
      <c r="C31">
        <v>4.5</v>
      </c>
    </row>
    <row r="32" spans="1:3">
      <c r="A32" s="59">
        <v>1.6782407407407399E-3</v>
      </c>
      <c r="B32">
        <v>91</v>
      </c>
      <c r="C32">
        <v>4.5</v>
      </c>
    </row>
    <row r="33" spans="1:3">
      <c r="A33" s="59">
        <v>1.7361111111111099E-3</v>
      </c>
      <c r="B33">
        <v>93</v>
      </c>
      <c r="C33">
        <v>4.5</v>
      </c>
    </row>
    <row r="34" spans="1:3">
      <c r="A34" s="59">
        <v>1.79398148148148E-3</v>
      </c>
      <c r="B34">
        <v>87</v>
      </c>
      <c r="C34">
        <v>4.5</v>
      </c>
    </row>
    <row r="35" spans="1:3">
      <c r="A35" s="59">
        <v>1.85185185185185E-3</v>
      </c>
      <c r="B35">
        <v>91</v>
      </c>
      <c r="C35">
        <v>4.5</v>
      </c>
    </row>
    <row r="36" spans="1:3">
      <c r="A36" s="59">
        <v>1.90972222222222E-3</v>
      </c>
      <c r="B36">
        <v>95</v>
      </c>
      <c r="C36">
        <v>4.5</v>
      </c>
    </row>
    <row r="37" spans="1:3">
      <c r="A37" s="59">
        <v>1.9675925925925898E-3</v>
      </c>
      <c r="B37">
        <v>94</v>
      </c>
      <c r="C37">
        <v>4.5</v>
      </c>
    </row>
    <row r="38" spans="1:3">
      <c r="A38" s="59">
        <v>2.0254629629629598E-3</v>
      </c>
      <c r="B38">
        <v>98</v>
      </c>
      <c r="C38">
        <v>4.5</v>
      </c>
    </row>
    <row r="39" spans="1:3">
      <c r="A39" s="59">
        <v>2.0833333333333298E-3</v>
      </c>
      <c r="B39">
        <v>96</v>
      </c>
      <c r="C39">
        <v>4.5</v>
      </c>
    </row>
    <row r="40" spans="1:3">
      <c r="A40" s="59">
        <v>2.1412037037036999E-3</v>
      </c>
      <c r="B40">
        <v>97</v>
      </c>
      <c r="C40">
        <v>4.5</v>
      </c>
    </row>
    <row r="41" spans="1:3">
      <c r="A41" s="59">
        <v>2.1990740740740699E-3</v>
      </c>
      <c r="B41">
        <v>98</v>
      </c>
      <c r="C41">
        <v>4.5</v>
      </c>
    </row>
    <row r="42" spans="1:3">
      <c r="A42" s="59">
        <v>2.2569444444444399E-3</v>
      </c>
      <c r="B42">
        <v>99</v>
      </c>
      <c r="C42">
        <v>4.5</v>
      </c>
    </row>
    <row r="43" spans="1:3">
      <c r="A43" s="59">
        <v>2.3148148148148099E-3</v>
      </c>
      <c r="B43">
        <v>101</v>
      </c>
      <c r="C43">
        <v>4.5</v>
      </c>
    </row>
    <row r="44" spans="1:3">
      <c r="A44" s="59">
        <v>2.3726851851851899E-3</v>
      </c>
      <c r="B44">
        <v>99</v>
      </c>
      <c r="C44">
        <v>4.5</v>
      </c>
    </row>
    <row r="45" spans="1:3">
      <c r="A45" s="59">
        <v>2.4305555555555599E-3</v>
      </c>
      <c r="B45">
        <v>102</v>
      </c>
      <c r="C45">
        <v>4.5</v>
      </c>
    </row>
    <row r="46" spans="1:3">
      <c r="A46" s="59">
        <v>2.48842592592593E-3</v>
      </c>
      <c r="B46">
        <v>101</v>
      </c>
      <c r="C46">
        <v>4.5</v>
      </c>
    </row>
    <row r="47" spans="1:3">
      <c r="A47" s="59">
        <v>2.5462962962963E-3</v>
      </c>
      <c r="B47">
        <v>97</v>
      </c>
      <c r="C47">
        <v>4.5</v>
      </c>
    </row>
    <row r="48" spans="1:3">
      <c r="A48" s="59">
        <v>2.60416666666667E-3</v>
      </c>
      <c r="B48">
        <v>88</v>
      </c>
      <c r="C48">
        <v>4.5</v>
      </c>
    </row>
    <row r="49" spans="1:3">
      <c r="A49" s="59">
        <v>2.66203703703704E-3</v>
      </c>
      <c r="B49">
        <v>86</v>
      </c>
      <c r="C49">
        <v>4.5</v>
      </c>
    </row>
    <row r="50" spans="1:3">
      <c r="A50" s="59">
        <v>2.71990740740741E-3</v>
      </c>
      <c r="B50">
        <v>90</v>
      </c>
      <c r="C50">
        <v>4.5</v>
      </c>
    </row>
    <row r="51" spans="1:3">
      <c r="A51" s="59">
        <v>2.7777777777777801E-3</v>
      </c>
      <c r="B51">
        <v>90</v>
      </c>
      <c r="C51">
        <v>4.5</v>
      </c>
    </row>
    <row r="52" spans="1:3">
      <c r="A52" s="59">
        <v>2.8356481481481501E-3</v>
      </c>
      <c r="B52">
        <v>90</v>
      </c>
      <c r="C52">
        <v>4.5</v>
      </c>
    </row>
    <row r="53" spans="1:3">
      <c r="A53" s="59">
        <v>2.8935185185185201E-3</v>
      </c>
      <c r="B53">
        <v>96</v>
      </c>
      <c r="C53">
        <v>4.5</v>
      </c>
    </row>
    <row r="54" spans="1:3">
      <c r="A54" s="59">
        <v>2.9513888888888901E-3</v>
      </c>
      <c r="B54">
        <v>93</v>
      </c>
      <c r="C54">
        <v>4.5</v>
      </c>
    </row>
    <row r="55" spans="1:3">
      <c r="A55" s="59">
        <v>3.0092592592592601E-3</v>
      </c>
      <c r="B55">
        <v>97</v>
      </c>
      <c r="C55">
        <v>4.5</v>
      </c>
    </row>
    <row r="56" spans="1:3">
      <c r="A56" s="59">
        <v>3.0671296296296302E-3</v>
      </c>
      <c r="B56">
        <v>99</v>
      </c>
      <c r="C56">
        <v>5.5</v>
      </c>
    </row>
    <row r="57" spans="1:3">
      <c r="A57" s="59">
        <v>3.1250000000000002E-3</v>
      </c>
      <c r="B57">
        <v>101</v>
      </c>
      <c r="C57">
        <v>5.5</v>
      </c>
    </row>
    <row r="58" spans="1:3">
      <c r="A58" s="59">
        <v>3.1828703703703702E-3</v>
      </c>
      <c r="B58">
        <v>103</v>
      </c>
      <c r="C58">
        <v>5.5</v>
      </c>
    </row>
    <row r="59" spans="1:3">
      <c r="A59" s="59">
        <v>3.2407407407407402E-3</v>
      </c>
      <c r="B59">
        <v>102</v>
      </c>
      <c r="C59">
        <v>5.5</v>
      </c>
    </row>
    <row r="60" spans="1:3">
      <c r="A60" s="59">
        <v>3.2986111111111098E-3</v>
      </c>
      <c r="B60">
        <v>102</v>
      </c>
      <c r="C60">
        <v>5.5</v>
      </c>
    </row>
    <row r="61" spans="1:3">
      <c r="A61" s="59">
        <v>3.3564814814814798E-3</v>
      </c>
      <c r="B61">
        <v>98</v>
      </c>
      <c r="C61">
        <v>5.5</v>
      </c>
    </row>
    <row r="62" spans="1:3">
      <c r="A62" s="59">
        <v>3.4143518518518498E-3</v>
      </c>
      <c r="B62">
        <v>100</v>
      </c>
      <c r="C62">
        <v>5.5</v>
      </c>
    </row>
    <row r="63" spans="1:3">
      <c r="A63" s="59">
        <v>3.4722222222222199E-3</v>
      </c>
      <c r="B63">
        <v>102</v>
      </c>
      <c r="C63">
        <v>5.5</v>
      </c>
    </row>
    <row r="64" spans="1:3">
      <c r="A64" s="59">
        <v>3.5300925925925899E-3</v>
      </c>
      <c r="B64">
        <v>103</v>
      </c>
      <c r="C64">
        <v>5.5</v>
      </c>
    </row>
    <row r="65" spans="1:3">
      <c r="A65" s="59">
        <v>3.5879629629629599E-3</v>
      </c>
      <c r="B65">
        <v>103</v>
      </c>
      <c r="C65">
        <v>5.5</v>
      </c>
    </row>
    <row r="66" spans="1:3">
      <c r="A66" s="59">
        <v>3.6458333333333299E-3</v>
      </c>
      <c r="B66">
        <v>102</v>
      </c>
      <c r="C66">
        <v>5.5</v>
      </c>
    </row>
    <row r="67" spans="1:3">
      <c r="A67" s="59">
        <v>3.7037037037036999E-3</v>
      </c>
      <c r="B67">
        <v>102</v>
      </c>
      <c r="C67">
        <v>5.5</v>
      </c>
    </row>
    <row r="68" spans="1:3">
      <c r="A68" s="59">
        <v>3.76157407407407E-3</v>
      </c>
      <c r="B68">
        <v>103</v>
      </c>
      <c r="C68">
        <v>5.5</v>
      </c>
    </row>
    <row r="69" spans="1:3">
      <c r="A69" s="59">
        <v>3.81944444444444E-3</v>
      </c>
      <c r="B69">
        <v>103</v>
      </c>
      <c r="C69">
        <v>5.5</v>
      </c>
    </row>
    <row r="70" spans="1:3">
      <c r="A70" s="59">
        <v>3.87731481481481E-3</v>
      </c>
      <c r="B70">
        <v>104</v>
      </c>
      <c r="C70">
        <v>5.5</v>
      </c>
    </row>
    <row r="71" spans="1:3">
      <c r="A71" s="59">
        <v>3.9351851851851796E-3</v>
      </c>
      <c r="B71">
        <v>103</v>
      </c>
      <c r="C71">
        <v>5.5</v>
      </c>
    </row>
    <row r="72" spans="1:3">
      <c r="A72" s="59">
        <v>3.9930555555555596E-3</v>
      </c>
      <c r="B72">
        <v>104</v>
      </c>
      <c r="C72">
        <v>5.5</v>
      </c>
    </row>
    <row r="73" spans="1:3">
      <c r="A73" s="59">
        <v>4.05092592592593E-3</v>
      </c>
      <c r="B73">
        <v>104</v>
      </c>
      <c r="C73">
        <v>5.5</v>
      </c>
    </row>
    <row r="74" spans="1:3">
      <c r="A74" s="59">
        <v>4.1087962962962996E-3</v>
      </c>
      <c r="B74">
        <v>104</v>
      </c>
      <c r="C74">
        <v>5.5</v>
      </c>
    </row>
    <row r="75" spans="1:3">
      <c r="A75" s="59">
        <v>4.1666666666666701E-3</v>
      </c>
      <c r="B75">
        <v>104</v>
      </c>
      <c r="C75">
        <v>5.5</v>
      </c>
    </row>
    <row r="76" spans="1:3">
      <c r="A76" s="59">
        <v>4.2245370370370397E-3</v>
      </c>
      <c r="B76">
        <v>103</v>
      </c>
      <c r="C76">
        <v>5.5</v>
      </c>
    </row>
    <row r="77" spans="1:3">
      <c r="A77" s="59">
        <v>4.2824074074074101E-3</v>
      </c>
      <c r="B77">
        <v>103</v>
      </c>
      <c r="C77">
        <v>5.5</v>
      </c>
    </row>
    <row r="78" spans="1:3">
      <c r="A78" s="59">
        <v>4.3402777777777797E-3</v>
      </c>
      <c r="B78">
        <v>104</v>
      </c>
      <c r="C78">
        <v>5.5</v>
      </c>
    </row>
    <row r="79" spans="1:3">
      <c r="A79" s="59">
        <v>4.3981481481481502E-3</v>
      </c>
      <c r="B79">
        <v>103</v>
      </c>
      <c r="C79">
        <v>5.5</v>
      </c>
    </row>
    <row r="80" spans="1:3">
      <c r="A80" s="59">
        <v>4.4560185185185197E-3</v>
      </c>
      <c r="B80">
        <v>104</v>
      </c>
      <c r="C80">
        <v>5.5</v>
      </c>
    </row>
    <row r="81" spans="1:3">
      <c r="A81" s="59">
        <v>4.5138888888888902E-3</v>
      </c>
      <c r="B81">
        <v>103</v>
      </c>
      <c r="C81">
        <v>5.5</v>
      </c>
    </row>
    <row r="82" spans="1:3">
      <c r="A82" s="59">
        <v>4.5717592592592598E-3</v>
      </c>
      <c r="B82">
        <v>105</v>
      </c>
      <c r="C82">
        <v>5.5</v>
      </c>
    </row>
    <row r="83" spans="1:3">
      <c r="A83" s="59">
        <v>4.6296296296296302E-3</v>
      </c>
      <c r="B83">
        <v>105</v>
      </c>
      <c r="C83">
        <v>5.5</v>
      </c>
    </row>
    <row r="84" spans="1:3">
      <c r="A84" s="59">
        <v>4.6874999999999998E-3</v>
      </c>
      <c r="B84">
        <v>105</v>
      </c>
      <c r="C84">
        <v>5.5</v>
      </c>
    </row>
    <row r="85" spans="1:3">
      <c r="A85" s="59">
        <v>4.7453703703703703E-3</v>
      </c>
      <c r="B85">
        <v>104</v>
      </c>
      <c r="C85">
        <v>5.5</v>
      </c>
    </row>
    <row r="86" spans="1:3">
      <c r="A86" s="59">
        <v>4.8032407407407399E-3</v>
      </c>
      <c r="B86">
        <v>103</v>
      </c>
      <c r="C86">
        <v>5.5</v>
      </c>
    </row>
    <row r="87" spans="1:3">
      <c r="A87" s="59">
        <v>4.8611111111111103E-3</v>
      </c>
      <c r="B87">
        <v>103</v>
      </c>
      <c r="C87">
        <v>5.5</v>
      </c>
    </row>
    <row r="88" spans="1:3">
      <c r="A88" s="59">
        <v>4.8726851851851856E-3</v>
      </c>
      <c r="C88">
        <v>6.5</v>
      </c>
    </row>
    <row r="89" spans="1:3">
      <c r="A89" s="59">
        <v>4.9189814814814799E-3</v>
      </c>
      <c r="B89">
        <v>105</v>
      </c>
      <c r="C89">
        <v>6.5</v>
      </c>
    </row>
    <row r="90" spans="1:3">
      <c r="A90" s="59">
        <v>4.9768518518518504E-3</v>
      </c>
      <c r="B90">
        <v>107</v>
      </c>
      <c r="C90">
        <v>6.5</v>
      </c>
    </row>
    <row r="91" spans="1:3">
      <c r="A91" s="59">
        <v>5.0347222222222199E-3</v>
      </c>
      <c r="B91">
        <v>107</v>
      </c>
      <c r="C91">
        <v>6.5</v>
      </c>
    </row>
    <row r="92" spans="1:3">
      <c r="A92" s="59">
        <v>5.0925925925925904E-3</v>
      </c>
      <c r="B92">
        <v>108</v>
      </c>
      <c r="C92">
        <v>6.5</v>
      </c>
    </row>
    <row r="93" spans="1:3">
      <c r="A93" s="59">
        <v>5.15046296296296E-3</v>
      </c>
      <c r="B93">
        <v>109</v>
      </c>
      <c r="C93">
        <v>6.5</v>
      </c>
    </row>
    <row r="94" spans="1:3">
      <c r="A94" s="59">
        <v>5.2083333333333296E-3</v>
      </c>
      <c r="B94">
        <v>110</v>
      </c>
      <c r="C94">
        <v>6.5</v>
      </c>
    </row>
    <row r="95" spans="1:3">
      <c r="A95" s="59">
        <v>5.2662037037037E-3</v>
      </c>
      <c r="B95">
        <v>110</v>
      </c>
      <c r="C95">
        <v>6.5</v>
      </c>
    </row>
    <row r="96" spans="1:3">
      <c r="A96" s="59">
        <v>5.3240740740740696E-3</v>
      </c>
      <c r="B96">
        <v>110</v>
      </c>
      <c r="C96">
        <v>6.5</v>
      </c>
    </row>
    <row r="97" spans="1:3">
      <c r="A97" s="59">
        <v>5.3819444444444401E-3</v>
      </c>
      <c r="B97">
        <v>109</v>
      </c>
      <c r="C97">
        <v>6.5</v>
      </c>
    </row>
    <row r="98" spans="1:3">
      <c r="A98" s="59">
        <v>5.4398148148148097E-3</v>
      </c>
      <c r="B98">
        <v>109</v>
      </c>
      <c r="C98">
        <v>6.5</v>
      </c>
    </row>
    <row r="99" spans="1:3">
      <c r="A99" s="59">
        <v>5.4976851851851801E-3</v>
      </c>
      <c r="B99">
        <v>110</v>
      </c>
      <c r="C99">
        <v>6.5</v>
      </c>
    </row>
    <row r="100" spans="1:3">
      <c r="A100" s="59">
        <v>5.5555555555555497E-3</v>
      </c>
      <c r="B100">
        <v>110</v>
      </c>
      <c r="C100">
        <v>6.5</v>
      </c>
    </row>
    <row r="101" spans="1:3">
      <c r="A101" s="59">
        <v>5.6134259259259201E-3</v>
      </c>
      <c r="B101">
        <v>108</v>
      </c>
      <c r="C101">
        <v>6.5</v>
      </c>
    </row>
    <row r="102" spans="1:3">
      <c r="A102" s="59">
        <v>5.6712962962962897E-3</v>
      </c>
      <c r="B102">
        <v>109</v>
      </c>
      <c r="C102">
        <v>6.5</v>
      </c>
    </row>
    <row r="103" spans="1:3">
      <c r="A103" s="59">
        <v>5.7291666666666602E-3</v>
      </c>
      <c r="B103">
        <v>109</v>
      </c>
      <c r="C103">
        <v>6.5</v>
      </c>
    </row>
    <row r="104" spans="1:3">
      <c r="A104" s="59">
        <v>5.7870370370370298E-3</v>
      </c>
      <c r="B104">
        <v>109</v>
      </c>
      <c r="C104">
        <v>6.5</v>
      </c>
    </row>
    <row r="105" spans="1:3">
      <c r="A105" s="59">
        <v>5.8449074074074002E-3</v>
      </c>
      <c r="B105">
        <v>111</v>
      </c>
      <c r="C105">
        <v>6.5</v>
      </c>
    </row>
    <row r="106" spans="1:3">
      <c r="A106" s="59">
        <v>5.9027777777777698E-3</v>
      </c>
      <c r="B106">
        <v>112</v>
      </c>
      <c r="C106">
        <v>6.5</v>
      </c>
    </row>
    <row r="107" spans="1:3">
      <c r="A107" s="59">
        <v>5.9606481481481498E-3</v>
      </c>
      <c r="B107">
        <v>112</v>
      </c>
      <c r="C107">
        <v>6.5</v>
      </c>
    </row>
    <row r="108" spans="1:3">
      <c r="A108" s="59">
        <v>6.0185185185185203E-3</v>
      </c>
      <c r="B108">
        <v>111</v>
      </c>
      <c r="C108">
        <v>6.5</v>
      </c>
    </row>
    <row r="109" spans="1:3">
      <c r="A109" s="59">
        <v>6.0763888888888899E-3</v>
      </c>
      <c r="B109">
        <v>111</v>
      </c>
      <c r="C109">
        <v>6.5</v>
      </c>
    </row>
    <row r="110" spans="1:3">
      <c r="A110" s="59">
        <v>6.1342592592592603E-3</v>
      </c>
      <c r="B110">
        <v>111</v>
      </c>
      <c r="C110">
        <v>6.5</v>
      </c>
    </row>
    <row r="111" spans="1:3">
      <c r="A111" s="59">
        <v>6.1921296296296299E-3</v>
      </c>
      <c r="B111">
        <v>112</v>
      </c>
      <c r="C111">
        <v>6.5</v>
      </c>
    </row>
    <row r="112" spans="1:3">
      <c r="A112" s="59">
        <v>6.2500000000000003E-3</v>
      </c>
      <c r="B112">
        <v>111</v>
      </c>
      <c r="C112">
        <v>6.5</v>
      </c>
    </row>
    <row r="113" spans="1:3">
      <c r="A113" s="59">
        <v>6.3078703703703699E-3</v>
      </c>
      <c r="B113">
        <v>111</v>
      </c>
      <c r="C113">
        <v>6.5</v>
      </c>
    </row>
    <row r="114" spans="1:3">
      <c r="A114" s="59">
        <v>6.3657407407407404E-3</v>
      </c>
      <c r="B114">
        <v>112</v>
      </c>
      <c r="C114">
        <v>6.5</v>
      </c>
    </row>
    <row r="115" spans="1:3">
      <c r="A115" s="59">
        <v>6.42361111111111E-3</v>
      </c>
      <c r="B115">
        <v>113</v>
      </c>
      <c r="C115">
        <v>6.5</v>
      </c>
    </row>
    <row r="116" spans="1:3">
      <c r="A116" s="59">
        <v>6.4583333333333333E-3</v>
      </c>
      <c r="C116">
        <v>7.5</v>
      </c>
    </row>
    <row r="117" spans="1:3">
      <c r="A117" s="59">
        <v>6.4814814814814804E-3</v>
      </c>
      <c r="B117">
        <v>113</v>
      </c>
      <c r="C117">
        <v>7.5</v>
      </c>
    </row>
    <row r="118" spans="1:3">
      <c r="A118" s="59">
        <v>6.53935185185185E-3</v>
      </c>
      <c r="B118">
        <v>115</v>
      </c>
      <c r="C118">
        <v>7.5</v>
      </c>
    </row>
    <row r="119" spans="1:3">
      <c r="A119" s="59">
        <v>6.5972222222222196E-3</v>
      </c>
      <c r="B119">
        <v>121</v>
      </c>
      <c r="C119">
        <v>7.5</v>
      </c>
    </row>
    <row r="120" spans="1:3">
      <c r="A120" s="59">
        <v>6.6550925925925901E-3</v>
      </c>
      <c r="B120">
        <v>124</v>
      </c>
      <c r="C120">
        <v>7.5</v>
      </c>
    </row>
    <row r="121" spans="1:3">
      <c r="A121" s="59">
        <v>6.7129629629629596E-3</v>
      </c>
      <c r="B121">
        <v>125</v>
      </c>
      <c r="C121">
        <v>7.5</v>
      </c>
    </row>
    <row r="122" spans="1:3">
      <c r="A122" s="59">
        <v>6.7708333333333301E-3</v>
      </c>
      <c r="B122">
        <v>126</v>
      </c>
      <c r="C122">
        <v>7.5</v>
      </c>
    </row>
    <row r="123" spans="1:3">
      <c r="A123" s="59">
        <v>6.8287037037036997E-3</v>
      </c>
      <c r="B123">
        <v>125</v>
      </c>
      <c r="C123">
        <v>7.5</v>
      </c>
    </row>
    <row r="124" spans="1:3">
      <c r="A124" s="59">
        <v>6.8865740740740701E-3</v>
      </c>
      <c r="B124">
        <v>125</v>
      </c>
      <c r="C124">
        <v>7.5</v>
      </c>
    </row>
    <row r="125" spans="1:3">
      <c r="A125" s="59">
        <v>6.9444444444444397E-3</v>
      </c>
      <c r="B125">
        <v>122</v>
      </c>
      <c r="C125">
        <v>7.5</v>
      </c>
    </row>
    <row r="126" spans="1:3">
      <c r="A126" s="59">
        <v>7.0023148148148102E-3</v>
      </c>
      <c r="B126">
        <v>124</v>
      </c>
      <c r="C126">
        <v>7.5</v>
      </c>
    </row>
    <row r="127" spans="1:3">
      <c r="A127" s="59">
        <v>7.0601851851851798E-3</v>
      </c>
      <c r="B127">
        <v>125</v>
      </c>
      <c r="C127">
        <v>7.5</v>
      </c>
    </row>
    <row r="128" spans="1:3">
      <c r="A128" s="59">
        <v>7.1180555555555502E-3</v>
      </c>
      <c r="B128">
        <v>125</v>
      </c>
      <c r="C128">
        <v>7.5</v>
      </c>
    </row>
    <row r="129" spans="1:6">
      <c r="A129" s="59">
        <v>7.1759259259259302E-3</v>
      </c>
      <c r="B129">
        <v>126</v>
      </c>
      <c r="C129">
        <v>7.5</v>
      </c>
    </row>
    <row r="130" spans="1:6">
      <c r="A130" s="59">
        <v>7.2337962962962998E-3</v>
      </c>
      <c r="B130">
        <v>126</v>
      </c>
      <c r="C130">
        <v>7.5</v>
      </c>
    </row>
    <row r="131" spans="1:6">
      <c r="A131" s="59">
        <v>7.2916666666666703E-3</v>
      </c>
      <c r="B131">
        <v>126</v>
      </c>
      <c r="C131">
        <v>7.5</v>
      </c>
    </row>
    <row r="132" spans="1:6">
      <c r="A132" s="59">
        <v>7.3495370370370398E-3</v>
      </c>
      <c r="B132">
        <v>127</v>
      </c>
      <c r="C132">
        <v>7.5</v>
      </c>
    </row>
    <row r="133" spans="1:6">
      <c r="A133" s="59">
        <v>7.4074074074074103E-3</v>
      </c>
      <c r="B133">
        <v>127</v>
      </c>
      <c r="C133">
        <v>7.5</v>
      </c>
    </row>
    <row r="134" spans="1:6">
      <c r="A134" s="59">
        <v>7.4652777777777799E-3</v>
      </c>
      <c r="B134">
        <v>127</v>
      </c>
      <c r="C134">
        <v>7.5</v>
      </c>
    </row>
    <row r="135" spans="1:6">
      <c r="A135" s="59">
        <v>7.5231481481481503E-3</v>
      </c>
      <c r="B135">
        <v>128</v>
      </c>
      <c r="C135">
        <v>7.5</v>
      </c>
    </row>
    <row r="136" spans="1:6">
      <c r="A136" s="59">
        <v>7.5810185185185199E-3</v>
      </c>
      <c r="B136">
        <v>129</v>
      </c>
      <c r="C136">
        <v>7.5</v>
      </c>
    </row>
    <row r="137" spans="1:6">
      <c r="A137" s="59">
        <v>7.6388888888888904E-3</v>
      </c>
      <c r="B137">
        <v>129</v>
      </c>
      <c r="C137">
        <v>7.5</v>
      </c>
    </row>
    <row r="138" spans="1:6">
      <c r="A138" s="59">
        <v>7.69675925925926E-3</v>
      </c>
      <c r="B138">
        <v>130</v>
      </c>
      <c r="C138">
        <v>7.5</v>
      </c>
    </row>
    <row r="139" spans="1:6">
      <c r="A139" s="59">
        <v>7.7546296296296304E-3</v>
      </c>
      <c r="B139">
        <v>129</v>
      </c>
      <c r="C139">
        <v>7.5</v>
      </c>
    </row>
    <row r="140" spans="1:6">
      <c r="A140" s="59">
        <v>7.8125E-3</v>
      </c>
      <c r="B140">
        <v>130</v>
      </c>
      <c r="C140">
        <v>7.5</v>
      </c>
    </row>
    <row r="141" spans="1:6">
      <c r="A141" s="59">
        <v>7.8703703703703696E-3</v>
      </c>
      <c r="B141">
        <v>131</v>
      </c>
      <c r="C141">
        <v>8.5</v>
      </c>
      <c r="D141" s="59"/>
      <c r="E141" s="59"/>
      <c r="F141" s="34"/>
    </row>
    <row r="142" spans="1:6">
      <c r="A142" s="59">
        <v>7.9282407407407392E-3</v>
      </c>
      <c r="B142">
        <v>133</v>
      </c>
      <c r="C142">
        <v>8.5</v>
      </c>
    </row>
    <row r="143" spans="1:6">
      <c r="A143" s="59">
        <v>7.9861111111111105E-3</v>
      </c>
      <c r="B143">
        <v>133</v>
      </c>
      <c r="C143">
        <v>8.5</v>
      </c>
    </row>
    <row r="144" spans="1:6">
      <c r="A144" s="59">
        <v>8.0439814814814801E-3</v>
      </c>
      <c r="B144">
        <v>133</v>
      </c>
      <c r="C144">
        <v>8.5</v>
      </c>
    </row>
    <row r="145" spans="1:3">
      <c r="A145" s="59">
        <v>8.1018518518518497E-3</v>
      </c>
      <c r="B145">
        <v>134</v>
      </c>
      <c r="C145">
        <v>8.5</v>
      </c>
    </row>
    <row r="146" spans="1:3">
      <c r="A146" s="59">
        <v>8.1597222222222193E-3</v>
      </c>
      <c r="B146">
        <v>135</v>
      </c>
      <c r="C146">
        <v>8.5</v>
      </c>
    </row>
    <row r="147" spans="1:3">
      <c r="A147" s="59">
        <v>8.2175925925925906E-3</v>
      </c>
      <c r="B147">
        <v>137</v>
      </c>
      <c r="C147">
        <v>8.5</v>
      </c>
    </row>
    <row r="148" spans="1:3">
      <c r="A148" s="59">
        <v>8.2754629629629602E-3</v>
      </c>
      <c r="B148">
        <v>136</v>
      </c>
      <c r="C148">
        <v>8.5</v>
      </c>
    </row>
    <row r="149" spans="1:3">
      <c r="A149" s="59">
        <v>8.3333333333333297E-3</v>
      </c>
      <c r="B149">
        <v>134</v>
      </c>
      <c r="C149">
        <v>8.5</v>
      </c>
    </row>
    <row r="150" spans="1:3">
      <c r="A150" s="59">
        <v>8.3912037037036993E-3</v>
      </c>
      <c r="B150">
        <v>133</v>
      </c>
      <c r="C150">
        <v>8.5</v>
      </c>
    </row>
    <row r="151" spans="1:3">
      <c r="A151" s="59">
        <v>8.4490740740740793E-3</v>
      </c>
      <c r="B151">
        <v>134</v>
      </c>
      <c r="C151">
        <v>8.5</v>
      </c>
    </row>
    <row r="152" spans="1:3">
      <c r="A152" s="59">
        <v>8.5069444444444507E-3</v>
      </c>
      <c r="B152">
        <v>136</v>
      </c>
      <c r="C152">
        <v>8.5</v>
      </c>
    </row>
    <row r="153" spans="1:3">
      <c r="A153" s="59">
        <v>8.5648148148148202E-3</v>
      </c>
      <c r="B153">
        <v>135</v>
      </c>
      <c r="C153">
        <v>8.5</v>
      </c>
    </row>
    <row r="154" spans="1:3">
      <c r="A154" s="59">
        <v>8.6226851851851898E-3</v>
      </c>
      <c r="B154">
        <v>136</v>
      </c>
      <c r="C154">
        <v>8.5</v>
      </c>
    </row>
    <row r="155" spans="1:3">
      <c r="A155" s="59">
        <v>8.6805555555555594E-3</v>
      </c>
      <c r="B155">
        <v>136</v>
      </c>
      <c r="C155">
        <v>8.5</v>
      </c>
    </row>
    <row r="156" spans="1:3">
      <c r="A156" s="59">
        <v>8.7384259259259307E-3</v>
      </c>
      <c r="B156">
        <v>135</v>
      </c>
      <c r="C156">
        <v>8.5</v>
      </c>
    </row>
    <row r="157" spans="1:3">
      <c r="A157" s="59">
        <v>8.7962962962963003E-3</v>
      </c>
      <c r="B157">
        <v>134</v>
      </c>
      <c r="C157">
        <v>8.5</v>
      </c>
    </row>
    <row r="158" spans="1:3">
      <c r="A158" s="59">
        <v>8.8541666666666699E-3</v>
      </c>
      <c r="B158">
        <v>140</v>
      </c>
      <c r="C158">
        <v>8.5</v>
      </c>
    </row>
    <row r="159" spans="1:3">
      <c r="A159" s="59">
        <v>8.9120370370370395E-3</v>
      </c>
      <c r="B159">
        <v>131</v>
      </c>
      <c r="C159">
        <v>8.5</v>
      </c>
    </row>
    <row r="160" spans="1:3">
      <c r="A160" s="59">
        <v>8.9699074074074108E-3</v>
      </c>
      <c r="B160">
        <v>135</v>
      </c>
      <c r="C160">
        <v>8.5</v>
      </c>
    </row>
    <row r="161" spans="1:3">
      <c r="A161" s="59">
        <v>9.0277777777777804E-3</v>
      </c>
      <c r="B161">
        <v>136</v>
      </c>
      <c r="C161">
        <v>8.5</v>
      </c>
    </row>
    <row r="162" spans="1:3">
      <c r="A162" s="59">
        <v>9.08564814814815E-3</v>
      </c>
      <c r="B162">
        <v>137</v>
      </c>
      <c r="C162">
        <v>8.5</v>
      </c>
    </row>
    <row r="163" spans="1:3">
      <c r="A163" s="59">
        <v>9.0972222222222218E-3</v>
      </c>
    </row>
    <row r="164" spans="1:3">
      <c r="A164" s="59">
        <v>9.1435185185185196E-3</v>
      </c>
      <c r="B164">
        <v>137</v>
      </c>
    </row>
    <row r="165" spans="1:3">
      <c r="A165" s="59">
        <v>9.2013888888888892E-3</v>
      </c>
      <c r="B165">
        <v>134</v>
      </c>
    </row>
    <row r="166" spans="1:3">
      <c r="A166" s="59">
        <v>9.2592592592592605E-3</v>
      </c>
      <c r="B166">
        <v>130</v>
      </c>
    </row>
    <row r="167" spans="1:3">
      <c r="A167" s="59">
        <v>9.3171296296296301E-3</v>
      </c>
      <c r="B167">
        <v>126</v>
      </c>
    </row>
    <row r="168" spans="1:3">
      <c r="A168" s="59">
        <v>9.3749999999999997E-3</v>
      </c>
      <c r="B168">
        <v>123</v>
      </c>
    </row>
    <row r="169" spans="1:3">
      <c r="A169" s="59">
        <v>9.4328703703703692E-3</v>
      </c>
      <c r="B169">
        <v>120</v>
      </c>
    </row>
    <row r="170" spans="1:3">
      <c r="A170" s="59">
        <v>9.4907407407407406E-3</v>
      </c>
      <c r="B170">
        <v>118</v>
      </c>
    </row>
    <row r="171" spans="1:3">
      <c r="A171" s="59">
        <v>9.5486111111111101E-3</v>
      </c>
      <c r="B171">
        <v>118</v>
      </c>
    </row>
    <row r="172" spans="1:3">
      <c r="A172" s="59">
        <v>9.6064814814814797E-3</v>
      </c>
      <c r="B172">
        <v>117</v>
      </c>
    </row>
    <row r="173" spans="1:3">
      <c r="A173" s="59">
        <v>9.6643518518518493E-3</v>
      </c>
      <c r="B173">
        <v>115</v>
      </c>
    </row>
    <row r="174" spans="1:3">
      <c r="A174" s="59">
        <v>9.7222222222222293E-3</v>
      </c>
      <c r="B174">
        <v>112</v>
      </c>
    </row>
    <row r="175" spans="1:3">
      <c r="A175" s="59">
        <v>9.7800925925926006E-3</v>
      </c>
      <c r="B175">
        <v>113</v>
      </c>
    </row>
    <row r="176" spans="1:3">
      <c r="A176" s="59">
        <v>9.8379629629629702E-3</v>
      </c>
      <c r="B176">
        <v>111</v>
      </c>
    </row>
    <row r="177" spans="1:2">
      <c r="A177" s="59">
        <v>9.8958333333333398E-3</v>
      </c>
      <c r="B177">
        <v>109</v>
      </c>
    </row>
    <row r="178" spans="1:2">
      <c r="A178" s="59">
        <v>9.9537037037037094E-3</v>
      </c>
      <c r="B178">
        <v>106</v>
      </c>
    </row>
    <row r="179" spans="1:2">
      <c r="A179" s="59">
        <v>1.00115740740741E-2</v>
      </c>
      <c r="B179">
        <v>106</v>
      </c>
    </row>
    <row r="180" spans="1:2">
      <c r="A180" s="59">
        <v>1.00694444444444E-2</v>
      </c>
      <c r="B180">
        <v>106</v>
      </c>
    </row>
    <row r="181" spans="1:2">
      <c r="A181" s="59">
        <v>1.0127314814814801E-2</v>
      </c>
      <c r="B181">
        <v>106</v>
      </c>
    </row>
    <row r="182" spans="1:2">
      <c r="A182" s="59">
        <v>1.01851851851852E-2</v>
      </c>
      <c r="B182">
        <v>103</v>
      </c>
    </row>
    <row r="183" spans="1:2">
      <c r="A183" s="59">
        <v>1.0243055555555601E-2</v>
      </c>
      <c r="B183">
        <v>105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136"/>
  <sheetViews>
    <sheetView topLeftCell="A16" workbookViewId="0">
      <selection activeCell="G14" sqref="G14"/>
    </sheetView>
  </sheetViews>
  <sheetFormatPr defaultRowHeight="12.75"/>
  <sheetData>
    <row r="1" spans="1:7">
      <c r="A1" t="s">
        <v>90</v>
      </c>
      <c r="B1" t="s">
        <v>78</v>
      </c>
      <c r="C1" t="s">
        <v>81</v>
      </c>
    </row>
    <row r="2" spans="1:7">
      <c r="A2" s="59">
        <v>0</v>
      </c>
      <c r="B2">
        <v>88</v>
      </c>
      <c r="C2">
        <v>7</v>
      </c>
      <c r="F2">
        <v>7</v>
      </c>
      <c r="G2">
        <v>114</v>
      </c>
    </row>
    <row r="3" spans="1:7">
      <c r="A3" s="59">
        <v>5.7870370370370366E-5</v>
      </c>
      <c r="B3">
        <v>88</v>
      </c>
      <c r="C3">
        <v>7</v>
      </c>
      <c r="F3">
        <v>7.5</v>
      </c>
      <c r="G3">
        <v>124</v>
      </c>
    </row>
    <row r="4" spans="1:7">
      <c r="A4" s="59">
        <v>1.15740740740741E-4</v>
      </c>
      <c r="B4">
        <v>96</v>
      </c>
      <c r="C4">
        <v>7</v>
      </c>
      <c r="F4">
        <v>8</v>
      </c>
      <c r="G4">
        <v>133</v>
      </c>
    </row>
    <row r="5" spans="1:7">
      <c r="A5" s="59">
        <v>1.7361111111111101E-4</v>
      </c>
      <c r="B5">
        <v>108</v>
      </c>
      <c r="C5">
        <v>7</v>
      </c>
      <c r="F5">
        <v>8.5</v>
      </c>
      <c r="G5">
        <v>135</v>
      </c>
    </row>
    <row r="6" spans="1:7">
      <c r="A6" s="59">
        <v>2.31481481481481E-4</v>
      </c>
      <c r="B6">
        <v>115</v>
      </c>
      <c r="C6">
        <v>7</v>
      </c>
      <c r="F6">
        <v>9</v>
      </c>
      <c r="G6">
        <v>141</v>
      </c>
    </row>
    <row r="7" spans="1:7">
      <c r="A7" s="59">
        <v>2.89351851851852E-4</v>
      </c>
      <c r="B7">
        <v>117</v>
      </c>
      <c r="C7">
        <v>7</v>
      </c>
      <c r="F7">
        <v>9.5</v>
      </c>
      <c r="G7">
        <v>143</v>
      </c>
    </row>
    <row r="8" spans="1:7">
      <c r="A8" s="59">
        <v>3.4722222222222202E-4</v>
      </c>
      <c r="B8">
        <v>118</v>
      </c>
      <c r="C8">
        <v>7</v>
      </c>
      <c r="F8">
        <v>10</v>
      </c>
      <c r="G8">
        <v>148</v>
      </c>
    </row>
    <row r="9" spans="1:7">
      <c r="A9" s="59">
        <v>4.0509259259259301E-4</v>
      </c>
      <c r="B9">
        <v>119</v>
      </c>
      <c r="C9">
        <v>7</v>
      </c>
      <c r="F9">
        <v>10.5</v>
      </c>
      <c r="G9">
        <v>150</v>
      </c>
    </row>
    <row r="10" spans="1:7">
      <c r="A10" s="59">
        <v>4.6296296296296298E-4</v>
      </c>
      <c r="B10">
        <v>117</v>
      </c>
      <c r="C10">
        <v>7</v>
      </c>
    </row>
    <row r="11" spans="1:7">
      <c r="A11" s="59">
        <v>5.20833333333333E-4</v>
      </c>
      <c r="B11">
        <v>116</v>
      </c>
      <c r="C11">
        <v>7</v>
      </c>
    </row>
    <row r="12" spans="1:7">
      <c r="A12" s="59">
        <v>5.78703703703704E-4</v>
      </c>
      <c r="B12">
        <v>116</v>
      </c>
      <c r="C12">
        <v>7</v>
      </c>
    </row>
    <row r="13" spans="1:7">
      <c r="A13" s="59">
        <v>6.3657407407407402E-4</v>
      </c>
      <c r="B13">
        <v>114</v>
      </c>
      <c r="C13">
        <v>7</v>
      </c>
    </row>
    <row r="14" spans="1:7">
      <c r="A14" s="59">
        <v>6.9444444444444404E-4</v>
      </c>
      <c r="B14">
        <v>115</v>
      </c>
      <c r="C14">
        <v>7</v>
      </c>
    </row>
    <row r="15" spans="1:7">
      <c r="A15" s="59">
        <v>7.5231481481481503E-4</v>
      </c>
      <c r="B15">
        <v>117</v>
      </c>
      <c r="C15">
        <v>7</v>
      </c>
    </row>
    <row r="16" spans="1:7">
      <c r="A16" s="59">
        <v>8.1018518518518505E-4</v>
      </c>
      <c r="B16">
        <v>116</v>
      </c>
      <c r="C16">
        <v>7</v>
      </c>
    </row>
    <row r="17" spans="1:3">
      <c r="A17" s="59">
        <v>8.6805555555555605E-4</v>
      </c>
      <c r="B17">
        <v>116</v>
      </c>
      <c r="C17">
        <v>7</v>
      </c>
    </row>
    <row r="18" spans="1:3">
      <c r="A18" s="59">
        <v>9.2592592592592596E-4</v>
      </c>
      <c r="B18">
        <v>116</v>
      </c>
      <c r="C18">
        <v>7</v>
      </c>
    </row>
    <row r="19" spans="1:3">
      <c r="A19" s="59">
        <v>9.8379629629629598E-4</v>
      </c>
      <c r="B19">
        <v>116</v>
      </c>
      <c r="C19">
        <v>7</v>
      </c>
    </row>
    <row r="20" spans="1:3">
      <c r="A20" s="59">
        <v>1.0416666666666699E-3</v>
      </c>
      <c r="B20">
        <v>117</v>
      </c>
      <c r="C20">
        <v>7</v>
      </c>
    </row>
    <row r="21" spans="1:3">
      <c r="A21" s="59">
        <v>1.0995370370370399E-3</v>
      </c>
      <c r="B21">
        <v>117</v>
      </c>
      <c r="C21">
        <v>7</v>
      </c>
    </row>
    <row r="22" spans="1:3">
      <c r="A22" s="59">
        <v>1.1574074074074099E-3</v>
      </c>
      <c r="B22">
        <v>116</v>
      </c>
      <c r="C22">
        <v>7</v>
      </c>
    </row>
    <row r="23" spans="1:3">
      <c r="A23" s="59">
        <v>1.21527777777778E-3</v>
      </c>
      <c r="B23">
        <v>116</v>
      </c>
      <c r="C23">
        <v>7.5</v>
      </c>
    </row>
    <row r="24" spans="1:3">
      <c r="A24" s="59">
        <v>1.27314814814815E-3</v>
      </c>
      <c r="B24">
        <v>116</v>
      </c>
      <c r="C24">
        <v>7.5</v>
      </c>
    </row>
    <row r="25" spans="1:3">
      <c r="A25" s="59">
        <v>1.33101851851852E-3</v>
      </c>
      <c r="B25">
        <v>121</v>
      </c>
      <c r="C25">
        <v>7.5</v>
      </c>
    </row>
    <row r="26" spans="1:3">
      <c r="A26" s="59">
        <v>1.38888888888889E-3</v>
      </c>
      <c r="B26">
        <v>125</v>
      </c>
      <c r="C26">
        <v>7.5</v>
      </c>
    </row>
    <row r="27" spans="1:3">
      <c r="A27" s="59">
        <v>1.44675925925926E-3</v>
      </c>
      <c r="B27">
        <v>126</v>
      </c>
      <c r="C27">
        <v>7.5</v>
      </c>
    </row>
    <row r="28" spans="1:3">
      <c r="A28" s="59">
        <v>1.5046296296296301E-3</v>
      </c>
      <c r="B28">
        <v>126</v>
      </c>
      <c r="C28">
        <v>7.5</v>
      </c>
    </row>
    <row r="29" spans="1:3">
      <c r="A29" s="59">
        <v>1.5625000000000001E-3</v>
      </c>
      <c r="B29">
        <v>126</v>
      </c>
      <c r="C29">
        <v>7.5</v>
      </c>
    </row>
    <row r="30" spans="1:3">
      <c r="A30" s="59">
        <v>1.6203703703703701E-3</v>
      </c>
      <c r="B30">
        <v>125</v>
      </c>
      <c r="C30">
        <v>7.5</v>
      </c>
    </row>
    <row r="31" spans="1:3">
      <c r="A31" s="59">
        <v>1.6782407407407399E-3</v>
      </c>
      <c r="B31">
        <v>125</v>
      </c>
      <c r="C31">
        <v>7.5</v>
      </c>
    </row>
    <row r="32" spans="1:3">
      <c r="A32" s="59">
        <v>1.7361111111111099E-3</v>
      </c>
      <c r="B32">
        <v>128</v>
      </c>
      <c r="C32">
        <v>7.5</v>
      </c>
    </row>
    <row r="33" spans="1:3">
      <c r="A33" s="59">
        <v>1.79398148148148E-3</v>
      </c>
      <c r="B33">
        <v>127</v>
      </c>
      <c r="C33">
        <v>7.5</v>
      </c>
    </row>
    <row r="34" spans="1:3">
      <c r="A34" s="59">
        <v>1.85185185185185E-3</v>
      </c>
      <c r="B34">
        <v>127</v>
      </c>
      <c r="C34">
        <v>7.5</v>
      </c>
    </row>
    <row r="35" spans="1:3">
      <c r="A35" s="59">
        <v>1.90972222222222E-3</v>
      </c>
      <c r="B35">
        <v>125</v>
      </c>
      <c r="C35">
        <v>7.5</v>
      </c>
    </row>
    <row r="36" spans="1:3">
      <c r="A36" s="59">
        <v>1.9675925925925898E-3</v>
      </c>
      <c r="B36">
        <v>126</v>
      </c>
      <c r="C36">
        <v>7.5</v>
      </c>
    </row>
    <row r="37" spans="1:3">
      <c r="A37" s="59">
        <v>2.0254629629629598E-3</v>
      </c>
      <c r="B37">
        <v>126</v>
      </c>
      <c r="C37">
        <v>7.5</v>
      </c>
    </row>
    <row r="38" spans="1:3">
      <c r="A38" s="59">
        <v>2.0833333333333298E-3</v>
      </c>
      <c r="B38">
        <v>126</v>
      </c>
      <c r="C38">
        <v>7.5</v>
      </c>
    </row>
    <row r="39" spans="1:3">
      <c r="A39" s="59">
        <v>2.1412037037036999E-3</v>
      </c>
      <c r="B39">
        <v>127</v>
      </c>
      <c r="C39">
        <v>7.5</v>
      </c>
    </row>
    <row r="40" spans="1:3">
      <c r="A40" s="59">
        <v>2.1990740740740699E-3</v>
      </c>
      <c r="B40">
        <v>128</v>
      </c>
      <c r="C40">
        <v>7.5</v>
      </c>
    </row>
    <row r="41" spans="1:3">
      <c r="A41" s="59">
        <v>2.2569444444444399E-3</v>
      </c>
      <c r="B41">
        <v>127</v>
      </c>
      <c r="C41">
        <v>7.5</v>
      </c>
    </row>
    <row r="42" spans="1:3">
      <c r="A42" s="59">
        <v>2.3148148148148099E-3</v>
      </c>
      <c r="B42">
        <v>128</v>
      </c>
      <c r="C42">
        <v>7.5</v>
      </c>
    </row>
    <row r="43" spans="1:3">
      <c r="A43" s="59">
        <v>2.3726851851851899E-3</v>
      </c>
      <c r="B43">
        <v>129</v>
      </c>
      <c r="C43">
        <v>8</v>
      </c>
    </row>
    <row r="44" spans="1:3">
      <c r="A44" s="59">
        <v>2.4305555555555599E-3</v>
      </c>
      <c r="B44">
        <v>132</v>
      </c>
      <c r="C44">
        <v>8</v>
      </c>
    </row>
    <row r="45" spans="1:3">
      <c r="A45" s="59">
        <v>2.48842592592593E-3</v>
      </c>
      <c r="B45">
        <v>134</v>
      </c>
      <c r="C45">
        <v>8</v>
      </c>
    </row>
    <row r="46" spans="1:3">
      <c r="A46" s="59">
        <v>2.5462962962963E-3</v>
      </c>
      <c r="B46">
        <v>135</v>
      </c>
      <c r="C46">
        <v>8</v>
      </c>
    </row>
    <row r="47" spans="1:3">
      <c r="A47" s="59">
        <v>2.60416666666667E-3</v>
      </c>
      <c r="B47">
        <v>133</v>
      </c>
      <c r="C47">
        <v>8</v>
      </c>
    </row>
    <row r="48" spans="1:3">
      <c r="A48" s="59">
        <v>2.66203703703704E-3</v>
      </c>
      <c r="B48">
        <v>132</v>
      </c>
      <c r="C48">
        <v>8</v>
      </c>
    </row>
    <row r="49" spans="1:3">
      <c r="A49" s="59">
        <v>2.71990740740741E-3</v>
      </c>
      <c r="B49">
        <v>132</v>
      </c>
      <c r="C49">
        <v>8</v>
      </c>
    </row>
    <row r="50" spans="1:3">
      <c r="A50" s="59">
        <v>2.7777777777777801E-3</v>
      </c>
      <c r="B50">
        <v>132</v>
      </c>
      <c r="C50">
        <v>8</v>
      </c>
    </row>
    <row r="51" spans="1:3">
      <c r="A51" s="59">
        <v>2.8356481481481501E-3</v>
      </c>
      <c r="B51">
        <v>132</v>
      </c>
      <c r="C51">
        <v>8</v>
      </c>
    </row>
    <row r="52" spans="1:3">
      <c r="A52" s="59">
        <v>2.8935185185185201E-3</v>
      </c>
      <c r="B52">
        <v>132</v>
      </c>
      <c r="C52">
        <v>8</v>
      </c>
    </row>
    <row r="53" spans="1:3">
      <c r="A53" s="59">
        <v>2.9513888888888901E-3</v>
      </c>
      <c r="B53">
        <v>134</v>
      </c>
      <c r="C53">
        <v>8</v>
      </c>
    </row>
    <row r="54" spans="1:3">
      <c r="A54" s="59">
        <v>3.0092592592592601E-3</v>
      </c>
      <c r="B54">
        <v>136</v>
      </c>
      <c r="C54">
        <v>8</v>
      </c>
    </row>
    <row r="55" spans="1:3">
      <c r="A55" s="59">
        <v>3.0671296296296302E-3</v>
      </c>
      <c r="B55">
        <v>134</v>
      </c>
      <c r="C55">
        <v>8</v>
      </c>
    </row>
    <row r="56" spans="1:3">
      <c r="A56" s="59">
        <v>3.1250000000000002E-3</v>
      </c>
      <c r="B56">
        <v>135</v>
      </c>
      <c r="C56">
        <v>8</v>
      </c>
    </row>
    <row r="57" spans="1:3">
      <c r="A57" s="59">
        <v>3.1828703703703702E-3</v>
      </c>
      <c r="B57">
        <v>135</v>
      </c>
      <c r="C57">
        <v>8</v>
      </c>
    </row>
    <row r="58" spans="1:3">
      <c r="A58" s="59">
        <v>3.2407407407407402E-3</v>
      </c>
      <c r="B58">
        <v>135</v>
      </c>
      <c r="C58">
        <v>8</v>
      </c>
    </row>
    <row r="59" spans="1:3">
      <c r="A59" s="59">
        <v>3.2986111111111098E-3</v>
      </c>
      <c r="B59">
        <v>134</v>
      </c>
      <c r="C59">
        <v>8</v>
      </c>
    </row>
    <row r="60" spans="1:3">
      <c r="A60" s="59">
        <v>3.3564814814814798E-3</v>
      </c>
      <c r="B60">
        <v>134</v>
      </c>
      <c r="C60">
        <v>8</v>
      </c>
    </row>
    <row r="61" spans="1:3">
      <c r="A61" s="59">
        <v>3.4143518518518498E-3</v>
      </c>
      <c r="B61">
        <v>134</v>
      </c>
      <c r="C61">
        <v>8.5</v>
      </c>
    </row>
    <row r="62" spans="1:3">
      <c r="A62" s="59">
        <v>3.4722222222222199E-3</v>
      </c>
      <c r="B62">
        <v>136</v>
      </c>
      <c r="C62">
        <v>8.5</v>
      </c>
    </row>
    <row r="63" spans="1:3">
      <c r="A63" s="59">
        <v>3.5300925925925899E-3</v>
      </c>
      <c r="B63">
        <v>137</v>
      </c>
      <c r="C63">
        <v>8.5</v>
      </c>
    </row>
    <row r="64" spans="1:3">
      <c r="A64" s="59">
        <v>3.5879629629629599E-3</v>
      </c>
      <c r="B64">
        <v>137</v>
      </c>
      <c r="C64">
        <v>8.5</v>
      </c>
    </row>
    <row r="65" spans="1:3">
      <c r="A65" s="59">
        <v>3.6458333333333299E-3</v>
      </c>
      <c r="B65">
        <v>136</v>
      </c>
      <c r="C65">
        <v>8.5</v>
      </c>
    </row>
    <row r="66" spans="1:3">
      <c r="A66" s="59">
        <v>3.7037037037036999E-3</v>
      </c>
      <c r="B66">
        <v>137</v>
      </c>
      <c r="C66">
        <v>8.5</v>
      </c>
    </row>
    <row r="67" spans="1:3">
      <c r="A67" s="59">
        <v>3.76157407407407E-3</v>
      </c>
      <c r="B67">
        <v>137</v>
      </c>
      <c r="C67">
        <v>8.5</v>
      </c>
    </row>
    <row r="68" spans="1:3">
      <c r="A68" s="59">
        <v>3.81944444444444E-3</v>
      </c>
      <c r="B68">
        <v>134</v>
      </c>
      <c r="C68">
        <v>8.5</v>
      </c>
    </row>
    <row r="69" spans="1:3">
      <c r="A69" s="59">
        <v>3.87731481481481E-3</v>
      </c>
      <c r="B69">
        <v>134</v>
      </c>
      <c r="C69">
        <v>8.5</v>
      </c>
    </row>
    <row r="70" spans="1:3">
      <c r="A70" s="59">
        <v>3.9351851851851796E-3</v>
      </c>
      <c r="B70">
        <v>132</v>
      </c>
      <c r="C70">
        <v>8.5</v>
      </c>
    </row>
    <row r="71" spans="1:3">
      <c r="A71" s="59">
        <v>3.99305555555555E-3</v>
      </c>
      <c r="B71">
        <v>134</v>
      </c>
      <c r="C71">
        <v>8.5</v>
      </c>
    </row>
    <row r="72" spans="1:3">
      <c r="A72" s="59">
        <v>4.0509259259259196E-3</v>
      </c>
      <c r="B72">
        <v>135</v>
      </c>
      <c r="C72">
        <v>8.5</v>
      </c>
    </row>
    <row r="73" spans="1:3">
      <c r="A73" s="59">
        <v>4.1087962962962901E-3</v>
      </c>
      <c r="B73">
        <v>135</v>
      </c>
      <c r="C73">
        <v>8.5</v>
      </c>
    </row>
    <row r="74" spans="1:3">
      <c r="A74" s="59">
        <v>4.1666666666666597E-3</v>
      </c>
      <c r="B74">
        <v>137</v>
      </c>
      <c r="C74">
        <v>8.5</v>
      </c>
    </row>
    <row r="75" spans="1:3">
      <c r="A75" s="59">
        <v>4.2245370370370301E-3</v>
      </c>
      <c r="B75">
        <v>138</v>
      </c>
      <c r="C75">
        <v>8.5</v>
      </c>
    </row>
    <row r="76" spans="1:3">
      <c r="A76" s="59">
        <v>4.2824074074073997E-3</v>
      </c>
      <c r="B76">
        <v>140</v>
      </c>
      <c r="C76">
        <v>8.5</v>
      </c>
    </row>
    <row r="77" spans="1:3">
      <c r="A77" s="59">
        <v>4.3402777777777702E-3</v>
      </c>
      <c r="B77">
        <v>140</v>
      </c>
      <c r="C77">
        <v>8.5</v>
      </c>
    </row>
    <row r="78" spans="1:3">
      <c r="A78" s="59">
        <v>4.3981481481481398E-3</v>
      </c>
      <c r="B78">
        <v>138</v>
      </c>
      <c r="C78">
        <v>9</v>
      </c>
    </row>
    <row r="79" spans="1:3">
      <c r="A79" s="59">
        <v>4.4560185185185102E-3</v>
      </c>
      <c r="B79">
        <v>139</v>
      </c>
      <c r="C79">
        <v>9</v>
      </c>
    </row>
    <row r="80" spans="1:3">
      <c r="A80" s="59">
        <v>4.5138888888888798E-3</v>
      </c>
      <c r="B80">
        <v>140</v>
      </c>
      <c r="C80">
        <v>9</v>
      </c>
    </row>
    <row r="81" spans="1:3">
      <c r="A81" s="59">
        <v>4.5717592592592502E-3</v>
      </c>
      <c r="B81">
        <v>142</v>
      </c>
      <c r="C81">
        <v>9</v>
      </c>
    </row>
    <row r="82" spans="1:3">
      <c r="A82" s="59">
        <v>4.6296296296296198E-3</v>
      </c>
      <c r="B82">
        <v>143</v>
      </c>
      <c r="C82">
        <v>9</v>
      </c>
    </row>
    <row r="83" spans="1:3">
      <c r="A83" s="59">
        <v>4.6874999999999903E-3</v>
      </c>
      <c r="B83">
        <v>143</v>
      </c>
      <c r="C83">
        <v>9</v>
      </c>
    </row>
    <row r="84" spans="1:3">
      <c r="A84" s="59">
        <v>4.7453703703703599E-3</v>
      </c>
      <c r="B84">
        <v>145</v>
      </c>
      <c r="C84">
        <v>9</v>
      </c>
    </row>
    <row r="85" spans="1:3">
      <c r="A85" s="59">
        <v>4.8032407407407303E-3</v>
      </c>
      <c r="B85">
        <v>145</v>
      </c>
      <c r="C85">
        <v>9</v>
      </c>
    </row>
    <row r="86" spans="1:3">
      <c r="A86" s="59">
        <v>4.8611111111110999E-3</v>
      </c>
      <c r="B86">
        <v>144</v>
      </c>
      <c r="C86">
        <v>9</v>
      </c>
    </row>
    <row r="87" spans="1:3">
      <c r="A87" s="59">
        <v>4.9189814814814704E-3</v>
      </c>
      <c r="B87">
        <v>142</v>
      </c>
      <c r="C87">
        <v>9</v>
      </c>
    </row>
    <row r="88" spans="1:3">
      <c r="A88" s="59">
        <v>4.97685185185184E-3</v>
      </c>
      <c r="B88">
        <v>142</v>
      </c>
      <c r="C88">
        <v>9</v>
      </c>
    </row>
    <row r="89" spans="1:3">
      <c r="A89" s="59">
        <v>5.0347222222222104E-3</v>
      </c>
      <c r="B89">
        <v>139</v>
      </c>
      <c r="C89">
        <v>9</v>
      </c>
    </row>
    <row r="90" spans="1:3">
      <c r="A90" s="59">
        <v>5.09259259259258E-3</v>
      </c>
      <c r="B90">
        <v>140</v>
      </c>
      <c r="C90">
        <v>9</v>
      </c>
    </row>
    <row r="91" spans="1:3">
      <c r="A91" s="59">
        <v>5.1504629629629496E-3</v>
      </c>
      <c r="B91">
        <v>139</v>
      </c>
      <c r="C91">
        <v>9</v>
      </c>
    </row>
    <row r="92" spans="1:3">
      <c r="A92" s="59">
        <v>5.20833333333332E-3</v>
      </c>
      <c r="B92">
        <v>140</v>
      </c>
      <c r="C92">
        <v>9</v>
      </c>
    </row>
    <row r="93" spans="1:3">
      <c r="A93" s="59">
        <v>5.2662037037036896E-3</v>
      </c>
      <c r="B93">
        <v>140</v>
      </c>
      <c r="C93">
        <v>9</v>
      </c>
    </row>
    <row r="94" spans="1:3">
      <c r="A94" s="59">
        <v>5.3240740740740601E-3</v>
      </c>
      <c r="B94">
        <v>141</v>
      </c>
      <c r="C94">
        <v>9.5</v>
      </c>
    </row>
    <row r="95" spans="1:3">
      <c r="A95" s="59">
        <v>5.3819444444444297E-3</v>
      </c>
      <c r="B95">
        <v>143</v>
      </c>
      <c r="C95">
        <v>9.5</v>
      </c>
    </row>
    <row r="96" spans="1:3">
      <c r="A96" s="59">
        <v>5.4398148148148001E-3</v>
      </c>
      <c r="B96">
        <v>144</v>
      </c>
      <c r="C96">
        <v>9.5</v>
      </c>
    </row>
    <row r="97" spans="1:3">
      <c r="A97" s="59">
        <v>5.4976851851851697E-3</v>
      </c>
      <c r="B97">
        <v>142</v>
      </c>
      <c r="C97">
        <v>9.5</v>
      </c>
    </row>
    <row r="98" spans="1:3">
      <c r="A98" s="59">
        <v>5.5555555555555402E-3</v>
      </c>
      <c r="B98">
        <v>142</v>
      </c>
      <c r="C98">
        <v>9.5</v>
      </c>
    </row>
    <row r="99" spans="1:3">
      <c r="A99" s="59">
        <v>5.6134259259259097E-3</v>
      </c>
      <c r="B99">
        <v>142</v>
      </c>
      <c r="C99">
        <v>9.5</v>
      </c>
    </row>
    <row r="100" spans="1:3">
      <c r="A100" s="59">
        <v>5.6712962962962802E-3</v>
      </c>
      <c r="B100">
        <v>142</v>
      </c>
      <c r="C100">
        <v>9.5</v>
      </c>
    </row>
    <row r="101" spans="1:3">
      <c r="A101" s="59">
        <v>5.7291666666666498E-3</v>
      </c>
      <c r="B101">
        <v>143</v>
      </c>
      <c r="C101">
        <v>9.5</v>
      </c>
    </row>
    <row r="102" spans="1:3">
      <c r="A102" s="59">
        <v>5.7870370370370202E-3</v>
      </c>
      <c r="B102">
        <v>144</v>
      </c>
      <c r="C102">
        <v>9.5</v>
      </c>
    </row>
    <row r="103" spans="1:3">
      <c r="A103" s="59">
        <v>5.8449074074073898E-3</v>
      </c>
      <c r="B103">
        <v>144</v>
      </c>
      <c r="C103">
        <v>9.5</v>
      </c>
    </row>
    <row r="104" spans="1:3">
      <c r="A104" s="59">
        <v>5.9027777777777603E-3</v>
      </c>
      <c r="B104">
        <v>145</v>
      </c>
      <c r="C104">
        <v>9.5</v>
      </c>
    </row>
    <row r="105" spans="1:3">
      <c r="A105" s="59">
        <v>5.9606481481481299E-3</v>
      </c>
      <c r="B105">
        <v>145</v>
      </c>
      <c r="C105">
        <v>9.5</v>
      </c>
    </row>
    <row r="106" spans="1:3">
      <c r="A106" s="59">
        <v>6.0185185185185003E-3</v>
      </c>
      <c r="B106">
        <v>144</v>
      </c>
      <c r="C106">
        <v>9.5</v>
      </c>
    </row>
    <row r="107" spans="1:3">
      <c r="A107" s="59">
        <v>6.0763888888888699E-3</v>
      </c>
      <c r="B107">
        <v>144</v>
      </c>
      <c r="C107">
        <v>9.5</v>
      </c>
    </row>
    <row r="108" spans="1:3">
      <c r="A108" s="59">
        <v>6.1342592592592404E-3</v>
      </c>
      <c r="B108">
        <v>146</v>
      </c>
      <c r="C108">
        <v>9.5</v>
      </c>
    </row>
    <row r="109" spans="1:3">
      <c r="A109" s="59">
        <v>6.1921296296296099E-3</v>
      </c>
      <c r="B109">
        <v>147</v>
      </c>
      <c r="C109">
        <v>10</v>
      </c>
    </row>
    <row r="110" spans="1:3">
      <c r="A110" s="59">
        <v>6.2499999999999804E-3</v>
      </c>
      <c r="B110">
        <v>146</v>
      </c>
      <c r="C110">
        <v>10</v>
      </c>
    </row>
    <row r="111" spans="1:3">
      <c r="A111" s="59">
        <v>6.30787037037035E-3</v>
      </c>
      <c r="B111">
        <v>148</v>
      </c>
      <c r="C111">
        <v>10</v>
      </c>
    </row>
    <row r="112" spans="1:3">
      <c r="A112" s="59">
        <v>6.3657407407407196E-3</v>
      </c>
      <c r="B112">
        <v>150</v>
      </c>
      <c r="C112">
        <v>10</v>
      </c>
    </row>
    <row r="113" spans="1:3">
      <c r="A113" s="59">
        <v>6.42361111111109E-3</v>
      </c>
      <c r="B113">
        <v>150</v>
      </c>
      <c r="C113">
        <v>10</v>
      </c>
    </row>
    <row r="114" spans="1:3">
      <c r="A114" s="59">
        <v>6.4814814814814596E-3</v>
      </c>
      <c r="B114">
        <v>149</v>
      </c>
      <c r="C114">
        <v>10</v>
      </c>
    </row>
    <row r="115" spans="1:3">
      <c r="A115" s="59">
        <v>6.5393518518518301E-3</v>
      </c>
      <c r="B115">
        <v>150</v>
      </c>
      <c r="C115">
        <v>10</v>
      </c>
    </row>
    <row r="116" spans="1:3">
      <c r="A116" s="59">
        <v>6.5972222222221997E-3</v>
      </c>
      <c r="B116">
        <v>149</v>
      </c>
      <c r="C116">
        <v>10</v>
      </c>
    </row>
    <row r="117" spans="1:3">
      <c r="A117" s="59">
        <v>6.6550925925925701E-3</v>
      </c>
      <c r="B117">
        <v>150</v>
      </c>
      <c r="C117">
        <v>10</v>
      </c>
    </row>
    <row r="118" spans="1:3">
      <c r="A118" s="59">
        <v>6.7129629629629397E-3</v>
      </c>
      <c r="B118">
        <v>148</v>
      </c>
      <c r="C118">
        <v>10</v>
      </c>
    </row>
    <row r="119" spans="1:3">
      <c r="A119" s="59">
        <v>6.7708333333333101E-3</v>
      </c>
      <c r="B119">
        <v>149</v>
      </c>
      <c r="C119">
        <v>10</v>
      </c>
    </row>
    <row r="120" spans="1:3">
      <c r="A120" s="59">
        <v>6.8287037037036797E-3</v>
      </c>
      <c r="B120">
        <v>150</v>
      </c>
      <c r="C120">
        <v>10</v>
      </c>
    </row>
    <row r="121" spans="1:3">
      <c r="A121" s="59">
        <v>6.8865740740740502E-3</v>
      </c>
      <c r="B121">
        <v>151</v>
      </c>
      <c r="C121">
        <v>10</v>
      </c>
    </row>
    <row r="122" spans="1:3">
      <c r="A122" s="59">
        <v>6.9444444444444198E-3</v>
      </c>
      <c r="B122">
        <v>150</v>
      </c>
      <c r="C122">
        <v>10</v>
      </c>
    </row>
    <row r="123" spans="1:3">
      <c r="A123" s="89">
        <v>7.0023148148147902E-3</v>
      </c>
      <c r="B123">
        <v>150</v>
      </c>
      <c r="C123">
        <v>10.5</v>
      </c>
    </row>
    <row r="124" spans="1:3">
      <c r="A124" s="59">
        <v>7.0601851851851598E-3</v>
      </c>
      <c r="B124">
        <v>151</v>
      </c>
      <c r="C124">
        <v>10.5</v>
      </c>
    </row>
    <row r="125" spans="1:3">
      <c r="A125" s="59">
        <v>7.1180555555555303E-3</v>
      </c>
      <c r="B125">
        <v>153</v>
      </c>
      <c r="C125">
        <v>10.5</v>
      </c>
    </row>
    <row r="126" spans="1:3">
      <c r="A126" s="59">
        <v>7.1759259259258999E-3</v>
      </c>
      <c r="B126">
        <v>153</v>
      </c>
      <c r="C126">
        <v>10.5</v>
      </c>
    </row>
    <row r="127" spans="1:3">
      <c r="A127" s="59">
        <v>7.2337962962962703E-3</v>
      </c>
      <c r="B127">
        <v>152</v>
      </c>
      <c r="C127">
        <v>10.5</v>
      </c>
    </row>
    <row r="128" spans="1:3">
      <c r="A128" s="59">
        <v>7.2916666666666399E-3</v>
      </c>
      <c r="B128">
        <v>150</v>
      </c>
      <c r="C128">
        <v>10.5</v>
      </c>
    </row>
    <row r="129" spans="1:3">
      <c r="A129" s="59">
        <v>7.3495370370370103E-3</v>
      </c>
      <c r="B129">
        <v>150</v>
      </c>
      <c r="C129">
        <v>10.5</v>
      </c>
    </row>
    <row r="130" spans="1:3">
      <c r="A130" s="59">
        <v>7.4074074074073799E-3</v>
      </c>
      <c r="B130">
        <v>149</v>
      </c>
      <c r="C130">
        <v>10.5</v>
      </c>
    </row>
    <row r="131" spans="1:3">
      <c r="A131" s="59">
        <v>7.4652777777777504E-3</v>
      </c>
      <c r="B131">
        <v>149</v>
      </c>
      <c r="C131">
        <v>10.5</v>
      </c>
    </row>
    <row r="132" spans="1:3">
      <c r="A132" s="59">
        <v>7.52314814814812E-3</v>
      </c>
      <c r="B132">
        <v>149</v>
      </c>
      <c r="C132">
        <v>10.5</v>
      </c>
    </row>
    <row r="133" spans="1:3">
      <c r="A133" s="59">
        <v>7.5810185185184904E-3</v>
      </c>
      <c r="B133">
        <v>151</v>
      </c>
      <c r="C133">
        <v>10.5</v>
      </c>
    </row>
    <row r="134" spans="1:3">
      <c r="A134" s="59">
        <v>7.63888888888886E-3</v>
      </c>
      <c r="B134">
        <v>151</v>
      </c>
      <c r="C134">
        <v>10.5</v>
      </c>
    </row>
    <row r="135" spans="1:3">
      <c r="A135" s="59">
        <v>7.6967592592592296E-3</v>
      </c>
      <c r="B135">
        <v>151</v>
      </c>
      <c r="C135">
        <v>10.5</v>
      </c>
    </row>
    <row r="136" spans="1:3">
      <c r="A136" s="59">
        <v>7.7546296296296001E-3</v>
      </c>
      <c r="B136">
        <v>151</v>
      </c>
      <c r="C136">
        <v>10.5</v>
      </c>
    </row>
  </sheetData>
  <phoneticPr fontId="19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55"/>
  <sheetViews>
    <sheetView zoomScale="145" workbookViewId="0">
      <selection activeCell="A6" sqref="A6"/>
    </sheetView>
  </sheetViews>
  <sheetFormatPr defaultColWidth="11.5703125" defaultRowHeight="9"/>
  <cols>
    <col min="1" max="1" width="6.28515625" style="58" bestFit="1" customWidth="1"/>
    <col min="2" max="15" width="4.28515625" style="18" bestFit="1" customWidth="1"/>
    <col min="16" max="16" width="6.42578125" style="18" bestFit="1" customWidth="1"/>
    <col min="17" max="17" width="6.7109375" style="18" bestFit="1" customWidth="1"/>
    <col min="18" max="18" width="8.7109375" style="19" bestFit="1" customWidth="1"/>
    <col min="19" max="19" width="4.85546875" style="18" bestFit="1" customWidth="1"/>
    <col min="20" max="20" width="5.85546875" style="18" bestFit="1" customWidth="1"/>
    <col min="21" max="21" width="3.140625" style="18" bestFit="1" customWidth="1"/>
    <col min="22" max="29" width="3.28515625" style="18" bestFit="1" customWidth="1"/>
    <col min="30" max="30" width="3.85546875" style="18" bestFit="1" customWidth="1"/>
    <col min="31" max="31" width="3.5703125" style="18" bestFit="1" customWidth="1"/>
    <col min="32" max="33" width="3.85546875" style="18" bestFit="1" customWidth="1"/>
    <col min="34" max="16384" width="11.5703125" style="18"/>
  </cols>
  <sheetData>
    <row r="1" spans="1:33">
      <c r="A1" s="56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1" t="s">
        <v>16</v>
      </c>
      <c r="R1" s="22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</row>
    <row r="2" spans="1:33">
      <c r="A2" s="57">
        <v>36605</v>
      </c>
      <c r="B2" s="23">
        <v>3.3122685185185186E-3</v>
      </c>
      <c r="C2" s="23">
        <v>3.2060185185185191E-3</v>
      </c>
      <c r="D2" s="23">
        <v>3.1245370370370372E-3</v>
      </c>
      <c r="E2" s="23">
        <v>3.2033564814814819E-3</v>
      </c>
      <c r="F2" s="23">
        <v>3.3252314814814811E-3</v>
      </c>
      <c r="G2" s="23">
        <v>3.2372685185185191E-3</v>
      </c>
      <c r="H2" s="23">
        <v>1.0736111111111109E-3</v>
      </c>
      <c r="I2" s="23"/>
      <c r="J2" s="23"/>
      <c r="K2" s="23"/>
      <c r="L2" s="23"/>
      <c r="M2" s="23"/>
      <c r="N2" s="23"/>
      <c r="O2" s="23"/>
      <c r="P2" s="23">
        <f t="shared" ref="P2:P8" si="0">SUM(B2:H2)</f>
        <v>2.0482291666666666E-2</v>
      </c>
      <c r="Q2" s="24">
        <v>6.35</v>
      </c>
      <c r="R2" s="25">
        <f>$P$2/$Q$2</f>
        <v>3.2255577427821522E-3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>
      <c r="A3" s="57">
        <v>36608</v>
      </c>
      <c r="B3" s="23">
        <v>3.3870370370370374E-3</v>
      </c>
      <c r="C3" s="23">
        <v>3.1563657407407408E-3</v>
      </c>
      <c r="D3" s="23">
        <v>3.1986111111111108E-3</v>
      </c>
      <c r="E3" s="23">
        <v>3.1388888888888885E-3</v>
      </c>
      <c r="F3" s="23">
        <v>3.1723379629629632E-3</v>
      </c>
      <c r="G3" s="23">
        <v>3.1508101851851853E-3</v>
      </c>
      <c r="H3" s="23">
        <v>1.0604166666666668E-3</v>
      </c>
      <c r="I3" s="23"/>
      <c r="J3" s="23"/>
      <c r="K3" s="23"/>
      <c r="L3" s="23"/>
      <c r="M3" s="23"/>
      <c r="N3" s="23"/>
      <c r="O3" s="23"/>
      <c r="P3" s="23">
        <f t="shared" si="0"/>
        <v>2.0264467592592594E-2</v>
      </c>
      <c r="Q3" s="24">
        <v>6.35</v>
      </c>
      <c r="R3" s="25">
        <f>$P$3/$Q$3</f>
        <v>3.1912547389909597E-3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spans="1:33">
      <c r="A4" s="57">
        <v>36610</v>
      </c>
      <c r="B4" s="23">
        <v>3.1712962962962958E-3</v>
      </c>
      <c r="C4" s="23">
        <v>3.1232638888888885E-3</v>
      </c>
      <c r="D4" s="23">
        <v>3.0999999999999999E-3</v>
      </c>
      <c r="E4" s="23">
        <v>3.1473379629629629E-3</v>
      </c>
      <c r="F4" s="23">
        <v>3.665509259259259E-3</v>
      </c>
      <c r="G4" s="23">
        <v>3.1174768518518522E-3</v>
      </c>
      <c r="H4" s="23">
        <v>1.0827546296296295E-3</v>
      </c>
      <c r="I4" s="23"/>
      <c r="J4" s="23"/>
      <c r="K4" s="23"/>
      <c r="L4" s="23"/>
      <c r="M4" s="23"/>
      <c r="N4" s="23"/>
      <c r="O4" s="23"/>
      <c r="P4" s="23">
        <f t="shared" si="0"/>
        <v>2.0407638888888888E-2</v>
      </c>
      <c r="Q4" s="24">
        <v>6.35</v>
      </c>
      <c r="R4" s="25">
        <f>$P$4/$Q$4</f>
        <v>3.2138013998250221E-3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spans="1:33">
      <c r="A5" s="57">
        <v>36612</v>
      </c>
      <c r="B5" s="23">
        <v>3.1712962962962958E-3</v>
      </c>
      <c r="C5" s="23">
        <v>3.2752314814814814E-3</v>
      </c>
      <c r="D5" s="23">
        <v>3.1993055555555559E-3</v>
      </c>
      <c r="E5" s="23">
        <v>3.090046296296296E-3</v>
      </c>
      <c r="F5" s="23">
        <v>3.0868055555555557E-3</v>
      </c>
      <c r="G5" s="23">
        <v>2.9928240740740744E-3</v>
      </c>
      <c r="H5" s="23">
        <v>9.5590277777777785E-4</v>
      </c>
      <c r="I5" s="23"/>
      <c r="J5" s="23"/>
      <c r="K5" s="23"/>
      <c r="L5" s="23"/>
      <c r="M5" s="23"/>
      <c r="N5" s="23"/>
      <c r="O5" s="23"/>
      <c r="P5" s="23">
        <f t="shared" si="0"/>
        <v>1.9771412037037035E-2</v>
      </c>
      <c r="Q5" s="24">
        <v>6.35</v>
      </c>
      <c r="R5" s="25">
        <f>$P$5/$Q$5</f>
        <v>3.1136081948089822E-3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spans="1:33">
      <c r="A6" s="57">
        <v>36614</v>
      </c>
      <c r="B6" s="23">
        <v>3.1053240740740741E-3</v>
      </c>
      <c r="C6" s="23">
        <v>3.0937500000000001E-3</v>
      </c>
      <c r="D6" s="23">
        <v>3.1064814814814813E-3</v>
      </c>
      <c r="E6" s="23">
        <v>3.0937500000000001E-3</v>
      </c>
      <c r="F6" s="23">
        <v>3.0497685185185181E-3</v>
      </c>
      <c r="G6" s="23">
        <v>3.1134259259259257E-3</v>
      </c>
      <c r="H6" s="23">
        <v>9.0393518518518525E-4</v>
      </c>
      <c r="I6" s="23"/>
      <c r="J6" s="23"/>
      <c r="K6" s="23"/>
      <c r="L6" s="23"/>
      <c r="M6" s="23"/>
      <c r="N6" s="23"/>
      <c r="O6" s="23"/>
      <c r="P6" s="23">
        <f t="shared" si="0"/>
        <v>1.9466435185185184E-2</v>
      </c>
      <c r="Q6" s="24">
        <v>6.35</v>
      </c>
      <c r="R6" s="25">
        <f>$P$6/$Q$6</f>
        <v>3.0655803441236511E-3</v>
      </c>
      <c r="S6" s="24">
        <v>200</v>
      </c>
      <c r="T6" s="24">
        <v>183</v>
      </c>
      <c r="U6" s="24">
        <v>159</v>
      </c>
      <c r="V6" s="24">
        <v>181</v>
      </c>
      <c r="W6" s="24">
        <v>188</v>
      </c>
      <c r="X6" s="24">
        <v>188</v>
      </c>
      <c r="Y6" s="24">
        <v>188</v>
      </c>
      <c r="Z6" s="24">
        <v>192</v>
      </c>
      <c r="AA6" s="24"/>
      <c r="AB6" s="24"/>
      <c r="AC6" s="24"/>
      <c r="AD6" s="24"/>
      <c r="AE6" s="24"/>
      <c r="AF6" s="24"/>
      <c r="AG6" s="24"/>
    </row>
    <row r="7" spans="1:33">
      <c r="A7" s="57">
        <v>36615</v>
      </c>
      <c r="B7" s="23">
        <v>3.2187499999999998E-3</v>
      </c>
      <c r="C7" s="23">
        <v>3.166666666666667E-3</v>
      </c>
      <c r="D7" s="23">
        <v>3.2824074074074075E-3</v>
      </c>
      <c r="E7" s="23">
        <v>3.3587962962962968E-3</v>
      </c>
      <c r="F7" s="23">
        <v>3.1215277777777782E-3</v>
      </c>
      <c r="G7" s="23">
        <v>3.3055555555555551E-3</v>
      </c>
      <c r="H7" s="23">
        <v>1.0127314814814814E-3</v>
      </c>
      <c r="I7" s="23"/>
      <c r="J7" s="23"/>
      <c r="K7" s="23"/>
      <c r="L7" s="23"/>
      <c r="M7" s="23"/>
      <c r="N7" s="23"/>
      <c r="O7" s="23"/>
      <c r="P7" s="23">
        <f t="shared" si="0"/>
        <v>2.0466435185185188E-2</v>
      </c>
      <c r="Q7" s="24">
        <v>6.35</v>
      </c>
      <c r="R7" s="25">
        <f>$P$7/$Q$7</f>
        <v>3.2230606590842818E-3</v>
      </c>
      <c r="S7" s="24">
        <v>187</v>
      </c>
      <c r="T7" s="24">
        <v>171</v>
      </c>
      <c r="U7" s="24">
        <v>154</v>
      </c>
      <c r="V7" s="24">
        <v>172</v>
      </c>
      <c r="W7" s="24">
        <v>173</v>
      </c>
      <c r="X7" s="24">
        <v>174</v>
      </c>
      <c r="Y7" s="24">
        <v>175</v>
      </c>
      <c r="Z7" s="24">
        <v>178</v>
      </c>
      <c r="AA7" s="24"/>
      <c r="AB7" s="24"/>
      <c r="AC7" s="24"/>
      <c r="AD7" s="24"/>
      <c r="AE7" s="24"/>
      <c r="AF7" s="24"/>
      <c r="AG7" s="24"/>
    </row>
    <row r="8" spans="1:33">
      <c r="A8" s="57">
        <v>36616</v>
      </c>
      <c r="B8" s="23">
        <v>2.9594907407407404E-3</v>
      </c>
      <c r="C8" s="23">
        <v>3.0254629629629629E-3</v>
      </c>
      <c r="D8" s="23">
        <v>2.9826388888888888E-3</v>
      </c>
      <c r="E8" s="23">
        <v>2.9976851851851848E-3</v>
      </c>
      <c r="F8" s="23">
        <v>3.0081018518518521E-3</v>
      </c>
      <c r="G8" s="23">
        <v>2.9398148148148148E-3</v>
      </c>
      <c r="H8" s="23">
        <v>9.0046296296296304E-4</v>
      </c>
      <c r="I8" s="23"/>
      <c r="J8" s="23"/>
      <c r="K8" s="23"/>
      <c r="L8" s="23"/>
      <c r="M8" s="23"/>
      <c r="N8" s="23"/>
      <c r="O8" s="23"/>
      <c r="P8" s="23">
        <f t="shared" si="0"/>
        <v>1.8813657407407407E-2</v>
      </c>
      <c r="Q8" s="24">
        <v>6.35</v>
      </c>
      <c r="R8" s="25">
        <f>$P$8/$Q$8</f>
        <v>2.9627806940799068E-3</v>
      </c>
      <c r="S8" s="24">
        <v>195</v>
      </c>
      <c r="T8" s="24">
        <v>180</v>
      </c>
      <c r="U8" s="24">
        <v>161</v>
      </c>
      <c r="V8" s="24">
        <v>177</v>
      </c>
      <c r="W8" s="24">
        <v>181</v>
      </c>
      <c r="X8" s="24">
        <v>183</v>
      </c>
      <c r="Y8" s="24">
        <v>185</v>
      </c>
      <c r="Z8" s="24">
        <v>188</v>
      </c>
      <c r="AA8" s="24"/>
      <c r="AB8" s="24"/>
      <c r="AC8" s="24"/>
      <c r="AD8" s="24"/>
      <c r="AE8" s="24"/>
      <c r="AF8" s="24"/>
      <c r="AG8" s="24"/>
    </row>
    <row r="9" spans="1:33">
      <c r="A9" s="57">
        <v>36618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>
        <v>3.923611111111111E-2</v>
      </c>
      <c r="Q9" s="24">
        <v>12.7</v>
      </c>
      <c r="R9" s="25">
        <f>$P$9/$Q$9</f>
        <v>3.0894575678040246E-3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spans="1:33">
      <c r="A10" s="57">
        <v>36619</v>
      </c>
      <c r="B10" s="23">
        <v>3.1655092592592598E-3</v>
      </c>
      <c r="C10" s="23">
        <v>3.0185185185185189E-3</v>
      </c>
      <c r="D10" s="23">
        <v>2.9930555555555557E-3</v>
      </c>
      <c r="E10" s="23">
        <v>3.1041666666666665E-3</v>
      </c>
      <c r="F10" s="23">
        <v>3.1620370370370374E-3</v>
      </c>
      <c r="G10" s="23">
        <v>3.2407407407407406E-3</v>
      </c>
      <c r="H10" s="23">
        <v>1.0775462962962963E-3</v>
      </c>
      <c r="I10" s="23">
        <v>3.2326388888888891E-3</v>
      </c>
      <c r="J10" s="23">
        <v>2.7581018518518519E-3</v>
      </c>
      <c r="K10" s="23"/>
      <c r="L10" s="23"/>
      <c r="M10" s="23"/>
      <c r="N10" s="23"/>
      <c r="O10" s="23"/>
      <c r="P10" s="23">
        <f>SUM(B10:N10)</f>
        <v>2.5752314814814815E-2</v>
      </c>
      <c r="Q10" s="24">
        <v>8.35</v>
      </c>
      <c r="R10" s="25">
        <f>$P$10/$Q$10</f>
        <v>3.0841095586604571E-3</v>
      </c>
      <c r="S10" s="24">
        <v>190</v>
      </c>
      <c r="T10" s="24">
        <v>171</v>
      </c>
      <c r="U10" s="24">
        <v>150</v>
      </c>
      <c r="V10" s="24">
        <v>166</v>
      </c>
      <c r="W10" s="24">
        <v>173</v>
      </c>
      <c r="X10" s="24">
        <v>174</v>
      </c>
      <c r="Y10" s="24">
        <v>174</v>
      </c>
      <c r="Z10" s="24">
        <v>173</v>
      </c>
      <c r="AA10" s="24">
        <v>173</v>
      </c>
      <c r="AB10" s="24">
        <v>176</v>
      </c>
      <c r="AC10" s="24"/>
      <c r="AD10" s="24"/>
      <c r="AE10" s="24"/>
      <c r="AF10" s="24"/>
      <c r="AG10" s="24"/>
    </row>
    <row r="11" spans="1:33">
      <c r="A11" s="57">
        <v>36620</v>
      </c>
      <c r="B11" s="23">
        <v>3.0289351851851849E-3</v>
      </c>
      <c r="C11" s="23">
        <v>2.8252314814814811E-3</v>
      </c>
      <c r="D11" s="23">
        <v>2.8761574074074071E-3</v>
      </c>
      <c r="E11" s="23">
        <v>2.8969907407407412E-3</v>
      </c>
      <c r="F11" s="23">
        <v>2.9756944444444444E-3</v>
      </c>
      <c r="G11" s="23">
        <v>2.9560185185185188E-3</v>
      </c>
      <c r="H11" s="23">
        <v>9.1898148148148145E-4</v>
      </c>
      <c r="I11" s="23"/>
      <c r="J11" s="23"/>
      <c r="K11" s="23"/>
      <c r="L11" s="23"/>
      <c r="M11" s="23"/>
      <c r="N11" s="23"/>
      <c r="O11" s="23"/>
      <c r="P11" s="23">
        <f>SUM(B11:N11)</f>
        <v>1.847800925925926E-2</v>
      </c>
      <c r="Q11" s="24">
        <v>6.35</v>
      </c>
      <c r="R11" s="25">
        <f>$P$11/$Q$11</f>
        <v>2.9099227179935844E-3</v>
      </c>
      <c r="S11" s="24">
        <v>188</v>
      </c>
      <c r="T11" s="24">
        <v>177</v>
      </c>
      <c r="U11" s="24">
        <v>149</v>
      </c>
      <c r="V11" s="24">
        <v>166</v>
      </c>
      <c r="W11" s="24">
        <v>159</v>
      </c>
      <c r="X11" s="24">
        <v>177</v>
      </c>
      <c r="Y11" s="24">
        <v>179</v>
      </c>
      <c r="Z11" s="24">
        <v>182</v>
      </c>
      <c r="AA11" s="24"/>
      <c r="AB11" s="24"/>
      <c r="AC11" s="24"/>
      <c r="AD11" s="24"/>
      <c r="AE11" s="24"/>
      <c r="AF11" s="24"/>
      <c r="AG11" s="24"/>
    </row>
    <row r="12" spans="1:33">
      <c r="A12" s="57">
        <v>36621</v>
      </c>
      <c r="B12" s="23">
        <v>3.2106481481481482E-3</v>
      </c>
      <c r="C12" s="23">
        <v>3.1030092592592598E-3</v>
      </c>
      <c r="D12" s="23">
        <v>3.1157407407407405E-3</v>
      </c>
      <c r="E12" s="23">
        <v>3.0358796296296297E-3</v>
      </c>
      <c r="F12" s="23">
        <v>2.9976851851851848E-3</v>
      </c>
      <c r="G12" s="23">
        <v>2.9861111111111113E-3</v>
      </c>
      <c r="H12" s="23">
        <v>1.0497685185185187E-3</v>
      </c>
      <c r="I12" s="23">
        <v>3.0729166666666665E-3</v>
      </c>
      <c r="J12" s="23">
        <v>3.0902777777777782E-3</v>
      </c>
      <c r="K12" s="23">
        <v>3.0856481481481481E-3</v>
      </c>
      <c r="L12" s="23">
        <v>3.1018518518518522E-3</v>
      </c>
      <c r="M12" s="23">
        <v>3.1296296296296298E-3</v>
      </c>
      <c r="N12" s="23">
        <v>3.0289351851851849E-3</v>
      </c>
      <c r="O12" s="23">
        <v>1.0231481481481482E-3</v>
      </c>
      <c r="P12" s="23">
        <f t="shared" ref="P12:P48" si="1">SUM(B12:O12)</f>
        <v>3.9031249999999997E-2</v>
      </c>
      <c r="Q12" s="24">
        <v>12.7</v>
      </c>
      <c r="R12" s="25">
        <f>$P$12/$Q$12</f>
        <v>3.0733267716535431E-3</v>
      </c>
      <c r="S12" s="24">
        <v>184</v>
      </c>
      <c r="T12" s="24">
        <v>176</v>
      </c>
      <c r="U12" s="24">
        <v>147</v>
      </c>
      <c r="V12" s="24">
        <v>167</v>
      </c>
      <c r="W12" s="24">
        <v>173</v>
      </c>
      <c r="X12" s="24">
        <v>176</v>
      </c>
      <c r="Y12" s="24">
        <v>177</v>
      </c>
      <c r="Z12" s="24">
        <v>179</v>
      </c>
      <c r="AA12" s="24">
        <v>181</v>
      </c>
      <c r="AB12" s="24">
        <v>180</v>
      </c>
      <c r="AC12" s="24">
        <v>180</v>
      </c>
      <c r="AD12" s="24">
        <v>181</v>
      </c>
      <c r="AE12" s="24">
        <v>181</v>
      </c>
      <c r="AF12" s="24">
        <v>180</v>
      </c>
      <c r="AG12" s="24">
        <v>182</v>
      </c>
    </row>
    <row r="13" spans="1:33">
      <c r="A13" s="57">
        <v>36626</v>
      </c>
      <c r="B13" s="23">
        <v>3.1851851851851854E-3</v>
      </c>
      <c r="C13" s="23">
        <v>3.0474537037037037E-3</v>
      </c>
      <c r="D13" s="23">
        <v>3.2488425925925931E-3</v>
      </c>
      <c r="E13" s="23">
        <v>3.394675925925926E-3</v>
      </c>
      <c r="F13" s="23">
        <v>3.4027777777777784E-3</v>
      </c>
      <c r="G13" s="23">
        <v>3.196759259259259E-3</v>
      </c>
      <c r="H13" s="23">
        <v>1.0393518518518519E-3</v>
      </c>
      <c r="I13" s="23"/>
      <c r="J13" s="23"/>
      <c r="K13" s="23"/>
      <c r="L13" s="23"/>
      <c r="M13" s="23"/>
      <c r="N13" s="23"/>
      <c r="O13" s="23"/>
      <c r="P13" s="23">
        <f t="shared" si="1"/>
        <v>2.0515046296296299E-2</v>
      </c>
      <c r="Q13" s="24">
        <v>6.35</v>
      </c>
      <c r="R13" s="25">
        <f>$P$13/$Q$13</f>
        <v>3.2307159521726457E-3</v>
      </c>
      <c r="S13" s="24">
        <v>185</v>
      </c>
      <c r="T13" s="24">
        <v>170</v>
      </c>
      <c r="U13" s="24">
        <v>151</v>
      </c>
      <c r="V13" s="24">
        <v>167</v>
      </c>
      <c r="W13" s="24">
        <v>173</v>
      </c>
      <c r="X13" s="24">
        <v>173</v>
      </c>
      <c r="Y13" s="24">
        <v>174</v>
      </c>
      <c r="Z13" s="24">
        <v>178</v>
      </c>
      <c r="AA13" s="24">
        <v>183</v>
      </c>
      <c r="AB13" s="24"/>
      <c r="AC13" s="24"/>
      <c r="AD13" s="24"/>
      <c r="AE13" s="24"/>
      <c r="AF13" s="24"/>
      <c r="AG13" s="24"/>
    </row>
    <row r="14" spans="1:33">
      <c r="A14" s="57">
        <v>36641</v>
      </c>
      <c r="B14" s="23">
        <v>2.9861111111111113E-3</v>
      </c>
      <c r="C14" s="23">
        <v>2.8599537037037035E-3</v>
      </c>
      <c r="D14" s="23">
        <v>3.1689814814814814E-3</v>
      </c>
      <c r="E14" s="23">
        <v>3.3171296296296295E-3</v>
      </c>
      <c r="F14" s="23">
        <v>3.0740740740740741E-3</v>
      </c>
      <c r="G14" s="23">
        <v>2.9537037037037032E-3</v>
      </c>
      <c r="H14" s="23">
        <v>8.7615740740740742E-4</v>
      </c>
      <c r="I14" s="23"/>
      <c r="J14" s="23"/>
      <c r="K14" s="23"/>
      <c r="L14" s="23"/>
      <c r="M14" s="23"/>
      <c r="N14" s="23"/>
      <c r="O14" s="23"/>
      <c r="P14" s="23">
        <f t="shared" si="1"/>
        <v>1.9236111111111114E-2</v>
      </c>
      <c r="Q14" s="24">
        <v>6.35</v>
      </c>
      <c r="R14" s="25">
        <f>$P$14/$Q$14</f>
        <v>3.0293088363954512E-3</v>
      </c>
      <c r="S14" s="24">
        <v>201</v>
      </c>
      <c r="T14" s="24">
        <v>178</v>
      </c>
      <c r="U14" s="24">
        <v>173</v>
      </c>
      <c r="V14" s="24">
        <v>179</v>
      </c>
      <c r="W14" s="24">
        <v>180</v>
      </c>
      <c r="X14" s="24">
        <v>186</v>
      </c>
      <c r="Y14" s="24">
        <v>191</v>
      </c>
      <c r="Z14" s="24">
        <v>191</v>
      </c>
      <c r="AA14" s="24"/>
      <c r="AB14" s="24"/>
      <c r="AC14" s="24"/>
      <c r="AD14" s="24"/>
      <c r="AE14" s="24"/>
      <c r="AF14" s="24"/>
      <c r="AG14" s="24"/>
    </row>
    <row r="15" spans="1:33">
      <c r="A15" s="57">
        <v>36644</v>
      </c>
      <c r="B15" s="23">
        <v>3.0428240740740741E-3</v>
      </c>
      <c r="C15" s="23">
        <v>2.9791666666666664E-3</v>
      </c>
      <c r="D15" s="23">
        <v>3.201388888888889E-3</v>
      </c>
      <c r="E15" s="23">
        <v>3.2361111111111115E-3</v>
      </c>
      <c r="F15" s="23">
        <v>3.3935185185185184E-3</v>
      </c>
      <c r="G15" s="23">
        <v>3.3865740740740744E-3</v>
      </c>
      <c r="H15" s="23">
        <v>1.152777777777778E-3</v>
      </c>
      <c r="I15" s="23">
        <v>3.2962962962962959E-3</v>
      </c>
      <c r="J15" s="23">
        <v>3.1655092592592598E-3</v>
      </c>
      <c r="K15" s="23">
        <v>3.0740740740740741E-3</v>
      </c>
      <c r="L15" s="23">
        <v>3.0196759259259261E-3</v>
      </c>
      <c r="M15" s="23"/>
      <c r="N15" s="23"/>
      <c r="O15" s="23"/>
      <c r="P15" s="23">
        <f t="shared" si="1"/>
        <v>3.2947916666666667E-2</v>
      </c>
      <c r="Q15" s="24">
        <v>10.35</v>
      </c>
      <c r="R15" s="25">
        <f>$P$15/$Q$15</f>
        <v>3.1833735909822867E-3</v>
      </c>
      <c r="S15" s="24">
        <v>195</v>
      </c>
      <c r="T15" s="24">
        <v>179</v>
      </c>
      <c r="U15" s="24">
        <v>158</v>
      </c>
      <c r="V15" s="24">
        <v>175</v>
      </c>
      <c r="W15" s="24">
        <v>178</v>
      </c>
      <c r="X15" s="24">
        <v>178</v>
      </c>
      <c r="Y15" s="24">
        <v>179</v>
      </c>
      <c r="Z15" s="24">
        <v>178</v>
      </c>
      <c r="AA15" s="24">
        <v>180</v>
      </c>
      <c r="AB15" s="24">
        <v>182</v>
      </c>
      <c r="AC15" s="24">
        <v>185</v>
      </c>
      <c r="AD15" s="24">
        <v>187</v>
      </c>
      <c r="AE15" s="24"/>
      <c r="AF15" s="24"/>
      <c r="AG15" s="24"/>
    </row>
    <row r="16" spans="1:33">
      <c r="A16" s="57">
        <v>36647</v>
      </c>
      <c r="B16" s="23">
        <v>3.0601851851851849E-3</v>
      </c>
      <c r="C16" s="23">
        <v>2.917824074074074E-3</v>
      </c>
      <c r="D16" s="23">
        <v>3.0949074074074078E-3</v>
      </c>
      <c r="E16" s="23">
        <v>3.0416666666666665E-3</v>
      </c>
      <c r="F16" s="23">
        <v>3.0844907407407405E-3</v>
      </c>
      <c r="G16" s="23">
        <v>2.9270833333333332E-3</v>
      </c>
      <c r="H16" s="23">
        <v>9.3749999999999997E-4</v>
      </c>
      <c r="I16" s="23"/>
      <c r="J16" s="23"/>
      <c r="K16" s="23"/>
      <c r="L16" s="23"/>
      <c r="M16" s="23"/>
      <c r="N16" s="23"/>
      <c r="O16" s="23"/>
      <c r="P16" s="23">
        <f t="shared" si="1"/>
        <v>1.9063657407407408E-2</v>
      </c>
      <c r="Q16" s="24">
        <v>6.35</v>
      </c>
      <c r="R16" s="25">
        <f>$P$16/$Q$16</f>
        <v>3.0021507728200643E-3</v>
      </c>
      <c r="S16" s="24">
        <v>190</v>
      </c>
      <c r="T16" s="24">
        <v>174</v>
      </c>
      <c r="U16" s="24">
        <v>156</v>
      </c>
      <c r="V16" s="24">
        <v>172</v>
      </c>
      <c r="W16" s="24">
        <v>175</v>
      </c>
      <c r="X16" s="24">
        <v>178</v>
      </c>
      <c r="Y16" s="24">
        <v>178</v>
      </c>
      <c r="Z16" s="24">
        <v>182</v>
      </c>
      <c r="AA16" s="24"/>
      <c r="AB16" s="24"/>
      <c r="AC16" s="24"/>
      <c r="AD16" s="24"/>
      <c r="AE16" s="24"/>
      <c r="AF16" s="24"/>
      <c r="AG16" s="24"/>
    </row>
    <row r="17" spans="1:33">
      <c r="A17" s="57">
        <v>36654</v>
      </c>
      <c r="B17" s="23">
        <v>3.2025462962962958E-3</v>
      </c>
      <c r="C17" s="23">
        <v>3.0902777777777782E-3</v>
      </c>
      <c r="D17" s="23">
        <v>3.0219907407407405E-3</v>
      </c>
      <c r="E17" s="23">
        <v>3.1481481481481482E-3</v>
      </c>
      <c r="F17" s="23">
        <v>3.1250000000000002E-3</v>
      </c>
      <c r="G17" s="23">
        <v>3.1840277777777774E-3</v>
      </c>
      <c r="H17" s="23">
        <v>3.2997685185185183E-3</v>
      </c>
      <c r="I17" s="23">
        <v>3.2268518518518518E-3</v>
      </c>
      <c r="J17" s="23">
        <v>3.1354166666666666E-3</v>
      </c>
      <c r="K17" s="23">
        <v>2.7627314814814819E-3</v>
      </c>
      <c r="L17" s="23">
        <v>6.8749999999999996E-4</v>
      </c>
      <c r="M17" s="23"/>
      <c r="N17" s="23"/>
      <c r="O17" s="23"/>
      <c r="P17" s="23">
        <f t="shared" si="1"/>
        <v>3.1884259259259258E-2</v>
      </c>
      <c r="Q17" s="24">
        <v>10.26</v>
      </c>
      <c r="R17" s="25">
        <f>$P$17/$Q$17</f>
        <v>3.1076276081149377E-3</v>
      </c>
      <c r="S17" s="24">
        <v>190</v>
      </c>
      <c r="T17" s="24">
        <v>174</v>
      </c>
      <c r="U17" s="24">
        <v>153</v>
      </c>
      <c r="V17" s="24">
        <v>168</v>
      </c>
      <c r="W17" s="24">
        <v>173</v>
      </c>
      <c r="X17" s="24">
        <v>174</v>
      </c>
      <c r="Y17" s="24">
        <v>175</v>
      </c>
      <c r="Z17" s="24">
        <v>176</v>
      </c>
      <c r="AA17" s="24">
        <v>176</v>
      </c>
      <c r="AB17" s="24">
        <v>177</v>
      </c>
      <c r="AC17" s="24">
        <v>180</v>
      </c>
      <c r="AD17" s="24">
        <v>184</v>
      </c>
      <c r="AE17" s="24"/>
      <c r="AF17" s="24"/>
      <c r="AG17" s="24"/>
    </row>
    <row r="18" spans="1:33">
      <c r="A18" s="57">
        <v>36656</v>
      </c>
      <c r="B18" s="23">
        <v>3.1342592592592598E-3</v>
      </c>
      <c r="C18" s="23">
        <v>2.957175925925926E-3</v>
      </c>
      <c r="D18" s="23">
        <v>2.9803240740740745E-3</v>
      </c>
      <c r="E18" s="23">
        <v>2.9826388888888888E-3</v>
      </c>
      <c r="F18" s="23">
        <v>3.0092592592592588E-3</v>
      </c>
      <c r="G18" s="23">
        <v>3.0335648148148149E-3</v>
      </c>
      <c r="H18" s="23">
        <v>3.0393518518518521E-3</v>
      </c>
      <c r="I18" s="23">
        <v>3.1145833333333338E-3</v>
      </c>
      <c r="J18" s="23">
        <v>3.1250000000000002E-3</v>
      </c>
      <c r="K18" s="23">
        <v>2.7858796296296295E-3</v>
      </c>
      <c r="L18" s="23">
        <v>6.7592592592592585E-4</v>
      </c>
      <c r="M18" s="23"/>
      <c r="N18" s="23"/>
      <c r="O18" s="23"/>
      <c r="P18" s="23">
        <f t="shared" si="1"/>
        <v>3.0837962962962963E-2</v>
      </c>
      <c r="Q18" s="24">
        <v>10.26</v>
      </c>
      <c r="R18" s="25">
        <f>$P$18/$Q$18</f>
        <v>3.0056494115948307E-3</v>
      </c>
      <c r="S18" s="24">
        <v>190</v>
      </c>
      <c r="T18" s="24">
        <v>176</v>
      </c>
      <c r="U18" s="24">
        <v>156</v>
      </c>
      <c r="V18" s="24">
        <v>167</v>
      </c>
      <c r="W18" s="24">
        <v>176</v>
      </c>
      <c r="X18" s="24">
        <v>178</v>
      </c>
      <c r="Y18" s="24">
        <v>179</v>
      </c>
      <c r="Z18" s="24">
        <v>179</v>
      </c>
      <c r="AA18" s="24">
        <v>179</v>
      </c>
      <c r="AB18" s="24">
        <v>179</v>
      </c>
      <c r="AC18" s="24">
        <v>179</v>
      </c>
      <c r="AD18" s="24">
        <v>183</v>
      </c>
      <c r="AE18" s="24"/>
      <c r="AF18" s="24"/>
      <c r="AG18" s="24"/>
    </row>
    <row r="19" spans="1:33">
      <c r="A19" s="57">
        <v>36658</v>
      </c>
      <c r="B19" s="23">
        <v>2.9375E-3</v>
      </c>
      <c r="C19" s="23">
        <v>2.9050925925925928E-3</v>
      </c>
      <c r="D19" s="23">
        <v>2.8912037037037036E-3</v>
      </c>
      <c r="E19" s="23">
        <v>3.0000000000000001E-3</v>
      </c>
      <c r="F19" s="23"/>
      <c r="G19" s="23">
        <v>6.2708333333333331E-3</v>
      </c>
      <c r="H19" s="23">
        <v>3.0856481481481481E-3</v>
      </c>
      <c r="I19" s="23">
        <v>3.0266203703703705E-3</v>
      </c>
      <c r="J19" s="23">
        <v>3.1250000000000002E-3</v>
      </c>
      <c r="K19" s="23">
        <v>2.7997685185185178E-3</v>
      </c>
      <c r="L19" s="23">
        <v>6.2384259259259261E-4</v>
      </c>
      <c r="M19" s="23"/>
      <c r="N19" s="23"/>
      <c r="O19" s="23"/>
      <c r="P19" s="23">
        <f t="shared" si="1"/>
        <v>3.0665509259259257E-2</v>
      </c>
      <c r="Q19" s="24">
        <v>10.26</v>
      </c>
      <c r="R19" s="25">
        <f>$P$19/$Q$19</f>
        <v>2.9888410584073349E-3</v>
      </c>
      <c r="S19" s="24">
        <v>190</v>
      </c>
      <c r="T19" s="24">
        <v>179</v>
      </c>
      <c r="U19" s="24">
        <v>162</v>
      </c>
      <c r="V19" s="24">
        <v>172</v>
      </c>
      <c r="W19" s="24">
        <v>176</v>
      </c>
      <c r="X19" s="24">
        <v>178</v>
      </c>
      <c r="Y19" s="24"/>
      <c r="Z19" s="24">
        <v>179</v>
      </c>
      <c r="AA19" s="24">
        <v>181</v>
      </c>
      <c r="AB19" s="24">
        <v>183</v>
      </c>
      <c r="AC19" s="24">
        <v>185</v>
      </c>
      <c r="AD19" s="24">
        <v>189</v>
      </c>
      <c r="AE19" s="24"/>
      <c r="AF19" s="24"/>
      <c r="AG19" s="24"/>
    </row>
    <row r="20" spans="1:33">
      <c r="A20" s="57">
        <v>36661</v>
      </c>
      <c r="B20" s="23">
        <v>3.1851851851851854E-3</v>
      </c>
      <c r="C20" s="23">
        <v>3.0983796296296297E-3</v>
      </c>
      <c r="D20" s="23"/>
      <c r="E20" s="23">
        <v>5.8668981481481489E-3</v>
      </c>
      <c r="F20" s="23">
        <v>3.0578703703703705E-3</v>
      </c>
      <c r="G20" s="23">
        <v>3.0752314814814813E-3</v>
      </c>
      <c r="H20" s="23">
        <v>3.0763888888888889E-3</v>
      </c>
      <c r="I20" s="23">
        <v>3.1493055555555558E-3</v>
      </c>
      <c r="J20" s="23">
        <v>3.1226851851851854E-3</v>
      </c>
      <c r="K20" s="23">
        <v>2.8449074074074075E-3</v>
      </c>
      <c r="L20" s="23">
        <v>6.9560185185185187E-4</v>
      </c>
      <c r="M20" s="23"/>
      <c r="N20" s="23"/>
      <c r="O20" s="23"/>
      <c r="P20" s="23">
        <f t="shared" si="1"/>
        <v>3.1172453703703706E-2</v>
      </c>
      <c r="Q20" s="24">
        <v>10.26</v>
      </c>
      <c r="R20" s="25">
        <f>$P$20/$Q$20</f>
        <v>3.0382508483142016E-3</v>
      </c>
      <c r="S20" s="24">
        <v>185</v>
      </c>
      <c r="T20" s="24">
        <v>170</v>
      </c>
      <c r="U20" s="24">
        <v>151</v>
      </c>
      <c r="V20" s="24">
        <v>161</v>
      </c>
      <c r="W20" s="24"/>
      <c r="X20" s="24">
        <v>169</v>
      </c>
      <c r="Y20" s="24">
        <v>172</v>
      </c>
      <c r="Z20" s="24">
        <v>172</v>
      </c>
      <c r="AA20" s="24">
        <v>174</v>
      </c>
      <c r="AB20" s="24">
        <v>173</v>
      </c>
      <c r="AC20" s="24">
        <v>174</v>
      </c>
      <c r="AD20" s="24">
        <v>178</v>
      </c>
      <c r="AE20" s="24"/>
      <c r="AF20" s="24"/>
      <c r="AG20" s="24"/>
    </row>
    <row r="21" spans="1:33">
      <c r="A21" s="57">
        <v>36662</v>
      </c>
      <c r="B21" s="23">
        <v>2.9224537037037036E-3</v>
      </c>
      <c r="C21" s="23">
        <v>2.7974537037037035E-3</v>
      </c>
      <c r="D21" s="23">
        <v>2.8344907407407412E-3</v>
      </c>
      <c r="E21" s="23">
        <v>2.7696759259259259E-3</v>
      </c>
      <c r="F21" s="23">
        <v>2.7418981481481478E-3</v>
      </c>
      <c r="G21" s="23">
        <v>2.6168981481481481E-3</v>
      </c>
      <c r="H21" s="23">
        <v>8.3564814814814819E-4</v>
      </c>
      <c r="I21" s="23"/>
      <c r="J21" s="23"/>
      <c r="K21" s="23"/>
      <c r="L21" s="23"/>
      <c r="M21" s="23"/>
      <c r="N21" s="23"/>
      <c r="O21" s="23"/>
      <c r="P21" s="23">
        <f t="shared" si="1"/>
        <v>1.7518518518518517E-2</v>
      </c>
      <c r="Q21" s="24">
        <v>6.35</v>
      </c>
      <c r="R21" s="25">
        <f>$P$21/$Q$21</f>
        <v>2.758821813939924E-3</v>
      </c>
      <c r="S21" s="24">
        <v>192</v>
      </c>
      <c r="T21" s="24">
        <v>174</v>
      </c>
      <c r="U21" s="24">
        <v>155</v>
      </c>
      <c r="V21" s="24">
        <v>171</v>
      </c>
      <c r="W21" s="24">
        <v>173</v>
      </c>
      <c r="X21" s="24">
        <v>177</v>
      </c>
      <c r="Y21" s="24">
        <v>180</v>
      </c>
      <c r="Z21" s="24">
        <v>185</v>
      </c>
      <c r="AA21" s="24"/>
      <c r="AB21" s="24"/>
      <c r="AC21" s="24"/>
      <c r="AD21" s="24"/>
      <c r="AE21" s="24"/>
      <c r="AF21" s="24"/>
      <c r="AG21" s="24"/>
    </row>
    <row r="22" spans="1:33">
      <c r="A22" s="57">
        <v>36665</v>
      </c>
      <c r="B22" s="23">
        <v>2.9837962962962965E-3</v>
      </c>
      <c r="C22" s="23">
        <v>2.9409722222222229E-3</v>
      </c>
      <c r="D22" s="23">
        <v>2.8946759259259255E-3</v>
      </c>
      <c r="E22" s="23">
        <v>2.9861111111111113E-3</v>
      </c>
      <c r="F22" s="23">
        <v>3.0821759259259261E-3</v>
      </c>
      <c r="G22" s="23">
        <v>3.1319444444444441E-3</v>
      </c>
      <c r="H22" s="23">
        <v>3.2361111111111115E-3</v>
      </c>
      <c r="I22" s="23">
        <v>3.1736111111111114E-3</v>
      </c>
      <c r="J22" s="23">
        <v>3.1342592592592598E-3</v>
      </c>
      <c r="K22" s="23">
        <v>2.8206018518518519E-3</v>
      </c>
      <c r="L22" s="23">
        <v>6.8402777777777776E-4</v>
      </c>
      <c r="M22" s="23"/>
      <c r="N22" s="23"/>
      <c r="O22" s="23"/>
      <c r="P22" s="23">
        <f t="shared" si="1"/>
        <v>3.106828703703704E-2</v>
      </c>
      <c r="Q22" s="24">
        <v>10.26</v>
      </c>
      <c r="R22" s="25">
        <f>$P$22/$Q$22</f>
        <v>3.0280981517579963E-3</v>
      </c>
      <c r="S22" s="24">
        <v>188</v>
      </c>
      <c r="T22" s="24">
        <v>173</v>
      </c>
      <c r="U22" s="24">
        <v>154</v>
      </c>
      <c r="V22" s="24">
        <v>168</v>
      </c>
      <c r="W22" s="24">
        <v>173</v>
      </c>
      <c r="X22" s="24">
        <v>174</v>
      </c>
      <c r="Y22" s="24">
        <v>175</v>
      </c>
      <c r="Z22" s="24">
        <v>175</v>
      </c>
      <c r="AA22" s="24">
        <v>174</v>
      </c>
      <c r="AB22" s="24">
        <v>174</v>
      </c>
      <c r="AC22" s="24">
        <v>175</v>
      </c>
      <c r="AD22" s="24">
        <v>181</v>
      </c>
      <c r="AE22" s="24"/>
      <c r="AF22" s="24"/>
      <c r="AG22" s="24"/>
    </row>
    <row r="23" spans="1:33">
      <c r="A23" s="57">
        <v>36668</v>
      </c>
      <c r="B23" s="23">
        <v>2.9861111111111113E-3</v>
      </c>
      <c r="C23" s="23">
        <v>2.9247685185185188E-3</v>
      </c>
      <c r="D23" s="23">
        <v>2.9108796296296296E-3</v>
      </c>
      <c r="E23" s="23">
        <v>2.9490740740740744E-3</v>
      </c>
      <c r="F23" s="23">
        <v>3.0208333333333333E-3</v>
      </c>
      <c r="G23" s="23">
        <v>3.0150462962962965E-3</v>
      </c>
      <c r="H23" s="23">
        <v>3.1296296296296298E-3</v>
      </c>
      <c r="I23" s="23">
        <v>3.0381944444444445E-3</v>
      </c>
      <c r="J23" s="23">
        <v>3.0810185185185181E-3</v>
      </c>
      <c r="K23" s="23">
        <v>2.8194444444444443E-3</v>
      </c>
      <c r="L23" s="23">
        <v>7.0717592592592588E-4</v>
      </c>
      <c r="M23" s="23"/>
      <c r="N23" s="23"/>
      <c r="O23" s="23"/>
      <c r="P23" s="23">
        <f t="shared" si="1"/>
        <v>3.0582175925925929E-2</v>
      </c>
      <c r="Q23" s="24">
        <v>10.26</v>
      </c>
      <c r="R23" s="25">
        <f>$P$23/$Q$23</f>
        <v>2.9807189011623715E-3</v>
      </c>
      <c r="S23" s="24">
        <v>184</v>
      </c>
      <c r="T23" s="24">
        <v>172</v>
      </c>
      <c r="U23" s="24">
        <v>152</v>
      </c>
      <c r="V23" s="24">
        <v>166</v>
      </c>
      <c r="W23" s="24">
        <v>171</v>
      </c>
      <c r="X23" s="24">
        <v>173</v>
      </c>
      <c r="Y23" s="24">
        <v>173</v>
      </c>
      <c r="Z23" s="24">
        <v>175</v>
      </c>
      <c r="AA23" s="24">
        <v>174</v>
      </c>
      <c r="AB23" s="24">
        <v>176</v>
      </c>
      <c r="AC23" s="24">
        <v>177</v>
      </c>
      <c r="AD23" s="24">
        <v>180</v>
      </c>
      <c r="AE23" s="24"/>
      <c r="AF23" s="24"/>
      <c r="AG23" s="24"/>
    </row>
    <row r="24" spans="1:33">
      <c r="A24" s="57">
        <v>36669</v>
      </c>
      <c r="B24" s="23">
        <v>2.9444444444444444E-3</v>
      </c>
      <c r="C24" s="23">
        <v>2.8796296296296296E-3</v>
      </c>
      <c r="D24" s="23">
        <v>2.8599537037037035E-3</v>
      </c>
      <c r="E24" s="23">
        <v>2.8206018518518519E-3</v>
      </c>
      <c r="F24" s="23">
        <v>2.9282407407407412E-3</v>
      </c>
      <c r="G24" s="23">
        <v>2.8611111111111111E-3</v>
      </c>
      <c r="H24" s="23">
        <v>2.9293981481481484E-3</v>
      </c>
      <c r="I24" s="23">
        <v>2.8923611111111112E-3</v>
      </c>
      <c r="J24" s="23">
        <v>2.9224537037037036E-3</v>
      </c>
      <c r="K24" s="23">
        <v>2.6793981481481482E-3</v>
      </c>
      <c r="L24" s="23">
        <v>6.4236111111111113E-4</v>
      </c>
      <c r="M24" s="23"/>
      <c r="N24" s="23"/>
      <c r="O24" s="23"/>
      <c r="P24" s="23">
        <f t="shared" si="1"/>
        <v>2.9359953703703708E-2</v>
      </c>
      <c r="Q24" s="24">
        <v>10.26</v>
      </c>
      <c r="R24" s="25">
        <f>$P$24/$Q$24</f>
        <v>2.8615939282362287E-3</v>
      </c>
      <c r="S24" s="24">
        <v>190</v>
      </c>
      <c r="T24" s="24">
        <v>174</v>
      </c>
      <c r="U24" s="24">
        <v>154</v>
      </c>
      <c r="V24" s="24">
        <v>166</v>
      </c>
      <c r="W24" s="24">
        <v>171</v>
      </c>
      <c r="X24" s="24">
        <v>174</v>
      </c>
      <c r="Y24" s="24">
        <v>175</v>
      </c>
      <c r="Z24" s="24">
        <v>177</v>
      </c>
      <c r="AA24" s="24">
        <v>179</v>
      </c>
      <c r="AB24" s="24">
        <v>180</v>
      </c>
      <c r="AC24" s="24">
        <v>181</v>
      </c>
      <c r="AD24" s="24">
        <v>185</v>
      </c>
      <c r="AE24" s="24"/>
      <c r="AF24" s="24"/>
      <c r="AG24" s="24"/>
    </row>
    <row r="25" spans="1:33">
      <c r="A25" s="57">
        <v>36671</v>
      </c>
      <c r="B25" s="23">
        <v>3.0115740740740745E-3</v>
      </c>
      <c r="C25" s="23">
        <v>2.9710648148148148E-3</v>
      </c>
      <c r="D25" s="23">
        <v>2.9155092592592596E-3</v>
      </c>
      <c r="E25" s="23">
        <v>2.972222222222222E-3</v>
      </c>
      <c r="F25" s="23">
        <v>2.9965277777777781E-3</v>
      </c>
      <c r="G25" s="23">
        <v>2.9872685185185189E-3</v>
      </c>
      <c r="H25" s="23">
        <v>3.0081018518518521E-3</v>
      </c>
      <c r="I25" s="23">
        <v>3.0023148148148149E-3</v>
      </c>
      <c r="J25" s="23">
        <v>2.991898148148148E-3</v>
      </c>
      <c r="K25" s="23">
        <v>2.6874999999999998E-3</v>
      </c>
      <c r="L25" s="23">
        <v>6.134259259259259E-4</v>
      </c>
      <c r="M25" s="23"/>
      <c r="N25" s="23"/>
      <c r="O25" s="23"/>
      <c r="P25" s="23">
        <f t="shared" si="1"/>
        <v>3.0157407407407407E-2</v>
      </c>
      <c r="Q25" s="24">
        <v>10.26</v>
      </c>
      <c r="R25" s="25">
        <f t="shared" ref="R25:R53" si="2">P25/Q25</f>
        <v>2.9393184607609561E-3</v>
      </c>
      <c r="S25" s="24">
        <v>192</v>
      </c>
      <c r="T25" s="24">
        <v>170</v>
      </c>
      <c r="U25" s="24">
        <v>146</v>
      </c>
      <c r="V25" s="24">
        <v>164</v>
      </c>
      <c r="W25" s="24">
        <v>169</v>
      </c>
      <c r="X25" s="24">
        <v>170</v>
      </c>
      <c r="Y25" s="24">
        <v>171</v>
      </c>
      <c r="Z25" s="24">
        <v>173</v>
      </c>
      <c r="AA25" s="24">
        <v>174</v>
      </c>
      <c r="AB25" s="24">
        <v>176</v>
      </c>
      <c r="AC25" s="24">
        <v>176</v>
      </c>
      <c r="AD25" s="24">
        <v>181</v>
      </c>
      <c r="AE25" s="24"/>
      <c r="AF25" s="24"/>
      <c r="AG25" s="24"/>
    </row>
    <row r="26" spans="1:33">
      <c r="A26" s="57">
        <v>36675</v>
      </c>
      <c r="B26" s="23">
        <v>2.700231481481481E-3</v>
      </c>
      <c r="C26" s="23">
        <v>3.1863425925925926E-3</v>
      </c>
      <c r="D26" s="23">
        <v>2.4733796296296296E-3</v>
      </c>
      <c r="E26" s="23">
        <v>3.7037037037037034E-3</v>
      </c>
      <c r="F26" s="23">
        <v>2.8043981481481479E-3</v>
      </c>
      <c r="G26" s="23">
        <v>3.4085648148148144E-3</v>
      </c>
      <c r="H26" s="23">
        <v>2.6631944444444442E-3</v>
      </c>
      <c r="I26" s="23">
        <v>3.2986111111111111E-3</v>
      </c>
      <c r="J26" s="23">
        <v>3.3819444444444444E-3</v>
      </c>
      <c r="K26" s="23">
        <v>2.6550925925925926E-3</v>
      </c>
      <c r="L26" s="23">
        <v>6.4699074074074073E-4</v>
      </c>
      <c r="M26" s="23"/>
      <c r="N26" s="23"/>
      <c r="O26" s="23"/>
      <c r="P26" s="23">
        <f t="shared" si="1"/>
        <v>3.0922453703703702E-2</v>
      </c>
      <c r="Q26" s="24">
        <v>10.26</v>
      </c>
      <c r="R26" s="25">
        <f t="shared" si="2"/>
        <v>3.0138843765793082E-3</v>
      </c>
      <c r="S26" s="24">
        <v>182</v>
      </c>
      <c r="T26" s="24">
        <v>165</v>
      </c>
      <c r="U26" s="24">
        <v>154</v>
      </c>
      <c r="V26" s="24">
        <v>161</v>
      </c>
      <c r="W26" s="24">
        <v>174</v>
      </c>
      <c r="X26" s="24">
        <v>159</v>
      </c>
      <c r="Y26" s="24">
        <v>169</v>
      </c>
      <c r="Z26" s="24">
        <v>165</v>
      </c>
      <c r="AA26" s="24">
        <v>173</v>
      </c>
      <c r="AB26" s="24">
        <v>168</v>
      </c>
      <c r="AC26" s="24">
        <v>161</v>
      </c>
      <c r="AD26" s="24">
        <v>171</v>
      </c>
      <c r="AE26" s="24"/>
      <c r="AF26" s="24"/>
      <c r="AG26" s="24"/>
    </row>
    <row r="27" spans="1:33">
      <c r="A27" s="57">
        <v>36677</v>
      </c>
      <c r="B27" s="23">
        <v>2.9560185185185188E-3</v>
      </c>
      <c r="C27" s="23">
        <v>2.8923611111111112E-3</v>
      </c>
      <c r="D27" s="23">
        <v>2.8657407407407412E-3</v>
      </c>
      <c r="E27" s="23">
        <v>2.8622685185185188E-3</v>
      </c>
      <c r="F27" s="23">
        <v>2.8784722222222219E-3</v>
      </c>
      <c r="G27" s="23">
        <v>2.9421296296296296E-3</v>
      </c>
      <c r="H27" s="23">
        <v>2.9062499999999995E-3</v>
      </c>
      <c r="I27" s="23">
        <v>2.9259259259259256E-3</v>
      </c>
      <c r="J27" s="23">
        <v>2.9641203703703704E-3</v>
      </c>
      <c r="K27" s="23">
        <v>2.5567129629629629E-3</v>
      </c>
      <c r="L27" s="23">
        <v>5.5092592592592595E-4</v>
      </c>
      <c r="M27" s="23"/>
      <c r="N27" s="23"/>
      <c r="O27" s="23"/>
      <c r="P27" s="23">
        <f t="shared" si="1"/>
        <v>2.9300925925925925E-2</v>
      </c>
      <c r="Q27" s="24">
        <v>10.26</v>
      </c>
      <c r="R27" s="25">
        <f t="shared" si="2"/>
        <v>2.8558407335210452E-3</v>
      </c>
      <c r="S27" s="24">
        <v>196</v>
      </c>
      <c r="T27" s="24">
        <v>172</v>
      </c>
      <c r="U27" s="24">
        <v>155</v>
      </c>
      <c r="V27" s="24">
        <v>165</v>
      </c>
      <c r="W27" s="24">
        <v>169</v>
      </c>
      <c r="X27" s="24">
        <v>173</v>
      </c>
      <c r="Y27" s="24">
        <v>174</v>
      </c>
      <c r="Z27" s="24">
        <v>174</v>
      </c>
      <c r="AA27" s="24">
        <v>174</v>
      </c>
      <c r="AB27" s="24">
        <v>175</v>
      </c>
      <c r="AC27" s="24">
        <v>176</v>
      </c>
      <c r="AD27" s="24">
        <v>183</v>
      </c>
      <c r="AE27" s="24"/>
      <c r="AF27" s="24"/>
      <c r="AG27" s="24"/>
    </row>
    <row r="28" spans="1:33">
      <c r="A28" s="57">
        <v>36681</v>
      </c>
      <c r="B28" s="23">
        <v>2.96875E-3</v>
      </c>
      <c r="C28" s="23">
        <v>2.9849537037037032E-3</v>
      </c>
      <c r="D28" s="23">
        <v>2.9201388888888888E-3</v>
      </c>
      <c r="E28" s="23">
        <v>2.9479166666666668E-3</v>
      </c>
      <c r="F28" s="23">
        <v>2.9953703703703705E-3</v>
      </c>
      <c r="G28" s="23">
        <v>3.0000000000000005E-3</v>
      </c>
      <c r="H28" s="23">
        <v>3.0590277777777781E-3</v>
      </c>
      <c r="I28" s="23">
        <v>3.0497685185185181E-3</v>
      </c>
      <c r="J28" s="23">
        <v>3.0671296296296297E-3</v>
      </c>
      <c r="K28" s="23">
        <v>2.6481481481481482E-3</v>
      </c>
      <c r="L28" s="23">
        <v>6.9212962962962967E-4</v>
      </c>
      <c r="M28" s="23"/>
      <c r="N28" s="23"/>
      <c r="O28" s="23"/>
      <c r="P28" s="23">
        <f t="shared" si="1"/>
        <v>3.0333333333333334E-2</v>
      </c>
      <c r="Q28" s="24">
        <v>10.26</v>
      </c>
      <c r="R28" s="25">
        <f t="shared" si="2"/>
        <v>2.9564652371669915E-3</v>
      </c>
      <c r="S28" s="24">
        <v>187</v>
      </c>
      <c r="T28" s="24">
        <v>171</v>
      </c>
      <c r="U28" s="24">
        <v>152</v>
      </c>
      <c r="V28" s="24">
        <v>163</v>
      </c>
      <c r="W28" s="24">
        <v>168</v>
      </c>
      <c r="X28" s="24">
        <v>171</v>
      </c>
      <c r="Y28" s="24">
        <v>172</v>
      </c>
      <c r="Z28" s="24">
        <v>175</v>
      </c>
      <c r="AA28" s="24">
        <v>176</v>
      </c>
      <c r="AB28" s="24">
        <v>176</v>
      </c>
      <c r="AC28" s="24">
        <v>176</v>
      </c>
      <c r="AD28" s="24">
        <v>182</v>
      </c>
      <c r="AE28" s="24"/>
      <c r="AF28" s="24"/>
      <c r="AG28" s="24"/>
    </row>
    <row r="29" spans="1:33">
      <c r="A29" s="57">
        <v>36731</v>
      </c>
      <c r="B29" s="23">
        <v>3.0532407407407405E-3</v>
      </c>
      <c r="C29" s="23">
        <v>3.0486111111111109E-3</v>
      </c>
      <c r="D29" s="23">
        <v>3.2685185185185191E-3</v>
      </c>
      <c r="E29" s="23">
        <v>3.7534722222222223E-3</v>
      </c>
      <c r="F29" s="23">
        <v>3.4907407407407404E-3</v>
      </c>
      <c r="G29" s="23">
        <v>3.0925925925925925E-3</v>
      </c>
      <c r="H29" s="23">
        <v>9.2129629629629636E-4</v>
      </c>
      <c r="I29" s="23"/>
      <c r="J29" s="23"/>
      <c r="K29" s="23"/>
      <c r="L29" s="23"/>
      <c r="M29" s="23"/>
      <c r="N29" s="23"/>
      <c r="O29" s="23"/>
      <c r="P29" s="23">
        <f t="shared" si="1"/>
        <v>2.0628472222222222E-2</v>
      </c>
      <c r="Q29" s="24">
        <v>6.35</v>
      </c>
      <c r="R29" s="25">
        <f t="shared" si="2"/>
        <v>3.2485783027121611E-3</v>
      </c>
      <c r="S29" s="24">
        <v>200</v>
      </c>
      <c r="T29" s="24">
        <v>177</v>
      </c>
      <c r="U29" s="24">
        <v>156</v>
      </c>
      <c r="V29" s="24">
        <v>173</v>
      </c>
      <c r="W29" s="24">
        <v>179</v>
      </c>
      <c r="X29" s="24">
        <v>177</v>
      </c>
      <c r="Y29" s="24">
        <v>182</v>
      </c>
      <c r="Z29" s="24">
        <v>191</v>
      </c>
      <c r="AA29" s="24"/>
      <c r="AB29" s="24"/>
      <c r="AC29" s="24"/>
      <c r="AD29" s="24"/>
      <c r="AE29" s="24"/>
      <c r="AF29" s="24"/>
      <c r="AG29" s="24"/>
    </row>
    <row r="30" spans="1:33">
      <c r="A30" s="57">
        <v>36733</v>
      </c>
      <c r="B30" s="23">
        <v>3.0844907407407405E-3</v>
      </c>
      <c r="C30" s="23">
        <v>3.0891203703703705E-3</v>
      </c>
      <c r="D30" s="23">
        <v>3.3252314814814811E-3</v>
      </c>
      <c r="E30" s="23">
        <v>3.3738425925925928E-3</v>
      </c>
      <c r="F30" s="23">
        <v>3.3969907407407408E-3</v>
      </c>
      <c r="G30" s="23">
        <v>3.4293981481481484E-3</v>
      </c>
      <c r="H30" s="23">
        <v>1.0277777777777778E-3</v>
      </c>
      <c r="I30" s="23"/>
      <c r="J30" s="23"/>
      <c r="K30" s="23"/>
      <c r="L30" s="23"/>
      <c r="M30" s="23"/>
      <c r="N30" s="23"/>
      <c r="O30" s="23"/>
      <c r="P30" s="23">
        <f t="shared" si="1"/>
        <v>2.0726851851851854E-2</v>
      </c>
      <c r="Q30" s="24">
        <v>6.35</v>
      </c>
      <c r="R30" s="25">
        <f t="shared" si="2"/>
        <v>3.2640711577719456E-3</v>
      </c>
      <c r="S30" s="24">
        <v>182</v>
      </c>
      <c r="T30" s="24">
        <v>172</v>
      </c>
      <c r="U30" s="24">
        <v>156</v>
      </c>
      <c r="V30" s="24">
        <v>171</v>
      </c>
      <c r="W30" s="24">
        <v>174</v>
      </c>
      <c r="X30" s="24">
        <v>174</v>
      </c>
      <c r="Y30" s="24">
        <v>175</v>
      </c>
      <c r="Z30" s="24">
        <v>174</v>
      </c>
      <c r="AA30" s="24"/>
      <c r="AB30" s="24"/>
      <c r="AC30" s="24"/>
      <c r="AD30" s="24"/>
      <c r="AE30" s="24"/>
      <c r="AF30" s="24"/>
      <c r="AG30" s="24"/>
    </row>
    <row r="31" spans="1:33">
      <c r="A31" s="57">
        <v>36738</v>
      </c>
      <c r="B31" s="23">
        <v>3.1041666666666665E-3</v>
      </c>
      <c r="C31" s="23">
        <v>3.0381944444444445E-3</v>
      </c>
      <c r="D31" s="23">
        <v>3.0995370370370365E-3</v>
      </c>
      <c r="E31" s="23">
        <v>3.1250000000000002E-3</v>
      </c>
      <c r="F31" s="23">
        <v>3.228009259259259E-3</v>
      </c>
      <c r="G31" s="23">
        <v>2.9814814814814812E-3</v>
      </c>
      <c r="H31" s="23">
        <v>1.0231481481481482E-3</v>
      </c>
      <c r="I31" s="23"/>
      <c r="J31" s="23"/>
      <c r="K31" s="23"/>
      <c r="L31" s="23"/>
      <c r="M31" s="23"/>
      <c r="N31" s="23"/>
      <c r="O31" s="23"/>
      <c r="P31" s="23">
        <f t="shared" si="1"/>
        <v>1.9599537037037037E-2</v>
      </c>
      <c r="Q31" s="24">
        <v>6.35</v>
      </c>
      <c r="R31" s="25">
        <f t="shared" si="2"/>
        <v>3.0865412656751242E-3</v>
      </c>
      <c r="S31" s="24">
        <v>187</v>
      </c>
      <c r="T31" s="24">
        <v>173</v>
      </c>
      <c r="U31" s="24">
        <v>155</v>
      </c>
      <c r="V31" s="24">
        <v>169</v>
      </c>
      <c r="W31" s="24">
        <v>174</v>
      </c>
      <c r="X31" s="24">
        <v>176</v>
      </c>
      <c r="Y31" s="24">
        <v>177</v>
      </c>
      <c r="Z31" s="24">
        <v>183</v>
      </c>
      <c r="AA31" s="24"/>
      <c r="AB31" s="24"/>
      <c r="AC31" s="24"/>
      <c r="AD31" s="24"/>
      <c r="AE31" s="24"/>
      <c r="AF31" s="24"/>
      <c r="AG31" s="24"/>
    </row>
    <row r="32" spans="1:33">
      <c r="A32" s="57">
        <v>36741</v>
      </c>
      <c r="B32" s="23">
        <v>3.0671296296296297E-3</v>
      </c>
      <c r="C32" s="23">
        <v>2.9629629629629628E-3</v>
      </c>
      <c r="D32" s="23">
        <v>3.1377314814814814E-3</v>
      </c>
      <c r="E32" s="23">
        <v>3.2939814814814815E-3</v>
      </c>
      <c r="F32" s="23">
        <v>3.3483796296296295E-3</v>
      </c>
      <c r="G32" s="23">
        <v>3.0995370370370365E-3</v>
      </c>
      <c r="H32" s="23">
        <v>1.0416666666666667E-3</v>
      </c>
      <c r="I32" s="23"/>
      <c r="J32" s="23"/>
      <c r="K32" s="23"/>
      <c r="L32" s="23"/>
      <c r="M32" s="23"/>
      <c r="N32" s="23"/>
      <c r="O32" s="23"/>
      <c r="P32" s="23">
        <f t="shared" si="1"/>
        <v>1.9951388888888887E-2</v>
      </c>
      <c r="Q32" s="24">
        <v>6.35</v>
      </c>
      <c r="R32" s="25">
        <f t="shared" si="2"/>
        <v>3.1419510061242344E-3</v>
      </c>
      <c r="S32" s="24">
        <v>191</v>
      </c>
      <c r="T32" s="24">
        <v>175</v>
      </c>
      <c r="U32" s="24">
        <v>154</v>
      </c>
      <c r="V32" s="24">
        <v>173</v>
      </c>
      <c r="W32" s="24">
        <v>176</v>
      </c>
      <c r="X32" s="24">
        <v>177</v>
      </c>
      <c r="Y32" s="24">
        <v>178</v>
      </c>
      <c r="Z32" s="24">
        <v>185</v>
      </c>
      <c r="AA32" s="24"/>
      <c r="AB32" s="24"/>
      <c r="AC32" s="24"/>
      <c r="AD32" s="24"/>
      <c r="AE32" s="24"/>
      <c r="AF32" s="24"/>
      <c r="AG32" s="24"/>
    </row>
    <row r="33" spans="1:33">
      <c r="A33" s="57">
        <v>36753</v>
      </c>
      <c r="B33" s="23">
        <v>3.0081018518518521E-3</v>
      </c>
      <c r="C33" s="23">
        <v>2.9988425925925929E-3</v>
      </c>
      <c r="D33" s="23">
        <v>3.0231481481481481E-3</v>
      </c>
      <c r="E33" s="23">
        <v>3.0451388888888889E-3</v>
      </c>
      <c r="F33" s="23">
        <v>3.201388888888889E-3</v>
      </c>
      <c r="G33" s="23">
        <v>2.9039351851851852E-3</v>
      </c>
      <c r="H33" s="23">
        <v>9.3634259259259267E-4</v>
      </c>
      <c r="I33" s="23"/>
      <c r="J33" s="23"/>
      <c r="K33" s="23"/>
      <c r="L33" s="23"/>
      <c r="M33" s="23"/>
      <c r="N33" s="23"/>
      <c r="O33" s="23"/>
      <c r="P33" s="23">
        <f t="shared" si="1"/>
        <v>1.911689814814815E-2</v>
      </c>
      <c r="Q33" s="24">
        <v>6.35</v>
      </c>
      <c r="R33" s="25">
        <f t="shared" si="2"/>
        <v>3.0105351414406538E-3</v>
      </c>
      <c r="S33" s="24">
        <v>192</v>
      </c>
      <c r="T33" s="24">
        <v>171</v>
      </c>
      <c r="U33" s="24">
        <v>149</v>
      </c>
      <c r="V33" s="24">
        <v>165</v>
      </c>
      <c r="W33" s="24">
        <v>171</v>
      </c>
      <c r="X33" s="24">
        <v>175</v>
      </c>
      <c r="Y33" s="24">
        <v>176</v>
      </c>
      <c r="Z33" s="24">
        <v>183</v>
      </c>
      <c r="AA33" s="24"/>
      <c r="AB33" s="24"/>
      <c r="AC33" s="24"/>
      <c r="AD33" s="24"/>
      <c r="AE33" s="24"/>
      <c r="AF33" s="24"/>
      <c r="AG33" s="24"/>
    </row>
    <row r="34" spans="1:33">
      <c r="A34" s="57">
        <v>36763</v>
      </c>
      <c r="B34" s="23">
        <v>3.0416666666666665E-3</v>
      </c>
      <c r="C34" s="23">
        <v>3.0972222222222221E-3</v>
      </c>
      <c r="D34" s="23">
        <v>3.3414351851851851E-3</v>
      </c>
      <c r="E34" s="23">
        <v>3.2511574074074075E-3</v>
      </c>
      <c r="F34" s="23">
        <v>3.3078703703703707E-3</v>
      </c>
      <c r="G34" s="23">
        <v>3.1250000000000002E-3</v>
      </c>
      <c r="H34" s="23">
        <v>1.005787037037037E-3</v>
      </c>
      <c r="I34" s="23"/>
      <c r="J34" s="23"/>
      <c r="K34" s="23"/>
      <c r="L34" s="23"/>
      <c r="M34" s="23"/>
      <c r="N34" s="23"/>
      <c r="O34" s="23"/>
      <c r="P34" s="23">
        <f t="shared" si="1"/>
        <v>2.017013888888889E-2</v>
      </c>
      <c r="Q34" s="24">
        <v>6.35</v>
      </c>
      <c r="R34" s="25">
        <f t="shared" si="2"/>
        <v>3.1763998250218728E-3</v>
      </c>
      <c r="S34" s="24">
        <v>196</v>
      </c>
      <c r="T34" s="24">
        <v>178</v>
      </c>
      <c r="U34" s="24">
        <v>156</v>
      </c>
      <c r="V34" s="24">
        <v>175</v>
      </c>
      <c r="W34" s="24">
        <v>177</v>
      </c>
      <c r="X34" s="24">
        <v>182</v>
      </c>
      <c r="Y34" s="24">
        <v>182</v>
      </c>
      <c r="Z34" s="24">
        <v>190</v>
      </c>
      <c r="AA34" s="24"/>
      <c r="AB34" s="24"/>
      <c r="AC34" s="24"/>
      <c r="AD34" s="24"/>
      <c r="AE34" s="24"/>
      <c r="AF34" s="24"/>
      <c r="AG34" s="24"/>
    </row>
    <row r="35" spans="1:33">
      <c r="A35" s="57">
        <v>36767</v>
      </c>
      <c r="B35" s="23">
        <v>3.0057870370370373E-3</v>
      </c>
      <c r="C35" s="23">
        <v>2.9328703703703704E-3</v>
      </c>
      <c r="D35" s="23">
        <v>3.0868055555555557E-3</v>
      </c>
      <c r="E35" s="23">
        <v>3.3159722222222223E-3</v>
      </c>
      <c r="F35" s="23">
        <v>3.0636574074074077E-3</v>
      </c>
      <c r="G35" s="23">
        <v>2.8240740740740739E-3</v>
      </c>
      <c r="H35" s="23">
        <v>9.1666666666666676E-4</v>
      </c>
      <c r="I35" s="23"/>
      <c r="J35" s="23"/>
      <c r="K35" s="23"/>
      <c r="L35" s="23"/>
      <c r="M35" s="23"/>
      <c r="N35" s="23"/>
      <c r="O35" s="23"/>
      <c r="P35" s="23">
        <f t="shared" si="1"/>
        <v>1.9145833333333334E-2</v>
      </c>
      <c r="Q35" s="24">
        <v>6.35</v>
      </c>
      <c r="R35" s="25">
        <f t="shared" si="2"/>
        <v>3.0150918635170605E-3</v>
      </c>
      <c r="S35" s="24">
        <v>195</v>
      </c>
      <c r="T35" s="24">
        <v>175</v>
      </c>
      <c r="U35" s="24">
        <v>155</v>
      </c>
      <c r="V35" s="24">
        <v>173</v>
      </c>
      <c r="W35" s="24">
        <v>175</v>
      </c>
      <c r="X35" s="24">
        <v>176</v>
      </c>
      <c r="Y35" s="24">
        <v>178</v>
      </c>
      <c r="Z35" s="24">
        <v>187</v>
      </c>
      <c r="AA35" s="24"/>
      <c r="AB35" s="24"/>
      <c r="AC35" s="24"/>
      <c r="AD35" s="24"/>
      <c r="AE35" s="24"/>
      <c r="AF35" s="24"/>
      <c r="AG35" s="24"/>
    </row>
    <row r="36" spans="1:33">
      <c r="A36" s="57">
        <v>36774</v>
      </c>
      <c r="B36" s="23">
        <v>3.0081018518518521E-3</v>
      </c>
      <c r="C36" s="23">
        <v>2.9351851851851852E-3</v>
      </c>
      <c r="D36" s="23">
        <v>2.9444444444444444E-3</v>
      </c>
      <c r="E36" s="23">
        <v>2.9814814814814812E-3</v>
      </c>
      <c r="F36" s="23">
        <v>3.0150462962962965E-3</v>
      </c>
      <c r="G36" s="23">
        <v>2.8124999999999999E-3</v>
      </c>
      <c r="H36" s="23">
        <v>8.8657407407407402E-4</v>
      </c>
      <c r="I36" s="23"/>
      <c r="J36" s="23"/>
      <c r="K36" s="23"/>
      <c r="L36" s="23"/>
      <c r="M36" s="23"/>
      <c r="N36" s="23"/>
      <c r="O36" s="23"/>
      <c r="P36" s="23">
        <f t="shared" si="1"/>
        <v>1.8583333333333334E-2</v>
      </c>
      <c r="Q36" s="24">
        <v>6.35</v>
      </c>
      <c r="R36" s="25">
        <f t="shared" si="2"/>
        <v>2.9265091863517061E-3</v>
      </c>
      <c r="S36" s="24">
        <v>193</v>
      </c>
      <c r="T36" s="24">
        <v>171</v>
      </c>
      <c r="U36" s="24">
        <v>149</v>
      </c>
      <c r="V36" s="24">
        <v>168</v>
      </c>
      <c r="W36" s="24">
        <v>172</v>
      </c>
      <c r="X36" s="24">
        <v>176</v>
      </c>
      <c r="Y36" s="24">
        <v>176</v>
      </c>
      <c r="Z36" s="24">
        <v>181</v>
      </c>
      <c r="AA36" s="24"/>
      <c r="AB36" s="24"/>
      <c r="AC36" s="24"/>
      <c r="AD36" s="24"/>
      <c r="AE36" s="24"/>
      <c r="AF36" s="24"/>
      <c r="AG36" s="24"/>
    </row>
    <row r="37" spans="1:33">
      <c r="A37" s="57">
        <v>36777</v>
      </c>
      <c r="B37" s="23">
        <v>2.8530092592592596E-3</v>
      </c>
      <c r="C37" s="23">
        <v>2.7986111111111111E-3</v>
      </c>
      <c r="D37" s="23">
        <v>2.9467592592592588E-3</v>
      </c>
      <c r="E37" s="23">
        <v>3.0682870370370365E-3</v>
      </c>
      <c r="F37" s="23">
        <v>2.991898148148148E-3</v>
      </c>
      <c r="G37" s="23">
        <v>2.8564814814814811E-3</v>
      </c>
      <c r="H37" s="23">
        <v>9.1087962962962954E-4</v>
      </c>
      <c r="I37" s="23"/>
      <c r="J37" s="23"/>
      <c r="K37" s="23"/>
      <c r="L37" s="23"/>
      <c r="M37" s="23"/>
      <c r="N37" s="23"/>
      <c r="O37" s="23"/>
      <c r="P37" s="23">
        <f t="shared" si="1"/>
        <v>1.8425925925925925E-2</v>
      </c>
      <c r="Q37" s="24">
        <v>6.35</v>
      </c>
      <c r="R37" s="25">
        <f t="shared" si="2"/>
        <v>2.9017206182560514E-3</v>
      </c>
      <c r="S37" s="24">
        <v>196</v>
      </c>
      <c r="T37" s="24">
        <v>178</v>
      </c>
      <c r="U37" s="24">
        <v>151</v>
      </c>
      <c r="V37" s="24">
        <v>175</v>
      </c>
      <c r="W37" s="24">
        <v>179</v>
      </c>
      <c r="X37" s="24">
        <v>180</v>
      </c>
      <c r="Y37" s="24">
        <v>184</v>
      </c>
      <c r="Z37" s="24">
        <v>190</v>
      </c>
      <c r="AA37" s="24"/>
      <c r="AB37" s="24"/>
      <c r="AC37" s="24"/>
      <c r="AD37" s="24"/>
      <c r="AE37" s="24"/>
      <c r="AF37" s="24"/>
      <c r="AG37" s="24"/>
    </row>
    <row r="38" spans="1:33">
      <c r="A38" s="57">
        <v>36780</v>
      </c>
      <c r="B38" s="23">
        <v>2.9317129629629628E-3</v>
      </c>
      <c r="C38" s="23">
        <v>2.8425925925925927E-3</v>
      </c>
      <c r="D38" s="23">
        <v>2.8842592592592596E-3</v>
      </c>
      <c r="E38" s="23">
        <v>3.0196759259259261E-3</v>
      </c>
      <c r="F38" s="23">
        <v>2.9259259259259256E-3</v>
      </c>
      <c r="G38" s="23">
        <v>2.7974537037037035E-3</v>
      </c>
      <c r="H38" s="23">
        <v>8.9467592592592593E-4</v>
      </c>
      <c r="I38" s="23"/>
      <c r="J38" s="23"/>
      <c r="K38" s="23"/>
      <c r="L38" s="23"/>
      <c r="M38" s="23"/>
      <c r="N38" s="23"/>
      <c r="O38" s="23"/>
      <c r="P38" s="23">
        <f t="shared" si="1"/>
        <v>1.8296296296296297E-2</v>
      </c>
      <c r="Q38" s="24">
        <v>6.35</v>
      </c>
      <c r="R38" s="25">
        <f t="shared" si="2"/>
        <v>2.8813065033537477E-3</v>
      </c>
      <c r="S38" s="24">
        <v>191</v>
      </c>
      <c r="T38" s="24">
        <v>174</v>
      </c>
      <c r="U38" s="24">
        <v>149</v>
      </c>
      <c r="V38" s="24">
        <v>171</v>
      </c>
      <c r="W38" s="24">
        <v>176</v>
      </c>
      <c r="X38" s="24">
        <v>177</v>
      </c>
      <c r="Y38" s="24">
        <v>181</v>
      </c>
      <c r="Z38" s="24">
        <v>184</v>
      </c>
      <c r="AA38" s="24"/>
      <c r="AB38" s="24"/>
      <c r="AC38" s="24"/>
      <c r="AD38" s="24"/>
      <c r="AE38" s="24"/>
      <c r="AF38" s="24"/>
      <c r="AG38" s="24"/>
    </row>
    <row r="39" spans="1:33">
      <c r="A39" s="57">
        <v>36783</v>
      </c>
      <c r="B39" s="23">
        <v>2.8182870370370371E-3</v>
      </c>
      <c r="C39" s="23">
        <v>2.7893518518518519E-3</v>
      </c>
      <c r="D39" s="23">
        <v>2.8460648148148152E-3</v>
      </c>
      <c r="E39" s="23">
        <v>2.8124999999999999E-3</v>
      </c>
      <c r="F39" s="23">
        <v>2.8796296296296296E-3</v>
      </c>
      <c r="G39" s="23">
        <v>2.7951388888888891E-3</v>
      </c>
      <c r="H39" s="23">
        <v>8.8425925925925922E-4</v>
      </c>
      <c r="I39" s="23"/>
      <c r="J39" s="23"/>
      <c r="K39" s="23"/>
      <c r="L39" s="23"/>
      <c r="M39" s="23"/>
      <c r="N39" s="23"/>
      <c r="O39" s="23"/>
      <c r="P39" s="23">
        <f t="shared" si="1"/>
        <v>1.7825231481481484E-2</v>
      </c>
      <c r="Q39" s="24">
        <v>6.35</v>
      </c>
      <c r="R39" s="25">
        <f t="shared" si="2"/>
        <v>2.8071230679498401E-3</v>
      </c>
      <c r="S39" s="24">
        <v>195</v>
      </c>
      <c r="T39" s="24">
        <v>176</v>
      </c>
      <c r="U39" s="24">
        <v>153</v>
      </c>
      <c r="V39" s="24">
        <v>172</v>
      </c>
      <c r="W39" s="24">
        <v>176</v>
      </c>
      <c r="X39" s="24">
        <v>181</v>
      </c>
      <c r="Y39" s="24">
        <v>183</v>
      </c>
      <c r="Z39" s="24">
        <v>187</v>
      </c>
      <c r="AA39" s="24"/>
      <c r="AB39" s="24"/>
      <c r="AC39" s="24"/>
      <c r="AD39" s="24"/>
      <c r="AE39" s="24"/>
      <c r="AF39" s="24"/>
      <c r="AG39" s="24"/>
    </row>
    <row r="40" spans="1:33">
      <c r="A40" s="57">
        <v>36785</v>
      </c>
      <c r="B40" s="23">
        <v>2.7604166666666667E-3</v>
      </c>
      <c r="C40" s="23">
        <v>2.7928240740740739E-3</v>
      </c>
      <c r="D40" s="23">
        <v>2.9456018518518516E-3</v>
      </c>
      <c r="E40" s="23">
        <v>2.8969907407407412E-3</v>
      </c>
      <c r="F40" s="23">
        <v>2.9039351851851852E-3</v>
      </c>
      <c r="G40" s="23">
        <v>2.8182870370370371E-3</v>
      </c>
      <c r="H40" s="23">
        <v>9.0972222222222225E-4</v>
      </c>
      <c r="I40" s="23"/>
      <c r="J40" s="23"/>
      <c r="K40" s="23"/>
      <c r="L40" s="23"/>
      <c r="M40" s="23"/>
      <c r="N40" s="23"/>
      <c r="O40" s="23"/>
      <c r="P40" s="23">
        <f t="shared" si="1"/>
        <v>1.8027777777777778E-2</v>
      </c>
      <c r="Q40" s="24">
        <v>6.35</v>
      </c>
      <c r="R40" s="25">
        <f t="shared" si="2"/>
        <v>2.8390201224846898E-3</v>
      </c>
      <c r="S40" s="24">
        <v>194</v>
      </c>
      <c r="T40" s="24">
        <v>179</v>
      </c>
      <c r="U40" s="24">
        <v>161</v>
      </c>
      <c r="V40" s="24">
        <v>177</v>
      </c>
      <c r="W40" s="24">
        <v>179</v>
      </c>
      <c r="X40" s="24">
        <v>182</v>
      </c>
      <c r="Y40" s="24">
        <v>185</v>
      </c>
      <c r="Z40" s="24">
        <v>188</v>
      </c>
      <c r="AA40" s="24"/>
      <c r="AB40" s="24"/>
      <c r="AC40" s="24"/>
      <c r="AD40" s="24"/>
      <c r="AE40" s="24"/>
      <c r="AF40" s="24"/>
      <c r="AG40" s="24"/>
    </row>
    <row r="41" spans="1:33">
      <c r="A41" s="57">
        <v>36787</v>
      </c>
      <c r="B41" s="23">
        <v>2.9699074074074072E-3</v>
      </c>
      <c r="C41" s="23">
        <v>2.7847222222222219E-3</v>
      </c>
      <c r="D41" s="23">
        <v>2.8194444444444443E-3</v>
      </c>
      <c r="E41" s="23">
        <v>2.9016203703703704E-3</v>
      </c>
      <c r="F41" s="23">
        <v>2.9016203703703704E-3</v>
      </c>
      <c r="G41" s="23">
        <v>2.8402777777777779E-3</v>
      </c>
      <c r="H41" s="23">
        <v>8.1712962962962978E-4</v>
      </c>
      <c r="I41" s="23"/>
      <c r="J41" s="23"/>
      <c r="K41" s="23"/>
      <c r="L41" s="23"/>
      <c r="M41" s="23"/>
      <c r="N41" s="23"/>
      <c r="O41" s="23"/>
      <c r="P41" s="23">
        <f t="shared" si="1"/>
        <v>1.8034722222222219E-2</v>
      </c>
      <c r="Q41" s="24">
        <v>6.35</v>
      </c>
      <c r="R41" s="25">
        <f t="shared" si="2"/>
        <v>2.840113735783027E-3</v>
      </c>
      <c r="S41" s="24">
        <v>191</v>
      </c>
      <c r="T41" s="24">
        <v>172</v>
      </c>
      <c r="U41" s="24">
        <v>150</v>
      </c>
      <c r="V41" s="24">
        <v>170</v>
      </c>
      <c r="W41" s="24">
        <v>174</v>
      </c>
      <c r="X41" s="24">
        <v>177</v>
      </c>
      <c r="Y41" s="24">
        <v>176</v>
      </c>
      <c r="Z41" s="24">
        <v>180</v>
      </c>
      <c r="AA41" s="24"/>
      <c r="AB41" s="24"/>
      <c r="AC41" s="24"/>
      <c r="AD41" s="24"/>
      <c r="AE41" s="24"/>
      <c r="AF41" s="24"/>
      <c r="AG41" s="24"/>
    </row>
    <row r="42" spans="1:33">
      <c r="A42" s="57">
        <v>36793</v>
      </c>
      <c r="B42" s="23">
        <v>3.0092592592592588E-3</v>
      </c>
      <c r="C42" s="23">
        <v>2.8414351851851851E-3</v>
      </c>
      <c r="D42" s="23">
        <v>2.8229166666666667E-3</v>
      </c>
      <c r="E42" s="23">
        <v>2.8981481481481484E-3</v>
      </c>
      <c r="F42" s="23">
        <v>2.9085648148148148E-3</v>
      </c>
      <c r="G42" s="23">
        <v>2.7604166666666667E-3</v>
      </c>
      <c r="H42" s="23">
        <v>8.715277777777776E-4</v>
      </c>
      <c r="I42" s="23"/>
      <c r="J42" s="23"/>
      <c r="K42" s="23"/>
      <c r="L42" s="23"/>
      <c r="M42" s="23"/>
      <c r="N42" s="23"/>
      <c r="O42" s="23"/>
      <c r="P42" s="23">
        <f t="shared" si="1"/>
        <v>1.8112268518518517E-2</v>
      </c>
      <c r="Q42" s="24">
        <v>6.35</v>
      </c>
      <c r="R42" s="25">
        <f t="shared" si="2"/>
        <v>2.852325750947798E-3</v>
      </c>
      <c r="S42" s="24">
        <v>191</v>
      </c>
      <c r="T42" s="24">
        <v>172</v>
      </c>
      <c r="U42" s="24">
        <v>150</v>
      </c>
      <c r="V42" s="24">
        <v>169</v>
      </c>
      <c r="W42" s="24">
        <v>174</v>
      </c>
      <c r="X42" s="24">
        <v>176</v>
      </c>
      <c r="Y42" s="24">
        <v>177</v>
      </c>
      <c r="Z42" s="24">
        <v>181</v>
      </c>
      <c r="AA42" s="24"/>
      <c r="AB42" s="24"/>
      <c r="AC42" s="24"/>
      <c r="AD42" s="24"/>
      <c r="AE42" s="24"/>
      <c r="AF42" s="24"/>
      <c r="AG42" s="24"/>
    </row>
    <row r="43" spans="1:33">
      <c r="A43" s="57">
        <v>36799</v>
      </c>
      <c r="B43" s="23">
        <v>2.902777777777778E-3</v>
      </c>
      <c r="C43" s="23">
        <v>2.8217592592592595E-3</v>
      </c>
      <c r="D43" s="23">
        <v>2.9155092592592596E-3</v>
      </c>
      <c r="E43" s="23">
        <v>2.9432870370370372E-3</v>
      </c>
      <c r="F43" s="23">
        <v>2.9108796296296296E-3</v>
      </c>
      <c r="G43" s="23">
        <v>2.8414351851851851E-3</v>
      </c>
      <c r="H43" s="23">
        <v>8.7731481481481482E-4</v>
      </c>
      <c r="I43" s="23"/>
      <c r="J43" s="23"/>
      <c r="K43" s="23"/>
      <c r="L43" s="23"/>
      <c r="M43" s="23"/>
      <c r="N43" s="23"/>
      <c r="O43" s="23"/>
      <c r="P43" s="23">
        <f t="shared" si="1"/>
        <v>1.8212962962962962E-2</v>
      </c>
      <c r="Q43" s="24">
        <v>6.35</v>
      </c>
      <c r="R43" s="25">
        <f t="shared" si="2"/>
        <v>2.868183143773695E-3</v>
      </c>
      <c r="S43" s="24">
        <v>194</v>
      </c>
      <c r="T43" s="24">
        <v>173</v>
      </c>
      <c r="U43" s="24">
        <v>151</v>
      </c>
      <c r="V43" s="24">
        <v>168</v>
      </c>
      <c r="W43" s="24">
        <v>173</v>
      </c>
      <c r="X43" s="24">
        <v>177</v>
      </c>
      <c r="Y43" s="24">
        <v>180</v>
      </c>
      <c r="Z43" s="24">
        <v>184</v>
      </c>
      <c r="AA43" s="24"/>
      <c r="AB43" s="24"/>
      <c r="AC43" s="24"/>
      <c r="AD43" s="24"/>
      <c r="AE43" s="24"/>
      <c r="AF43" s="24"/>
      <c r="AG43" s="24"/>
    </row>
    <row r="44" spans="1:33">
      <c r="A44" s="57">
        <v>36810</v>
      </c>
      <c r="B44" s="23">
        <v>3.0497685185185181E-3</v>
      </c>
      <c r="C44" s="23">
        <v>2.8726851851851852E-3</v>
      </c>
      <c r="D44" s="23">
        <v>3.0185185185185189E-3</v>
      </c>
      <c r="E44" s="23">
        <v>2.9664351851851848E-3</v>
      </c>
      <c r="F44" s="23">
        <v>2.9398148148148148E-3</v>
      </c>
      <c r="G44" s="23">
        <v>2.9201388888888888E-3</v>
      </c>
      <c r="H44" s="23">
        <v>9.5601851851851848E-4</v>
      </c>
      <c r="I44" s="23"/>
      <c r="J44" s="23"/>
      <c r="K44" s="23"/>
      <c r="L44" s="23"/>
      <c r="M44" s="23"/>
      <c r="N44" s="23"/>
      <c r="O44" s="23"/>
      <c r="P44" s="23">
        <f t="shared" si="1"/>
        <v>1.8723379629629628E-2</v>
      </c>
      <c r="Q44" s="24">
        <v>6.35</v>
      </c>
      <c r="R44" s="25">
        <f t="shared" si="2"/>
        <v>2.9485637212015164E-3</v>
      </c>
      <c r="S44" s="24">
        <v>193</v>
      </c>
      <c r="T44" s="24">
        <v>178</v>
      </c>
      <c r="U44" s="24">
        <v>159</v>
      </c>
      <c r="V44" s="24">
        <v>173</v>
      </c>
      <c r="W44" s="24">
        <v>177</v>
      </c>
      <c r="X44" s="24">
        <v>182</v>
      </c>
      <c r="Y44" s="24">
        <v>186</v>
      </c>
      <c r="Z44" s="24">
        <v>189</v>
      </c>
      <c r="AA44" s="24"/>
      <c r="AB44" s="24"/>
      <c r="AC44" s="24"/>
      <c r="AD44" s="24"/>
      <c r="AE44" s="24"/>
      <c r="AF44" s="24"/>
      <c r="AG44" s="24"/>
    </row>
    <row r="45" spans="1:33">
      <c r="A45" s="57">
        <v>36814</v>
      </c>
      <c r="B45" s="23">
        <v>2.9479166666666668E-3</v>
      </c>
      <c r="C45" s="23">
        <v>2.9490740740740744E-3</v>
      </c>
      <c r="D45" s="23">
        <v>2.9733796296296296E-3</v>
      </c>
      <c r="E45" s="23">
        <v>2.9837962962962965E-3</v>
      </c>
      <c r="F45" s="23">
        <v>2.9814814814814812E-3</v>
      </c>
      <c r="G45" s="23">
        <v>2.972222222222222E-3</v>
      </c>
      <c r="H45" s="23">
        <v>2.886574074074074E-3</v>
      </c>
      <c r="I45" s="23">
        <v>2.7546296296296294E-3</v>
      </c>
      <c r="J45" s="23"/>
      <c r="K45" s="23"/>
      <c r="L45" s="23"/>
      <c r="M45" s="23"/>
      <c r="N45" s="23"/>
      <c r="O45" s="23"/>
      <c r="P45" s="23">
        <f t="shared" si="1"/>
        <v>2.3449074074074074E-2</v>
      </c>
      <c r="Q45" s="24">
        <v>8</v>
      </c>
      <c r="R45" s="25">
        <f t="shared" si="2"/>
        <v>2.9311342592592592E-3</v>
      </c>
      <c r="S45" s="24">
        <v>191</v>
      </c>
      <c r="T45" s="24">
        <v>176</v>
      </c>
      <c r="U45" s="24">
        <v>153</v>
      </c>
      <c r="V45" s="24">
        <v>170</v>
      </c>
      <c r="W45" s="24">
        <v>174</v>
      </c>
      <c r="X45" s="24">
        <v>177</v>
      </c>
      <c r="Y45" s="24">
        <v>180</v>
      </c>
      <c r="Z45" s="24">
        <v>182</v>
      </c>
      <c r="AA45" s="24">
        <v>185</v>
      </c>
      <c r="AB45" s="24">
        <v>188</v>
      </c>
      <c r="AC45" s="24"/>
      <c r="AD45" s="24"/>
      <c r="AE45" s="24"/>
      <c r="AF45" s="24"/>
      <c r="AG45" s="24"/>
    </row>
    <row r="46" spans="1:33">
      <c r="A46" s="57">
        <v>36817</v>
      </c>
      <c r="B46" s="23">
        <v>2.8796296296296296E-3</v>
      </c>
      <c r="C46" s="23">
        <v>2.7754629629629626E-3</v>
      </c>
      <c r="D46" s="23">
        <v>2.9085648148148148E-3</v>
      </c>
      <c r="E46" s="23">
        <v>2.8576388888888892E-3</v>
      </c>
      <c r="F46" s="23">
        <v>2.7314814814814819E-3</v>
      </c>
      <c r="G46" s="23">
        <v>2.991898148148148E-3</v>
      </c>
      <c r="H46" s="23">
        <v>2.8321759259259259E-3</v>
      </c>
      <c r="I46" s="23">
        <v>2.6412037037037033E-3</v>
      </c>
      <c r="J46" s="23"/>
      <c r="K46" s="23"/>
      <c r="L46" s="23"/>
      <c r="M46" s="23"/>
      <c r="N46" s="23"/>
      <c r="O46" s="23"/>
      <c r="P46" s="23">
        <f t="shared" si="1"/>
        <v>2.2618055555555554E-2</v>
      </c>
      <c r="Q46" s="24">
        <v>8</v>
      </c>
      <c r="R46" s="25">
        <f t="shared" si="2"/>
        <v>2.8272569444444443E-3</v>
      </c>
      <c r="S46" s="24">
        <v>195</v>
      </c>
      <c r="T46" s="24">
        <v>179</v>
      </c>
      <c r="U46" s="24">
        <v>156</v>
      </c>
      <c r="V46" s="24">
        <v>173</v>
      </c>
      <c r="W46" s="24">
        <v>177</v>
      </c>
      <c r="X46" s="24">
        <v>180</v>
      </c>
      <c r="Y46" s="24">
        <v>184</v>
      </c>
      <c r="Z46" s="24">
        <v>186</v>
      </c>
      <c r="AA46" s="24">
        <v>188</v>
      </c>
      <c r="AB46" s="24"/>
      <c r="AC46" s="24"/>
      <c r="AD46" s="24"/>
      <c r="AE46" s="24"/>
      <c r="AF46" s="24"/>
      <c r="AG46" s="24"/>
    </row>
    <row r="47" spans="1:33">
      <c r="A47" s="57">
        <v>36819</v>
      </c>
      <c r="B47" s="23">
        <v>2.9375000000000004E-3</v>
      </c>
      <c r="C47" s="23">
        <v>2.8819444444444444E-3</v>
      </c>
      <c r="D47" s="23">
        <v>2.8576388888888892E-3</v>
      </c>
      <c r="E47" s="23">
        <v>2.8136574074074075E-3</v>
      </c>
      <c r="F47" s="23">
        <v>2.8032407407407411E-3</v>
      </c>
      <c r="G47" s="23">
        <v>2.7291666666666662E-3</v>
      </c>
      <c r="H47" s="23">
        <v>8.2060185185185187E-4</v>
      </c>
      <c r="I47" s="23"/>
      <c r="J47" s="23"/>
      <c r="K47" s="23"/>
      <c r="L47" s="23"/>
      <c r="M47" s="23"/>
      <c r="N47" s="23"/>
      <c r="O47" s="23"/>
      <c r="P47" s="23">
        <f t="shared" si="1"/>
        <v>1.7843749999999999E-2</v>
      </c>
      <c r="Q47" s="24">
        <v>6.35</v>
      </c>
      <c r="R47" s="25">
        <f t="shared" si="2"/>
        <v>2.8100393700787401E-3</v>
      </c>
      <c r="S47" s="24">
        <v>194</v>
      </c>
      <c r="T47" s="24">
        <v>176</v>
      </c>
      <c r="U47" s="24">
        <v>156</v>
      </c>
      <c r="V47" s="24">
        <v>170</v>
      </c>
      <c r="W47" s="24">
        <v>176</v>
      </c>
      <c r="X47" s="24">
        <v>180</v>
      </c>
      <c r="Y47" s="24">
        <v>184</v>
      </c>
      <c r="Z47" s="24">
        <v>188</v>
      </c>
      <c r="AA47" s="24"/>
      <c r="AB47" s="24"/>
      <c r="AC47" s="24"/>
      <c r="AD47" s="24"/>
      <c r="AE47" s="24"/>
      <c r="AF47" s="24"/>
      <c r="AG47" s="24"/>
    </row>
    <row r="48" spans="1:33">
      <c r="A48" s="57">
        <v>36821</v>
      </c>
      <c r="B48" s="23">
        <v>3.0462962962962965E-3</v>
      </c>
      <c r="C48" s="23">
        <v>2.9745370370370373E-3</v>
      </c>
      <c r="D48" s="23">
        <v>3.0219907407407405E-3</v>
      </c>
      <c r="E48" s="23">
        <v>3.1192129629629625E-3</v>
      </c>
      <c r="F48" s="23">
        <v>3.2048611111111115E-3</v>
      </c>
      <c r="G48" s="23">
        <v>3.1828703703703702E-3</v>
      </c>
      <c r="H48" s="23">
        <v>3.1562499999999998E-3</v>
      </c>
      <c r="I48" s="23">
        <v>3.0833333333333338E-3</v>
      </c>
      <c r="J48" s="23">
        <v>3.1469907407407406E-3</v>
      </c>
      <c r="K48" s="23">
        <v>2.8773148148148152E-3</v>
      </c>
      <c r="L48" s="23">
        <v>7.7546296296296304E-4</v>
      </c>
      <c r="M48" s="23"/>
      <c r="N48" s="23"/>
      <c r="O48" s="23"/>
      <c r="P48" s="23">
        <f t="shared" si="1"/>
        <v>3.1589120370370372E-2</v>
      </c>
      <c r="Q48" s="24">
        <v>10.26</v>
      </c>
      <c r="R48" s="25">
        <f t="shared" si="2"/>
        <v>3.0788616345390225E-3</v>
      </c>
      <c r="S48" s="24">
        <v>189</v>
      </c>
      <c r="T48" s="24">
        <v>177</v>
      </c>
      <c r="U48" s="24">
        <v>156</v>
      </c>
      <c r="V48" s="24">
        <v>172</v>
      </c>
      <c r="W48" s="24">
        <v>176</v>
      </c>
      <c r="X48" s="24">
        <v>177</v>
      </c>
      <c r="Y48" s="24">
        <v>175</v>
      </c>
      <c r="Z48" s="24">
        <v>178</v>
      </c>
      <c r="AA48" s="24">
        <v>180</v>
      </c>
      <c r="AB48" s="24">
        <v>182</v>
      </c>
      <c r="AC48" s="24">
        <v>183</v>
      </c>
      <c r="AD48" s="24">
        <v>186</v>
      </c>
      <c r="AE48" s="24"/>
      <c r="AF48" s="24"/>
      <c r="AG48" s="24"/>
    </row>
    <row r="49" spans="1:33">
      <c r="A49" s="57">
        <v>36824</v>
      </c>
      <c r="B49" s="23">
        <v>3.1168981481481482E-3</v>
      </c>
      <c r="C49" s="23">
        <v>3.0138888888888889E-3</v>
      </c>
      <c r="D49" s="23">
        <v>2.9421296296296296E-3</v>
      </c>
      <c r="E49" s="23">
        <v>2.9479166666666668E-3</v>
      </c>
      <c r="F49" s="23">
        <v>3.0266203703703705E-3</v>
      </c>
      <c r="G49" s="23">
        <v>3.0486111111111109E-3</v>
      </c>
      <c r="H49" s="23">
        <v>3.0520833333333333E-3</v>
      </c>
      <c r="I49" s="23">
        <v>3.0798611111111109E-3</v>
      </c>
      <c r="J49" s="23">
        <v>2.9895833333333332E-3</v>
      </c>
      <c r="K49" s="23">
        <v>2.7395833333333335E-3</v>
      </c>
      <c r="L49" s="23">
        <v>6.7129629629629625E-4</v>
      </c>
      <c r="M49" s="23"/>
      <c r="N49" s="23"/>
      <c r="O49" s="23"/>
      <c r="P49" s="23">
        <f>SUM(B49:L49)</f>
        <v>3.062847222222222E-2</v>
      </c>
      <c r="Q49" s="24">
        <v>10.26</v>
      </c>
      <c r="R49" s="25">
        <f t="shared" si="2"/>
        <v>2.9852312107429067E-3</v>
      </c>
      <c r="S49" s="24">
        <v>194</v>
      </c>
      <c r="T49" s="24">
        <v>175</v>
      </c>
      <c r="U49" s="24">
        <v>147</v>
      </c>
      <c r="V49" s="24">
        <v>166</v>
      </c>
      <c r="W49" s="24">
        <v>171</v>
      </c>
      <c r="X49" s="24">
        <v>174</v>
      </c>
      <c r="Y49" s="24">
        <v>176</v>
      </c>
      <c r="Z49" s="24">
        <v>178</v>
      </c>
      <c r="AA49" s="24">
        <v>179</v>
      </c>
      <c r="AB49" s="24">
        <v>180</v>
      </c>
      <c r="AC49" s="24">
        <v>183</v>
      </c>
      <c r="AD49" s="24">
        <v>186</v>
      </c>
      <c r="AE49" s="24"/>
      <c r="AF49" s="24"/>
      <c r="AG49" s="24"/>
    </row>
    <row r="50" spans="1:33">
      <c r="A50" s="57">
        <v>36826</v>
      </c>
      <c r="B50" s="23">
        <v>2.8124999999999999E-3</v>
      </c>
      <c r="C50" s="23">
        <v>2.8275462962962963E-3</v>
      </c>
      <c r="D50" s="23">
        <v>2.8518518518518519E-3</v>
      </c>
      <c r="E50" s="23">
        <v>2.8692129629629627E-3</v>
      </c>
      <c r="F50" s="23">
        <v>2.96875E-3</v>
      </c>
      <c r="G50" s="23">
        <v>3.0393518518518521E-3</v>
      </c>
      <c r="H50" s="23">
        <v>3.1099537037037038E-3</v>
      </c>
      <c r="I50" s="23">
        <v>3.0486111111111109E-3</v>
      </c>
      <c r="J50" s="23">
        <v>3.0717592592592589E-3</v>
      </c>
      <c r="K50" s="23">
        <v>2.8483796296296295E-3</v>
      </c>
      <c r="L50" s="23">
        <v>7.6273148148148153E-4</v>
      </c>
      <c r="M50" s="23"/>
      <c r="N50" s="23"/>
      <c r="O50" s="23"/>
      <c r="P50" s="23">
        <f>SUM(B50:L50)</f>
        <v>3.0210648148148146E-2</v>
      </c>
      <c r="Q50" s="24">
        <v>10.26</v>
      </c>
      <c r="R50" s="25">
        <f t="shared" si="2"/>
        <v>2.9445076167785716E-3</v>
      </c>
      <c r="S50" s="24">
        <v>194</v>
      </c>
      <c r="T50" s="24">
        <v>181</v>
      </c>
      <c r="U50" s="24">
        <v>157</v>
      </c>
      <c r="V50" s="24">
        <v>172</v>
      </c>
      <c r="W50" s="24">
        <v>178</v>
      </c>
      <c r="X50" s="24">
        <v>181</v>
      </c>
      <c r="Y50" s="24">
        <v>184</v>
      </c>
      <c r="Z50" s="24">
        <v>185</v>
      </c>
      <c r="AA50" s="24">
        <v>185</v>
      </c>
      <c r="AB50" s="24">
        <v>186</v>
      </c>
      <c r="AC50" s="24">
        <v>188</v>
      </c>
      <c r="AD50" s="24">
        <v>190</v>
      </c>
      <c r="AE50" s="24"/>
      <c r="AF50" s="24"/>
      <c r="AG50" s="24"/>
    </row>
    <row r="51" spans="1:33">
      <c r="A51" s="57">
        <v>36828</v>
      </c>
      <c r="B51" s="23">
        <v>3.0324074074074073E-3</v>
      </c>
      <c r="C51" s="23">
        <v>3.0000000000000005E-3</v>
      </c>
      <c r="D51" s="23"/>
      <c r="E51" s="23">
        <v>5.9085648148148144E-3</v>
      </c>
      <c r="F51" s="23">
        <v>3.0601851851851849E-3</v>
      </c>
      <c r="G51" s="23">
        <v>3.1030092592592598E-3</v>
      </c>
      <c r="H51" s="23">
        <v>2.8854166666666668E-3</v>
      </c>
      <c r="I51" s="23">
        <v>7.7199074074074062E-4</v>
      </c>
      <c r="J51" s="23"/>
      <c r="K51" s="23"/>
      <c r="L51" s="23"/>
      <c r="M51" s="23"/>
      <c r="N51" s="23"/>
      <c r="O51" s="23"/>
      <c r="P51" s="23">
        <f>SUM(B51:L51)</f>
        <v>2.1761574074074076E-2</v>
      </c>
      <c r="Q51" s="24">
        <v>7.26</v>
      </c>
      <c r="R51" s="25">
        <f t="shared" si="2"/>
        <v>2.9974619936741151E-3</v>
      </c>
      <c r="S51" s="24">
        <v>178</v>
      </c>
      <c r="T51" s="24">
        <v>169</v>
      </c>
      <c r="U51" s="24">
        <v>152</v>
      </c>
      <c r="V51" s="24">
        <v>162</v>
      </c>
      <c r="W51" s="24"/>
      <c r="X51" s="24">
        <v>169</v>
      </c>
      <c r="Y51" s="24">
        <v>173</v>
      </c>
      <c r="Z51" s="24">
        <v>175</v>
      </c>
      <c r="AA51" s="24">
        <v>176</v>
      </c>
      <c r="AB51" s="24"/>
      <c r="AC51" s="24"/>
      <c r="AD51" s="24"/>
      <c r="AE51" s="24"/>
      <c r="AF51" s="24"/>
      <c r="AG51" s="24"/>
    </row>
    <row r="52" spans="1:33">
      <c r="A52" s="57">
        <v>36834</v>
      </c>
      <c r="B52" s="23">
        <v>2.6967592592592594E-3</v>
      </c>
      <c r="C52" s="23">
        <v>2.8703703703703708E-3</v>
      </c>
      <c r="D52" s="23">
        <v>2.9560185185185188E-3</v>
      </c>
      <c r="E52" s="23">
        <v>2.8587962962962963E-3</v>
      </c>
      <c r="F52" s="23">
        <v>2.8020833333333335E-3</v>
      </c>
      <c r="G52" s="23">
        <v>3.0208333333333333E-3</v>
      </c>
      <c r="H52" s="23">
        <v>2.9016203703703704E-3</v>
      </c>
      <c r="I52" s="23">
        <v>2.9537037037037032E-3</v>
      </c>
      <c r="J52" s="23">
        <v>2.8437499999999995E-3</v>
      </c>
      <c r="K52" s="23">
        <v>2.445601851851852E-3</v>
      </c>
      <c r="L52" s="23"/>
      <c r="M52" s="23"/>
      <c r="N52" s="23"/>
      <c r="O52" s="23"/>
      <c r="P52" s="23">
        <f>SUM(B52:O52)</f>
        <v>2.8349537037037034E-2</v>
      </c>
      <c r="Q52" s="24">
        <v>10</v>
      </c>
      <c r="R52" s="25">
        <f t="shared" si="2"/>
        <v>2.8349537037037032E-3</v>
      </c>
      <c r="S52" s="24">
        <v>199</v>
      </c>
      <c r="T52" s="24">
        <v>184</v>
      </c>
      <c r="U52" s="24">
        <v>164</v>
      </c>
      <c r="V52" s="24">
        <v>173</v>
      </c>
      <c r="W52" s="24">
        <v>179</v>
      </c>
      <c r="X52" s="24">
        <v>184</v>
      </c>
      <c r="Y52" s="24">
        <v>185</v>
      </c>
      <c r="Z52" s="24">
        <v>186</v>
      </c>
      <c r="AA52" s="24">
        <v>188</v>
      </c>
      <c r="AB52" s="24">
        <v>190</v>
      </c>
      <c r="AC52" s="24">
        <v>193</v>
      </c>
      <c r="AD52" s="24"/>
      <c r="AE52" s="24"/>
      <c r="AF52" s="24"/>
      <c r="AG52" s="24"/>
    </row>
    <row r="53" spans="1:33">
      <c r="A53" s="57">
        <v>36835</v>
      </c>
      <c r="B53" s="23">
        <v>3.3668981481481484E-3</v>
      </c>
      <c r="C53" s="23"/>
      <c r="D53" s="23">
        <v>6.873842592592592E-3</v>
      </c>
      <c r="E53" s="23">
        <v>3.6678240740740738E-3</v>
      </c>
      <c r="F53" s="23"/>
      <c r="G53" s="23"/>
      <c r="H53" s="23">
        <v>8.9016203703703705E-3</v>
      </c>
      <c r="I53" s="23">
        <v>3.8310185185185183E-3</v>
      </c>
      <c r="J53" s="23">
        <v>3.8888888888888883E-3</v>
      </c>
      <c r="K53" s="23">
        <v>3.8935185185185184E-3</v>
      </c>
      <c r="L53" s="23">
        <v>3.9375E-3</v>
      </c>
      <c r="M53" s="23">
        <v>3.913194444444444E-3</v>
      </c>
      <c r="N53" s="23">
        <v>3.95949074074074E-3</v>
      </c>
      <c r="O53" s="23">
        <v>1.3483796296296297E-3</v>
      </c>
      <c r="P53" s="23">
        <f>SUM(B53:O53)</f>
        <v>4.7582175925925924E-2</v>
      </c>
      <c r="Q53" s="24">
        <v>12.7</v>
      </c>
      <c r="R53" s="25">
        <f t="shared" si="2"/>
        <v>3.7466280256634589E-3</v>
      </c>
      <c r="S53" s="24">
        <v>166</v>
      </c>
      <c r="T53" s="24">
        <v>156</v>
      </c>
      <c r="U53" s="24">
        <v>155</v>
      </c>
      <c r="V53" s="24"/>
      <c r="W53" s="24">
        <v>155</v>
      </c>
      <c r="X53" s="24">
        <v>156</v>
      </c>
      <c r="Y53" s="24"/>
      <c r="Z53" s="24"/>
      <c r="AA53" s="24">
        <v>155</v>
      </c>
      <c r="AB53" s="24">
        <v>155</v>
      </c>
      <c r="AC53" s="24">
        <v>156</v>
      </c>
      <c r="AD53" s="24">
        <v>156</v>
      </c>
      <c r="AE53" s="24">
        <v>155</v>
      </c>
      <c r="AF53" s="24">
        <v>157</v>
      </c>
      <c r="AG53" s="24">
        <v>157</v>
      </c>
    </row>
    <row r="55" spans="1:33">
      <c r="R55" s="19">
        <f>MIN(R2:R53)</f>
        <v>2.758821813939924E-3</v>
      </c>
    </row>
  </sheetData>
  <phoneticPr fontId="0" type="noConversion"/>
  <printOptions gridLines="1" gridLinesSet="0"/>
  <pageMargins left="0.2" right="0" top="0.39370078740157483" bottom="0.39370078740157483" header="0.36" footer="0.51181102362204722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50"/>
  <sheetViews>
    <sheetView zoomScale="75" workbookViewId="0">
      <selection activeCell="C58" sqref="C58"/>
    </sheetView>
  </sheetViews>
  <sheetFormatPr defaultRowHeight="12.75"/>
  <cols>
    <col min="4" max="4" width="12" bestFit="1" customWidth="1"/>
  </cols>
  <sheetData>
    <row r="1" spans="1:4">
      <c r="A1" s="97" t="s">
        <v>175</v>
      </c>
      <c r="B1" s="98">
        <v>1.5370370370370371E-3</v>
      </c>
      <c r="C1" s="99">
        <v>115</v>
      </c>
      <c r="D1" s="100"/>
    </row>
    <row r="2" spans="1:4">
      <c r="A2" s="101" t="s">
        <v>176</v>
      </c>
      <c r="B2" s="102">
        <v>3.0648148148148149E-3</v>
      </c>
      <c r="C2" s="103">
        <v>117</v>
      </c>
      <c r="D2" s="104"/>
    </row>
    <row r="3" spans="1:4">
      <c r="A3" s="101" t="s">
        <v>178</v>
      </c>
      <c r="B3" s="102">
        <v>4.6180555555555558E-3</v>
      </c>
      <c r="C3" s="103">
        <v>118</v>
      </c>
      <c r="D3" s="104">
        <f>Hartslagen!G3829</f>
        <v>116.46250000000001</v>
      </c>
    </row>
    <row r="4" spans="1:4">
      <c r="A4" s="105" t="s">
        <v>180</v>
      </c>
      <c r="B4" s="106">
        <v>5.3206018518518515E-3</v>
      </c>
      <c r="C4" s="107">
        <v>98</v>
      </c>
      <c r="D4" s="108">
        <f>MIN(Hartslagen!C3830:C3841)</f>
        <v>75</v>
      </c>
    </row>
    <row r="5" spans="1:4">
      <c r="A5" s="97" t="s">
        <v>175</v>
      </c>
      <c r="B5" s="98">
        <v>6.7337962962962968E-3</v>
      </c>
      <c r="C5" s="99">
        <v>116</v>
      </c>
      <c r="D5" s="100"/>
    </row>
    <row r="6" spans="1:4">
      <c r="A6" s="101" t="s">
        <v>176</v>
      </c>
      <c r="B6" s="102">
        <v>8.1689814814814819E-3</v>
      </c>
      <c r="C6" s="103">
        <v>122</v>
      </c>
      <c r="D6" s="104"/>
    </row>
    <row r="7" spans="1:4">
      <c r="A7" s="101" t="s">
        <v>178</v>
      </c>
      <c r="B7" s="102">
        <v>9.5752314814814814E-3</v>
      </c>
      <c r="C7" s="103">
        <v>123</v>
      </c>
      <c r="D7" s="104">
        <f>Hartslagen!G3916</f>
        <v>119.85333333333334</v>
      </c>
    </row>
    <row r="8" spans="1:4">
      <c r="A8" s="105" t="s">
        <v>181</v>
      </c>
      <c r="B8" s="106">
        <v>1.0186342592592592E-2</v>
      </c>
      <c r="C8" s="107">
        <v>100</v>
      </c>
      <c r="D8" s="108">
        <v>82</v>
      </c>
    </row>
    <row r="9" spans="1:4">
      <c r="A9" s="97" t="s">
        <v>175</v>
      </c>
      <c r="B9" s="98">
        <v>1.1605324074074073E-2</v>
      </c>
      <c r="C9" s="99">
        <v>93</v>
      </c>
      <c r="D9" s="100" t="s">
        <v>184</v>
      </c>
    </row>
    <row r="10" spans="1:4">
      <c r="A10" s="101" t="s">
        <v>176</v>
      </c>
      <c r="B10" s="102">
        <v>1.2927083333333332E-2</v>
      </c>
      <c r="C10" s="103">
        <v>113</v>
      </c>
      <c r="D10" s="104"/>
    </row>
    <row r="11" spans="1:4">
      <c r="A11" s="101" t="s">
        <v>178</v>
      </c>
      <c r="B11" s="102">
        <v>1.4254629629629631E-2</v>
      </c>
      <c r="C11" s="103">
        <v>124</v>
      </c>
      <c r="D11" s="104"/>
    </row>
    <row r="12" spans="1:4">
      <c r="A12" s="105" t="s">
        <v>188</v>
      </c>
      <c r="B12" s="106">
        <v>1.4951388888888889E-2</v>
      </c>
      <c r="C12" s="107">
        <v>96</v>
      </c>
      <c r="D12" s="108">
        <v>82</v>
      </c>
    </row>
    <row r="13" spans="1:4">
      <c r="A13" s="97" t="s">
        <v>189</v>
      </c>
      <c r="B13" s="98">
        <v>1.6210648148148148E-2</v>
      </c>
      <c r="C13" s="99">
        <v>118</v>
      </c>
      <c r="D13" s="100"/>
    </row>
    <row r="14" spans="1:4">
      <c r="A14" s="101" t="s">
        <v>176</v>
      </c>
      <c r="B14" s="102">
        <v>1.7428240740740741E-2</v>
      </c>
      <c r="C14" s="103">
        <v>130</v>
      </c>
      <c r="D14" s="104"/>
    </row>
    <row r="15" spans="1:4">
      <c r="A15" s="101" t="s">
        <v>178</v>
      </c>
      <c r="B15" s="102">
        <v>1.8670138888888889E-2</v>
      </c>
      <c r="C15" s="103">
        <v>130</v>
      </c>
      <c r="D15" s="104">
        <f>Hartslagen!G4072</f>
        <v>127.375</v>
      </c>
    </row>
    <row r="16" spans="1:4">
      <c r="A16" s="105" t="s">
        <v>191</v>
      </c>
      <c r="B16" s="106">
        <v>1.9363425925925926E-2</v>
      </c>
      <c r="C16" s="107">
        <v>111</v>
      </c>
      <c r="D16" s="108">
        <v>84</v>
      </c>
    </row>
    <row r="17" spans="1:4">
      <c r="A17" s="97" t="s">
        <v>175</v>
      </c>
      <c r="B17" s="98">
        <v>2.053587962962963E-2</v>
      </c>
      <c r="C17" s="110">
        <v>126</v>
      </c>
      <c r="D17" s="100"/>
    </row>
    <row r="18" spans="1:4">
      <c r="A18" s="101" t="s">
        <v>176</v>
      </c>
      <c r="B18" s="102">
        <v>2.1699074074074075E-2</v>
      </c>
      <c r="C18" s="109">
        <v>138</v>
      </c>
      <c r="D18" s="104"/>
    </row>
    <row r="19" spans="1:4">
      <c r="A19" s="101" t="s">
        <v>178</v>
      </c>
      <c r="B19" s="102">
        <v>2.2862268518518521E-2</v>
      </c>
      <c r="C19" s="109">
        <v>136</v>
      </c>
      <c r="D19" s="104">
        <f>Hartslagen!G4145</f>
        <v>133.91803278688525</v>
      </c>
    </row>
    <row r="20" spans="1:4">
      <c r="A20" s="111" t="s">
        <v>193</v>
      </c>
      <c r="B20" s="106">
        <v>2.3555555555555555E-2</v>
      </c>
      <c r="C20" s="112">
        <v>113</v>
      </c>
      <c r="D20" s="108">
        <v>90</v>
      </c>
    </row>
    <row r="21" spans="1:4">
      <c r="A21" s="97" t="s">
        <v>175</v>
      </c>
      <c r="B21" s="98">
        <v>2.4660879629629626E-2</v>
      </c>
      <c r="C21" s="99">
        <v>130</v>
      </c>
      <c r="D21" s="100"/>
    </row>
    <row r="22" spans="1:4">
      <c r="A22" s="101" t="s">
        <v>176</v>
      </c>
      <c r="B22" s="102">
        <v>2.5740740740740745E-2</v>
      </c>
      <c r="C22" s="109">
        <v>142</v>
      </c>
      <c r="D22" s="104"/>
    </row>
    <row r="23" spans="1:4">
      <c r="A23" s="101" t="s">
        <v>178</v>
      </c>
      <c r="B23" s="102">
        <v>2.6849537037037036E-2</v>
      </c>
      <c r="C23" s="109">
        <v>142</v>
      </c>
      <c r="D23" s="104">
        <f>Hartslagen!G4213</f>
        <v>138.625</v>
      </c>
    </row>
    <row r="24" spans="1:4">
      <c r="A24" s="111" t="s">
        <v>196</v>
      </c>
      <c r="B24" s="106">
        <v>2.75625E-2</v>
      </c>
      <c r="C24" s="107">
        <v>122</v>
      </c>
      <c r="D24" s="108">
        <v>89</v>
      </c>
    </row>
    <row r="25" spans="1:4">
      <c r="A25" s="97" t="s">
        <v>175</v>
      </c>
      <c r="B25" s="98">
        <v>2.8599537037037034E-2</v>
      </c>
      <c r="C25" s="99">
        <v>138</v>
      </c>
      <c r="D25" s="100"/>
    </row>
    <row r="26" spans="1:4">
      <c r="A26" s="101" t="s">
        <v>176</v>
      </c>
      <c r="B26" s="102">
        <v>2.9638888888888892E-2</v>
      </c>
      <c r="C26" s="109">
        <v>148</v>
      </c>
      <c r="D26" s="104"/>
    </row>
    <row r="27" spans="1:4">
      <c r="A27" s="101" t="s">
        <v>178</v>
      </c>
      <c r="B27" s="102">
        <v>3.0673611111111113E-2</v>
      </c>
      <c r="C27" s="109">
        <v>148</v>
      </c>
      <c r="D27" s="104">
        <f>Hartslagen!G4280</f>
        <v>145.4814814814815</v>
      </c>
    </row>
    <row r="28" spans="1:4">
      <c r="A28" s="111" t="s">
        <v>199</v>
      </c>
      <c r="B28" s="106">
        <v>3.1366898148148151E-2</v>
      </c>
      <c r="C28" s="107">
        <v>122</v>
      </c>
      <c r="D28" s="108">
        <v>94</v>
      </c>
    </row>
    <row r="29" spans="1:4">
      <c r="A29" s="97" t="s">
        <v>175</v>
      </c>
      <c r="B29" s="113">
        <v>3.2361111111111111E-2</v>
      </c>
      <c r="C29" s="99">
        <v>135</v>
      </c>
      <c r="D29" s="100"/>
    </row>
    <row r="30" spans="1:4">
      <c r="A30" s="101" t="s">
        <v>176</v>
      </c>
      <c r="B30" s="114" t="s">
        <v>88</v>
      </c>
      <c r="C30" s="103"/>
      <c r="D30" s="104"/>
    </row>
    <row r="31" spans="1:4">
      <c r="A31" s="101" t="s">
        <v>178</v>
      </c>
      <c r="B31" s="102">
        <v>3.4324074074074076E-2</v>
      </c>
      <c r="C31" s="109">
        <v>153</v>
      </c>
      <c r="D31" s="104">
        <f>Hartslagen!G4343</f>
        <v>148.31372549019608</v>
      </c>
    </row>
    <row r="32" spans="1:4">
      <c r="A32" s="111" t="s">
        <v>202</v>
      </c>
      <c r="B32" s="106">
        <v>3.5018518518518518E-2</v>
      </c>
      <c r="C32" s="107">
        <v>131</v>
      </c>
      <c r="D32" s="108">
        <v>104</v>
      </c>
    </row>
    <row r="33" spans="1:4">
      <c r="A33" s="97" t="s">
        <v>175</v>
      </c>
      <c r="B33" s="98">
        <v>3.5957175925925927E-2</v>
      </c>
      <c r="C33" s="99">
        <v>140</v>
      </c>
      <c r="D33" s="100"/>
    </row>
    <row r="34" spans="1:4">
      <c r="A34" s="101" t="s">
        <v>176</v>
      </c>
      <c r="B34" s="54" t="s">
        <v>88</v>
      </c>
      <c r="D34" s="104"/>
    </row>
    <row r="35" spans="1:4">
      <c r="A35" s="101" t="s">
        <v>178</v>
      </c>
      <c r="B35" s="102">
        <v>3.7831018518518521E-2</v>
      </c>
      <c r="C35" s="109">
        <v>157</v>
      </c>
      <c r="D35" s="104">
        <f>Hartslagen!G4403</f>
        <v>152.625</v>
      </c>
    </row>
    <row r="36" spans="1:4">
      <c r="A36" s="111" t="s">
        <v>204</v>
      </c>
      <c r="B36" s="106">
        <v>3.8527777777777779E-2</v>
      </c>
      <c r="C36" s="107">
        <v>137</v>
      </c>
      <c r="D36" s="108">
        <v>115</v>
      </c>
    </row>
    <row r="37" spans="1:4">
      <c r="A37" s="97" t="s">
        <v>175</v>
      </c>
      <c r="B37" s="98">
        <v>3.9430555555555559E-2</v>
      </c>
      <c r="C37" s="99">
        <v>143</v>
      </c>
      <c r="D37" s="100"/>
    </row>
    <row r="38" spans="1:4">
      <c r="A38" s="101" t="s">
        <v>176</v>
      </c>
      <c r="B38" s="102">
        <v>4.0315972222222225E-2</v>
      </c>
      <c r="C38" s="109">
        <v>162</v>
      </c>
      <c r="D38" s="104"/>
    </row>
    <row r="39" spans="1:4">
      <c r="A39" s="101" t="s">
        <v>178</v>
      </c>
      <c r="B39" s="102">
        <v>4.1209490740740741E-2</v>
      </c>
      <c r="C39" s="109">
        <v>164</v>
      </c>
      <c r="D39" s="104">
        <f>Hartslagen!G4462</f>
        <v>156.82978723404256</v>
      </c>
    </row>
    <row r="40" spans="1:4">
      <c r="A40" s="111" t="s">
        <v>207</v>
      </c>
      <c r="B40" s="115">
        <v>4.189814814814815E-2</v>
      </c>
      <c r="C40" s="107">
        <v>139</v>
      </c>
      <c r="D40" s="108">
        <v>120</v>
      </c>
    </row>
    <row r="43" spans="1:4" ht="15">
      <c r="A43" s="236" t="s">
        <v>493</v>
      </c>
      <c r="B43" s="236"/>
      <c r="C43" s="236"/>
      <c r="D43" s="236"/>
    </row>
    <row r="44" spans="1:4" ht="15">
      <c r="A44" s="236" t="s">
        <v>494</v>
      </c>
      <c r="B44" s="236"/>
      <c r="C44" s="236"/>
      <c r="D44" s="236"/>
    </row>
    <row r="45" spans="1:4" ht="15">
      <c r="A45" s="236" t="s">
        <v>495</v>
      </c>
      <c r="B45" s="236"/>
      <c r="C45" s="236"/>
      <c r="D45" s="236"/>
    </row>
    <row r="46" spans="1:4" ht="15">
      <c r="A46" s="236" t="s">
        <v>496</v>
      </c>
      <c r="B46" s="236"/>
      <c r="C46" s="236"/>
      <c r="D46" s="236"/>
    </row>
    <row r="47" spans="1:4" ht="15">
      <c r="A47" s="236" t="s">
        <v>497</v>
      </c>
      <c r="B47" s="236"/>
      <c r="C47" s="236"/>
      <c r="D47" s="236"/>
    </row>
    <row r="48" spans="1:4" ht="15">
      <c r="A48" s="236" t="s">
        <v>498</v>
      </c>
      <c r="B48" s="236"/>
      <c r="C48" s="236"/>
      <c r="D48" s="236"/>
    </row>
    <row r="49" spans="1:4" ht="15">
      <c r="A49" s="236" t="s">
        <v>499</v>
      </c>
      <c r="B49" s="236"/>
      <c r="C49" s="236"/>
      <c r="D49" s="236"/>
    </row>
    <row r="50" spans="1:4" ht="15">
      <c r="A50" s="236" t="s">
        <v>500</v>
      </c>
      <c r="B50" s="236"/>
      <c r="C50" s="236"/>
      <c r="D50" s="236"/>
    </row>
  </sheetData>
  <phoneticPr fontId="19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33"/>
  <sheetViews>
    <sheetView workbookViewId="0">
      <selection activeCell="D7" sqref="D7"/>
    </sheetView>
  </sheetViews>
  <sheetFormatPr defaultRowHeight="12.75"/>
  <cols>
    <col min="1" max="1" width="12.140625" customWidth="1"/>
    <col min="2" max="2" width="11.85546875" customWidth="1"/>
    <col min="3" max="4" width="13.42578125" bestFit="1" customWidth="1"/>
    <col min="5" max="5" width="11.28515625" customWidth="1"/>
  </cols>
  <sheetData>
    <row r="1" spans="1:15" ht="15">
      <c r="A1" s="88" t="s">
        <v>138</v>
      </c>
    </row>
    <row r="4" spans="1:15">
      <c r="A4" t="s">
        <v>140</v>
      </c>
      <c r="B4">
        <f>156*4+177*2</f>
        <v>978</v>
      </c>
      <c r="C4" t="s">
        <v>141</v>
      </c>
    </row>
    <row r="5" spans="1:15">
      <c r="A5" t="s">
        <v>142</v>
      </c>
      <c r="B5">
        <v>30</v>
      </c>
      <c r="C5" t="s">
        <v>143</v>
      </c>
    </row>
    <row r="6" spans="1:15">
      <c r="A6" t="s">
        <v>144</v>
      </c>
      <c r="B6">
        <f>B4*B5/100</f>
        <v>293.39999999999998</v>
      </c>
      <c r="C6" t="s">
        <v>145</v>
      </c>
      <c r="D6" s="230"/>
    </row>
    <row r="7" spans="1:15">
      <c r="A7" t="s">
        <v>140</v>
      </c>
      <c r="B7">
        <f>B6/1000</f>
        <v>0.29339999999999999</v>
      </c>
      <c r="C7" t="s">
        <v>139</v>
      </c>
      <c r="D7">
        <f>4*7*B7</f>
        <v>8.2151999999999994</v>
      </c>
    </row>
    <row r="9" spans="1:15">
      <c r="A9" s="91" t="s">
        <v>146</v>
      </c>
      <c r="B9">
        <v>156</v>
      </c>
      <c r="C9" t="s">
        <v>141</v>
      </c>
      <c r="D9">
        <f t="shared" ref="D9:D14" si="0">$B$5*B9/100</f>
        <v>46.8</v>
      </c>
      <c r="E9" t="s">
        <v>82</v>
      </c>
      <c r="O9">
        <v>8</v>
      </c>
    </row>
    <row r="10" spans="1:15">
      <c r="A10" t="s">
        <v>147</v>
      </c>
      <c r="B10">
        <v>156</v>
      </c>
      <c r="C10" t="s">
        <v>141</v>
      </c>
      <c r="D10">
        <f t="shared" si="0"/>
        <v>46.8</v>
      </c>
      <c r="E10" t="s">
        <v>82</v>
      </c>
      <c r="O10">
        <v>8.625</v>
      </c>
    </row>
    <row r="11" spans="1:15">
      <c r="A11" t="s">
        <v>148</v>
      </c>
      <c r="B11">
        <v>177</v>
      </c>
      <c r="C11" t="s">
        <v>141</v>
      </c>
      <c r="D11">
        <f t="shared" si="0"/>
        <v>53.1</v>
      </c>
      <c r="E11" t="s">
        <v>82</v>
      </c>
      <c r="O11">
        <v>9.25</v>
      </c>
    </row>
    <row r="12" spans="1:15">
      <c r="A12" t="s">
        <v>149</v>
      </c>
      <c r="B12">
        <v>156</v>
      </c>
      <c r="C12" t="s">
        <v>141</v>
      </c>
      <c r="D12">
        <f t="shared" si="0"/>
        <v>46.8</v>
      </c>
      <c r="E12" t="s">
        <v>82</v>
      </c>
      <c r="O12">
        <v>9.875</v>
      </c>
    </row>
    <row r="13" spans="1:15">
      <c r="A13" t="s">
        <v>150</v>
      </c>
      <c r="B13">
        <v>156</v>
      </c>
      <c r="C13" t="s">
        <v>141</v>
      </c>
      <c r="D13">
        <f t="shared" si="0"/>
        <v>46.8</v>
      </c>
      <c r="E13" t="s">
        <v>82</v>
      </c>
      <c r="O13">
        <v>10.5</v>
      </c>
    </row>
    <row r="14" spans="1:15">
      <c r="A14" t="s">
        <v>151</v>
      </c>
      <c r="B14">
        <v>177</v>
      </c>
      <c r="C14" t="s">
        <v>141</v>
      </c>
      <c r="D14">
        <f t="shared" si="0"/>
        <v>53.1</v>
      </c>
      <c r="E14" t="s">
        <v>82</v>
      </c>
      <c r="O14">
        <v>11.125</v>
      </c>
    </row>
    <row r="15" spans="1:15">
      <c r="O15">
        <v>11.75</v>
      </c>
    </row>
    <row r="16" spans="1:15">
      <c r="O16">
        <v>12.375</v>
      </c>
    </row>
    <row r="17" spans="1:15">
      <c r="O17">
        <v>13</v>
      </c>
    </row>
    <row r="18" spans="1:15">
      <c r="O18">
        <v>13.625</v>
      </c>
    </row>
    <row r="19" spans="1:15">
      <c r="A19" t="s">
        <v>152</v>
      </c>
      <c r="O19">
        <v>14.25</v>
      </c>
    </row>
    <row r="21" spans="1:15">
      <c r="A21" t="s">
        <v>492</v>
      </c>
      <c r="B21">
        <f>4*B7</f>
        <v>1.1736</v>
      </c>
      <c r="C21" t="s">
        <v>139</v>
      </c>
      <c r="E21" t="s">
        <v>154</v>
      </c>
      <c r="I21" t="s">
        <v>166</v>
      </c>
      <c r="J21" s="36">
        <v>6.9444444444444447E-4</v>
      </c>
    </row>
    <row r="22" spans="1:15">
      <c r="C22" t="s">
        <v>153</v>
      </c>
      <c r="D22" t="s">
        <v>82</v>
      </c>
      <c r="E22">
        <v>10</v>
      </c>
      <c r="F22">
        <v>10.35</v>
      </c>
      <c r="G22">
        <v>10.7</v>
      </c>
      <c r="H22">
        <v>11.05</v>
      </c>
      <c r="I22">
        <v>11.4</v>
      </c>
      <c r="J22">
        <v>11.75</v>
      </c>
      <c r="K22">
        <v>12.1</v>
      </c>
      <c r="L22">
        <v>12.45</v>
      </c>
      <c r="M22">
        <v>12.8</v>
      </c>
      <c r="N22">
        <v>13.15</v>
      </c>
      <c r="O22">
        <v>13.5</v>
      </c>
    </row>
    <row r="23" spans="1:15">
      <c r="A23" s="91" t="s">
        <v>486</v>
      </c>
      <c r="B23">
        <v>156</v>
      </c>
      <c r="C23">
        <f>B23</f>
        <v>156</v>
      </c>
      <c r="D23">
        <f>C23*30/100</f>
        <v>46.8</v>
      </c>
      <c r="E23" s="92">
        <f>($D23/(24*E$22))/1000</f>
        <v>1.9499999999999997E-4</v>
      </c>
      <c r="F23" s="92">
        <f t="shared" ref="F23:O38" si="1">($D23/(24*F$22))/1000</f>
        <v>1.8840579710144927E-4</v>
      </c>
      <c r="G23" s="92">
        <f t="shared" si="1"/>
        <v>1.8224299065420564E-4</v>
      </c>
      <c r="H23" s="92">
        <f t="shared" si="1"/>
        <v>1.7647058823529408E-4</v>
      </c>
      <c r="I23" s="92">
        <f t="shared" si="1"/>
        <v>1.7105263157894733E-4</v>
      </c>
      <c r="J23" s="92">
        <f t="shared" si="1"/>
        <v>1.6595744680851062E-4</v>
      </c>
      <c r="K23" s="92">
        <f t="shared" si="1"/>
        <v>1.6115702479338841E-4</v>
      </c>
      <c r="L23" s="92">
        <f t="shared" si="1"/>
        <v>1.5662650602409639E-4</v>
      </c>
      <c r="M23" s="92">
        <f t="shared" si="1"/>
        <v>1.5234374999999997E-4</v>
      </c>
      <c r="N23" s="92">
        <f t="shared" si="1"/>
        <v>1.4828897338403042E-4</v>
      </c>
      <c r="O23" s="92">
        <f t="shared" si="1"/>
        <v>1.4444444444444444E-4</v>
      </c>
    </row>
    <row r="24" spans="1:15">
      <c r="A24" s="91" t="s">
        <v>487</v>
      </c>
      <c r="B24">
        <v>156</v>
      </c>
      <c r="C24">
        <f>C23+B24</f>
        <v>312</v>
      </c>
      <c r="D24">
        <f t="shared" ref="D24:D40" si="2">C24*30/100</f>
        <v>93.6</v>
      </c>
      <c r="E24" s="92">
        <f t="shared" ref="E24:E40" si="3">($D24/(24*E$22))/1000</f>
        <v>3.8999999999999994E-4</v>
      </c>
      <c r="F24" s="92">
        <f t="shared" si="1"/>
        <v>3.7681159420289854E-4</v>
      </c>
      <c r="G24" s="92">
        <f t="shared" si="1"/>
        <v>3.6448598130841127E-4</v>
      </c>
      <c r="H24" s="92">
        <f t="shared" si="1"/>
        <v>3.5294117647058815E-4</v>
      </c>
      <c r="I24" s="92">
        <f t="shared" si="1"/>
        <v>3.4210526315789466E-4</v>
      </c>
      <c r="J24" s="92">
        <f t="shared" si="1"/>
        <v>3.3191489361702125E-4</v>
      </c>
      <c r="K24" s="92">
        <f t="shared" si="1"/>
        <v>3.2231404958677683E-4</v>
      </c>
      <c r="L24" s="92">
        <f t="shared" si="1"/>
        <v>3.1325301204819278E-4</v>
      </c>
      <c r="M24" s="92">
        <f t="shared" si="1"/>
        <v>3.0468749999999995E-4</v>
      </c>
      <c r="N24" s="92">
        <f t="shared" si="1"/>
        <v>2.9657794676806083E-4</v>
      </c>
      <c r="O24" s="92">
        <f t="shared" si="1"/>
        <v>2.8888888888888888E-4</v>
      </c>
    </row>
    <row r="25" spans="1:15">
      <c r="A25" s="91" t="s">
        <v>488</v>
      </c>
      <c r="B25">
        <v>177</v>
      </c>
      <c r="C25">
        <f t="shared" ref="C25:C40" si="4">C24+B25</f>
        <v>489</v>
      </c>
      <c r="D25">
        <f t="shared" si="2"/>
        <v>146.69999999999999</v>
      </c>
      <c r="E25" s="92">
        <f t="shared" si="3"/>
        <v>6.1124999999999992E-4</v>
      </c>
      <c r="F25" s="92">
        <f t="shared" si="1"/>
        <v>5.9057971014492749E-4</v>
      </c>
      <c r="G25" s="92">
        <f t="shared" si="1"/>
        <v>5.7126168224299072E-4</v>
      </c>
      <c r="H25" s="92">
        <f t="shared" si="1"/>
        <v>5.5316742081447942E-4</v>
      </c>
      <c r="I25" s="92">
        <f t="shared" si="1"/>
        <v>5.3618421052631566E-4</v>
      </c>
      <c r="J25" s="92">
        <f t="shared" si="1"/>
        <v>5.2021276595744681E-4</v>
      </c>
      <c r="K25" s="92">
        <f t="shared" si="1"/>
        <v>5.0516528925619833E-4</v>
      </c>
      <c r="L25" s="92">
        <f t="shared" si="1"/>
        <v>4.909638554216868E-4</v>
      </c>
      <c r="M25" s="92">
        <f t="shared" si="1"/>
        <v>4.7753906249999988E-4</v>
      </c>
      <c r="N25" s="92">
        <f t="shared" si="1"/>
        <v>4.6482889733840299E-4</v>
      </c>
      <c r="O25" s="92">
        <f t="shared" si="1"/>
        <v>4.5277777777777775E-4</v>
      </c>
    </row>
    <row r="26" spans="1:15">
      <c r="A26" s="91" t="s">
        <v>489</v>
      </c>
      <c r="B26">
        <v>156</v>
      </c>
      <c r="C26">
        <f t="shared" si="4"/>
        <v>645</v>
      </c>
      <c r="D26" s="231">
        <f t="shared" si="2"/>
        <v>193.5</v>
      </c>
      <c r="E26" s="92">
        <f t="shared" si="3"/>
        <v>8.0625E-4</v>
      </c>
      <c r="F26" s="92">
        <f t="shared" si="1"/>
        <v>7.7898550724637679E-4</v>
      </c>
      <c r="G26" s="92">
        <f t="shared" si="1"/>
        <v>7.5350467289719641E-4</v>
      </c>
      <c r="H26" s="92">
        <f t="shared" si="1"/>
        <v>7.2963800904977364E-4</v>
      </c>
      <c r="I26" s="92">
        <f t="shared" si="1"/>
        <v>7.072368421052631E-4</v>
      </c>
      <c r="J26" s="92">
        <f t="shared" si="1"/>
        <v>6.8617021276595747E-4</v>
      </c>
      <c r="K26" s="92">
        <f t="shared" si="1"/>
        <v>6.6632231404958691E-4</v>
      </c>
      <c r="L26" s="92">
        <f t="shared" si="1"/>
        <v>6.4759036144578321E-4</v>
      </c>
      <c r="M26" s="92">
        <f t="shared" si="1"/>
        <v>6.2988281249999991E-4</v>
      </c>
      <c r="N26" s="92">
        <f t="shared" si="1"/>
        <v>6.1311787072243344E-4</v>
      </c>
      <c r="O26" s="92">
        <f t="shared" si="1"/>
        <v>5.9722222222222219E-4</v>
      </c>
    </row>
    <row r="27" spans="1:15">
      <c r="A27" s="91" t="s">
        <v>490</v>
      </c>
      <c r="B27">
        <v>156</v>
      </c>
      <c r="C27">
        <f t="shared" si="4"/>
        <v>801</v>
      </c>
      <c r="D27" s="230">
        <f t="shared" si="2"/>
        <v>240.3</v>
      </c>
      <c r="E27" s="92">
        <f t="shared" si="3"/>
        <v>1.00125E-3</v>
      </c>
      <c r="F27" s="92">
        <f t="shared" si="1"/>
        <v>9.673913043478263E-4</v>
      </c>
      <c r="G27" s="92">
        <f t="shared" si="1"/>
        <v>9.357476635514021E-4</v>
      </c>
      <c r="H27" s="92">
        <f t="shared" si="1"/>
        <v>9.0610859728506774E-4</v>
      </c>
      <c r="I27" s="92">
        <f t="shared" si="1"/>
        <v>8.7828947368421054E-4</v>
      </c>
      <c r="J27" s="92">
        <f t="shared" si="1"/>
        <v>8.5212765957446812E-4</v>
      </c>
      <c r="K27" s="92">
        <f t="shared" si="1"/>
        <v>8.2747933884297527E-4</v>
      </c>
      <c r="L27" s="92">
        <f t="shared" si="1"/>
        <v>8.0421686746987963E-4</v>
      </c>
      <c r="M27" s="92">
        <f t="shared" si="1"/>
        <v>7.8222656249999994E-4</v>
      </c>
      <c r="N27" s="92">
        <f t="shared" si="1"/>
        <v>7.6140684410646382E-4</v>
      </c>
      <c r="O27" s="92">
        <f t="shared" si="1"/>
        <v>7.4166666666666673E-4</v>
      </c>
    </row>
    <row r="28" spans="1:15">
      <c r="A28" s="91" t="s">
        <v>491</v>
      </c>
      <c r="B28">
        <v>177</v>
      </c>
      <c r="C28">
        <f t="shared" si="4"/>
        <v>978</v>
      </c>
      <c r="D28" s="229">
        <f t="shared" si="2"/>
        <v>293.39999999999998</v>
      </c>
      <c r="E28" s="92">
        <f t="shared" si="3"/>
        <v>1.2224999999999998E-3</v>
      </c>
      <c r="F28" s="92">
        <f t="shared" si="1"/>
        <v>1.181159420289855E-3</v>
      </c>
      <c r="G28" s="92">
        <f t="shared" si="1"/>
        <v>1.1425233644859814E-3</v>
      </c>
      <c r="H28" s="92">
        <f t="shared" si="1"/>
        <v>1.1063348416289588E-3</v>
      </c>
      <c r="I28" s="92">
        <f t="shared" si="1"/>
        <v>1.0723684210526313E-3</v>
      </c>
      <c r="J28" s="92">
        <f t="shared" si="1"/>
        <v>1.0404255319148936E-3</v>
      </c>
      <c r="K28" s="92">
        <f t="shared" si="1"/>
        <v>1.0103305785123967E-3</v>
      </c>
      <c r="L28" s="92">
        <f t="shared" si="1"/>
        <v>9.8192771084337359E-4</v>
      </c>
      <c r="M28" s="92">
        <f t="shared" si="1"/>
        <v>9.5507812499999976E-4</v>
      </c>
      <c r="N28" s="92">
        <f t="shared" si="1"/>
        <v>9.2965779467680599E-4</v>
      </c>
      <c r="O28" s="92">
        <f t="shared" si="1"/>
        <v>9.055555555555555E-4</v>
      </c>
    </row>
    <row r="29" spans="1:15">
      <c r="A29" s="91" t="s">
        <v>486</v>
      </c>
      <c r="B29">
        <v>156</v>
      </c>
      <c r="C29">
        <f t="shared" si="4"/>
        <v>1134</v>
      </c>
      <c r="D29">
        <f t="shared" si="2"/>
        <v>340.2</v>
      </c>
      <c r="E29" s="92">
        <f t="shared" si="3"/>
        <v>1.4174999999999999E-3</v>
      </c>
      <c r="F29" s="92">
        <f t="shared" si="1"/>
        <v>1.3695652173913045E-3</v>
      </c>
      <c r="G29" s="92">
        <f t="shared" si="1"/>
        <v>1.3247663551401872E-3</v>
      </c>
      <c r="H29" s="92">
        <f t="shared" si="1"/>
        <v>1.2828054298642531E-3</v>
      </c>
      <c r="I29" s="92">
        <f t="shared" si="1"/>
        <v>1.2434210526315788E-3</v>
      </c>
      <c r="J29" s="92">
        <f t="shared" si="1"/>
        <v>1.2063829787234042E-3</v>
      </c>
      <c r="K29" s="92">
        <f t="shared" si="1"/>
        <v>1.1714876033057852E-3</v>
      </c>
      <c r="L29" s="92">
        <f t="shared" si="1"/>
        <v>1.1385542168674701E-3</v>
      </c>
      <c r="M29" s="92">
        <f t="shared" si="1"/>
        <v>1.1074218749999997E-3</v>
      </c>
      <c r="N29" s="92">
        <f t="shared" si="1"/>
        <v>1.0779467680608363E-3</v>
      </c>
      <c r="O29" s="92">
        <f t="shared" si="1"/>
        <v>1.0500000000000002E-3</v>
      </c>
    </row>
    <row r="30" spans="1:15">
      <c r="A30" s="91" t="s">
        <v>487</v>
      </c>
      <c r="B30">
        <v>156</v>
      </c>
      <c r="C30">
        <f t="shared" si="4"/>
        <v>1290</v>
      </c>
      <c r="D30">
        <f t="shared" si="2"/>
        <v>387</v>
      </c>
      <c r="E30" s="92">
        <f t="shared" si="3"/>
        <v>1.6125E-3</v>
      </c>
      <c r="F30" s="92">
        <f t="shared" si="1"/>
        <v>1.5579710144927536E-3</v>
      </c>
      <c r="G30" s="92">
        <f t="shared" si="1"/>
        <v>1.5070093457943928E-3</v>
      </c>
      <c r="H30" s="92">
        <f t="shared" si="1"/>
        <v>1.4592760180995473E-3</v>
      </c>
      <c r="I30" s="92">
        <f t="shared" si="1"/>
        <v>1.4144736842105262E-3</v>
      </c>
      <c r="J30" s="92">
        <f t="shared" si="1"/>
        <v>1.3723404255319149E-3</v>
      </c>
      <c r="K30" s="92">
        <f t="shared" si="1"/>
        <v>1.3326446280991738E-3</v>
      </c>
      <c r="L30" s="92">
        <f t="shared" si="1"/>
        <v>1.2951807228915664E-3</v>
      </c>
      <c r="M30" s="92">
        <f t="shared" si="1"/>
        <v>1.2597656249999998E-3</v>
      </c>
      <c r="N30" s="92">
        <f t="shared" si="1"/>
        <v>1.2262357414448669E-3</v>
      </c>
      <c r="O30" s="92">
        <f t="shared" si="1"/>
        <v>1.1944444444444444E-3</v>
      </c>
    </row>
    <row r="31" spans="1:15">
      <c r="A31" s="91" t="s">
        <v>488</v>
      </c>
      <c r="B31">
        <v>177</v>
      </c>
      <c r="C31">
        <f t="shared" si="4"/>
        <v>1467</v>
      </c>
      <c r="D31">
        <f t="shared" si="2"/>
        <v>440.1</v>
      </c>
      <c r="E31" s="92">
        <f t="shared" si="3"/>
        <v>1.8337500000000001E-3</v>
      </c>
      <c r="F31" s="92">
        <f t="shared" si="1"/>
        <v>1.771739130434783E-3</v>
      </c>
      <c r="G31" s="92">
        <f t="shared" si="1"/>
        <v>1.7137850467289723E-3</v>
      </c>
      <c r="H31" s="92">
        <f t="shared" si="1"/>
        <v>1.6595022624434387E-3</v>
      </c>
      <c r="I31" s="92">
        <f t="shared" si="1"/>
        <v>1.6085526315789474E-3</v>
      </c>
      <c r="J31" s="92">
        <f t="shared" si="1"/>
        <v>1.5606382978723406E-3</v>
      </c>
      <c r="K31" s="92">
        <f t="shared" si="1"/>
        <v>1.5154958677685952E-3</v>
      </c>
      <c r="L31" s="92">
        <f t="shared" si="1"/>
        <v>1.4728915662650605E-3</v>
      </c>
      <c r="M31" s="92">
        <f t="shared" si="1"/>
        <v>1.4326171874999999E-3</v>
      </c>
      <c r="N31" s="92">
        <f t="shared" si="1"/>
        <v>1.3944866920152089E-3</v>
      </c>
      <c r="O31" s="92">
        <f t="shared" si="1"/>
        <v>1.3583333333333334E-3</v>
      </c>
    </row>
    <row r="32" spans="1:15">
      <c r="A32" s="91" t="s">
        <v>489</v>
      </c>
      <c r="B32">
        <v>156</v>
      </c>
      <c r="C32">
        <f t="shared" si="4"/>
        <v>1623</v>
      </c>
      <c r="D32">
        <f t="shared" si="2"/>
        <v>486.9</v>
      </c>
      <c r="E32" s="92">
        <f t="shared" si="3"/>
        <v>2.0287500000000002E-3</v>
      </c>
      <c r="F32" s="92">
        <f t="shared" si="1"/>
        <v>1.9601449275362319E-3</v>
      </c>
      <c r="G32" s="92">
        <f t="shared" si="1"/>
        <v>1.8960280373831776E-3</v>
      </c>
      <c r="H32" s="92">
        <f t="shared" si="1"/>
        <v>1.8359728506787327E-3</v>
      </c>
      <c r="I32" s="92">
        <f t="shared" si="1"/>
        <v>1.7796052631578944E-3</v>
      </c>
      <c r="J32" s="92">
        <f t="shared" si="1"/>
        <v>1.7265957446808511E-3</v>
      </c>
      <c r="K32" s="92">
        <f t="shared" si="1"/>
        <v>1.6766528925619836E-3</v>
      </c>
      <c r="L32" s="92">
        <f t="shared" si="1"/>
        <v>1.6295180722891568E-3</v>
      </c>
      <c r="M32" s="92">
        <f t="shared" si="1"/>
        <v>1.5849609374999998E-3</v>
      </c>
      <c r="N32" s="92">
        <f t="shared" si="1"/>
        <v>1.5427756653992393E-3</v>
      </c>
      <c r="O32" s="92">
        <f t="shared" si="1"/>
        <v>1.5027777777777778E-3</v>
      </c>
    </row>
    <row r="33" spans="1:15">
      <c r="A33" s="91" t="s">
        <v>490</v>
      </c>
      <c r="B33">
        <v>156</v>
      </c>
      <c r="C33">
        <f t="shared" si="4"/>
        <v>1779</v>
      </c>
      <c r="D33">
        <f t="shared" si="2"/>
        <v>533.70000000000005</v>
      </c>
      <c r="E33" s="92">
        <f t="shared" si="3"/>
        <v>2.2237500000000005E-3</v>
      </c>
      <c r="F33" s="92">
        <f t="shared" si="1"/>
        <v>2.1485507246376814E-3</v>
      </c>
      <c r="G33" s="92">
        <f t="shared" si="1"/>
        <v>2.0782710280373836E-3</v>
      </c>
      <c r="H33" s="92">
        <f t="shared" si="1"/>
        <v>2.0124434389140271E-3</v>
      </c>
      <c r="I33" s="92">
        <f t="shared" si="1"/>
        <v>1.9506578947368421E-3</v>
      </c>
      <c r="J33" s="92">
        <f t="shared" si="1"/>
        <v>1.8925531914893619E-3</v>
      </c>
      <c r="K33" s="92">
        <f t="shared" si="1"/>
        <v>1.8378099173553721E-3</v>
      </c>
      <c r="L33" s="92">
        <f t="shared" si="1"/>
        <v>1.7861445783132535E-3</v>
      </c>
      <c r="M33" s="92">
        <f t="shared" si="1"/>
        <v>1.7373046874999999E-3</v>
      </c>
      <c r="N33" s="92">
        <f t="shared" si="1"/>
        <v>1.6910646387832699E-3</v>
      </c>
      <c r="O33" s="92">
        <f t="shared" si="1"/>
        <v>1.6472222222222224E-3</v>
      </c>
    </row>
    <row r="34" spans="1:15">
      <c r="A34" s="91" t="s">
        <v>491</v>
      </c>
      <c r="B34">
        <v>177</v>
      </c>
      <c r="C34">
        <f t="shared" si="4"/>
        <v>1956</v>
      </c>
      <c r="D34">
        <f t="shared" si="2"/>
        <v>586.79999999999995</v>
      </c>
      <c r="E34" s="92">
        <f t="shared" si="3"/>
        <v>2.4449999999999997E-3</v>
      </c>
      <c r="F34" s="92">
        <f t="shared" si="1"/>
        <v>2.36231884057971E-3</v>
      </c>
      <c r="G34" s="92">
        <f t="shared" si="1"/>
        <v>2.2850467289719629E-3</v>
      </c>
      <c r="H34" s="92">
        <f t="shared" si="1"/>
        <v>2.2126696832579177E-3</v>
      </c>
      <c r="I34" s="92">
        <f t="shared" si="1"/>
        <v>2.1447368421052626E-3</v>
      </c>
      <c r="J34" s="92">
        <f t="shared" si="1"/>
        <v>2.0808510638297873E-3</v>
      </c>
      <c r="K34" s="92">
        <f t="shared" si="1"/>
        <v>2.0206611570247933E-3</v>
      </c>
      <c r="L34" s="92">
        <f t="shared" si="1"/>
        <v>1.9638554216867472E-3</v>
      </c>
      <c r="M34" s="92">
        <f t="shared" si="1"/>
        <v>1.9101562499999995E-3</v>
      </c>
      <c r="N34" s="92">
        <f t="shared" si="1"/>
        <v>1.859315589353612E-3</v>
      </c>
      <c r="O34" s="92">
        <f t="shared" si="1"/>
        <v>1.811111111111111E-3</v>
      </c>
    </row>
    <row r="35" spans="1:15">
      <c r="A35" s="91" t="s">
        <v>486</v>
      </c>
      <c r="B35">
        <v>156</v>
      </c>
      <c r="C35">
        <f t="shared" si="4"/>
        <v>2112</v>
      </c>
      <c r="D35">
        <f t="shared" si="2"/>
        <v>633.6</v>
      </c>
      <c r="E35" s="92">
        <f t="shared" si="3"/>
        <v>2.64E-3</v>
      </c>
      <c r="F35" s="92">
        <f t="shared" si="1"/>
        <v>2.5507246376811595E-3</v>
      </c>
      <c r="G35" s="92">
        <f t="shared" si="1"/>
        <v>2.4672897196261691E-3</v>
      </c>
      <c r="H35" s="92">
        <f t="shared" si="1"/>
        <v>2.3891402714932121E-3</v>
      </c>
      <c r="I35" s="92">
        <f t="shared" si="1"/>
        <v>2.3157894736842107E-3</v>
      </c>
      <c r="J35" s="92">
        <f t="shared" si="1"/>
        <v>2.246808510638298E-3</v>
      </c>
      <c r="K35" s="92">
        <f t="shared" si="1"/>
        <v>2.1818181818181819E-3</v>
      </c>
      <c r="L35" s="92">
        <f t="shared" si="1"/>
        <v>2.1204819277108439E-3</v>
      </c>
      <c r="M35" s="92">
        <f t="shared" si="1"/>
        <v>2.0624999999999997E-3</v>
      </c>
      <c r="N35" s="92">
        <f t="shared" si="1"/>
        <v>2.0076045627376426E-3</v>
      </c>
      <c r="O35" s="92">
        <f t="shared" si="1"/>
        <v>1.9555555555555559E-3</v>
      </c>
    </row>
    <row r="36" spans="1:15">
      <c r="A36" s="91" t="s">
        <v>487</v>
      </c>
      <c r="B36">
        <v>156</v>
      </c>
      <c r="C36">
        <f t="shared" si="4"/>
        <v>2268</v>
      </c>
      <c r="D36">
        <f t="shared" si="2"/>
        <v>680.4</v>
      </c>
      <c r="E36" s="92">
        <f t="shared" si="3"/>
        <v>2.8349999999999998E-3</v>
      </c>
      <c r="F36" s="92">
        <f t="shared" si="1"/>
        <v>2.739130434782609E-3</v>
      </c>
      <c r="G36" s="92">
        <f t="shared" si="1"/>
        <v>2.6495327102803745E-3</v>
      </c>
      <c r="H36" s="92">
        <f t="shared" si="1"/>
        <v>2.5656108597285061E-3</v>
      </c>
      <c r="I36" s="92">
        <f t="shared" si="1"/>
        <v>2.4868421052631575E-3</v>
      </c>
      <c r="J36" s="92">
        <f t="shared" si="1"/>
        <v>2.4127659574468083E-3</v>
      </c>
      <c r="K36" s="92">
        <f t="shared" si="1"/>
        <v>2.3429752066115705E-3</v>
      </c>
      <c r="L36" s="92">
        <f t="shared" si="1"/>
        <v>2.2771084337349402E-3</v>
      </c>
      <c r="M36" s="92">
        <f t="shared" si="1"/>
        <v>2.2148437499999994E-3</v>
      </c>
      <c r="N36" s="92">
        <f t="shared" si="1"/>
        <v>2.1558935361216725E-3</v>
      </c>
      <c r="O36" s="92">
        <f t="shared" si="1"/>
        <v>2.1000000000000003E-3</v>
      </c>
    </row>
    <row r="37" spans="1:15">
      <c r="A37" s="91" t="s">
        <v>488</v>
      </c>
      <c r="B37">
        <v>177</v>
      </c>
      <c r="C37">
        <f t="shared" si="4"/>
        <v>2445</v>
      </c>
      <c r="D37">
        <f t="shared" si="2"/>
        <v>733.5</v>
      </c>
      <c r="E37" s="92">
        <f t="shared" si="3"/>
        <v>3.0562499999999999E-3</v>
      </c>
      <c r="F37" s="92">
        <f t="shared" si="1"/>
        <v>2.952898550724638E-3</v>
      </c>
      <c r="G37" s="92">
        <f t="shared" si="1"/>
        <v>2.8563084112149541E-3</v>
      </c>
      <c r="H37" s="92">
        <f t="shared" si="1"/>
        <v>2.7658371040723976E-3</v>
      </c>
      <c r="I37" s="92">
        <f t="shared" si="1"/>
        <v>2.680921052631579E-3</v>
      </c>
      <c r="J37" s="92">
        <f t="shared" si="1"/>
        <v>2.601063829787234E-3</v>
      </c>
      <c r="K37" s="92">
        <f t="shared" si="1"/>
        <v>2.5258264462809919E-3</v>
      </c>
      <c r="L37" s="92">
        <f t="shared" si="1"/>
        <v>2.4548192771084339E-3</v>
      </c>
      <c r="M37" s="92">
        <f t="shared" si="1"/>
        <v>2.3876953124999994E-3</v>
      </c>
      <c r="N37" s="92">
        <f t="shared" si="1"/>
        <v>2.324144486692015E-3</v>
      </c>
      <c r="O37" s="92">
        <f t="shared" si="1"/>
        <v>2.2638888888888886E-3</v>
      </c>
    </row>
    <row r="38" spans="1:15">
      <c r="A38" s="91" t="s">
        <v>489</v>
      </c>
      <c r="B38">
        <v>156</v>
      </c>
      <c r="C38">
        <f t="shared" si="4"/>
        <v>2601</v>
      </c>
      <c r="D38">
        <f t="shared" si="2"/>
        <v>780.3</v>
      </c>
      <c r="E38" s="92">
        <f t="shared" si="3"/>
        <v>3.2512499999999998E-3</v>
      </c>
      <c r="F38" s="92">
        <f t="shared" si="1"/>
        <v>3.1413043478260871E-3</v>
      </c>
      <c r="G38" s="92">
        <f t="shared" si="1"/>
        <v>3.0385514018691595E-3</v>
      </c>
      <c r="H38" s="92">
        <f t="shared" si="1"/>
        <v>2.9423076923076916E-3</v>
      </c>
      <c r="I38" s="92">
        <f t="shared" si="1"/>
        <v>2.8519736842105262E-3</v>
      </c>
      <c r="J38" s="92">
        <f t="shared" si="1"/>
        <v>2.7670212765957447E-3</v>
      </c>
      <c r="K38" s="92">
        <f t="shared" si="1"/>
        <v>2.68698347107438E-3</v>
      </c>
      <c r="L38" s="92">
        <f t="shared" si="1"/>
        <v>2.6114457831325302E-3</v>
      </c>
      <c r="M38" s="92">
        <f t="shared" si="1"/>
        <v>2.5400390624999995E-3</v>
      </c>
      <c r="N38" s="92">
        <f t="shared" si="1"/>
        <v>2.4724334600760454E-3</v>
      </c>
      <c r="O38" s="92">
        <f t="shared" si="1"/>
        <v>2.4083333333333331E-3</v>
      </c>
    </row>
    <row r="39" spans="1:15">
      <c r="A39" s="91" t="s">
        <v>490</v>
      </c>
      <c r="B39">
        <v>156</v>
      </c>
      <c r="C39">
        <f t="shared" si="4"/>
        <v>2757</v>
      </c>
      <c r="D39">
        <f t="shared" si="2"/>
        <v>827.1</v>
      </c>
      <c r="E39" s="92">
        <f t="shared" si="3"/>
        <v>3.4462500000000001E-3</v>
      </c>
      <c r="F39" s="92">
        <f t="shared" ref="F39:O40" si="5">($D39/(24*F$22))/1000</f>
        <v>3.3297101449275366E-3</v>
      </c>
      <c r="G39" s="92">
        <f t="shared" si="5"/>
        <v>3.2207943925233653E-3</v>
      </c>
      <c r="H39" s="92">
        <f t="shared" si="5"/>
        <v>3.118778280542986E-3</v>
      </c>
      <c r="I39" s="92">
        <f t="shared" si="5"/>
        <v>3.0230263157894734E-3</v>
      </c>
      <c r="J39" s="92">
        <f t="shared" si="5"/>
        <v>2.9329787234042555E-3</v>
      </c>
      <c r="K39" s="92">
        <f t="shared" si="5"/>
        <v>2.848140495867769E-3</v>
      </c>
      <c r="L39" s="92">
        <f t="shared" si="5"/>
        <v>2.7680722891566274E-3</v>
      </c>
      <c r="M39" s="92">
        <f t="shared" si="5"/>
        <v>2.6923828124999997E-3</v>
      </c>
      <c r="N39" s="92">
        <f t="shared" si="5"/>
        <v>2.6207224334600762E-3</v>
      </c>
      <c r="O39" s="92">
        <f t="shared" si="5"/>
        <v>2.5527777777777779E-3</v>
      </c>
    </row>
    <row r="40" spans="1:15">
      <c r="A40" s="91" t="s">
        <v>491</v>
      </c>
      <c r="B40">
        <v>177</v>
      </c>
      <c r="C40">
        <f t="shared" si="4"/>
        <v>2934</v>
      </c>
      <c r="D40">
        <f t="shared" si="2"/>
        <v>880.2</v>
      </c>
      <c r="E40" s="92">
        <f t="shared" si="3"/>
        <v>3.6675000000000002E-3</v>
      </c>
      <c r="F40" s="92">
        <f t="shared" si="5"/>
        <v>3.543478260869566E-3</v>
      </c>
      <c r="G40" s="92">
        <f t="shared" si="5"/>
        <v>3.4275700934579445E-3</v>
      </c>
      <c r="H40" s="92">
        <f t="shared" si="5"/>
        <v>3.3190045248868774E-3</v>
      </c>
      <c r="I40" s="92">
        <f t="shared" si="5"/>
        <v>3.2171052631578948E-3</v>
      </c>
      <c r="J40" s="92">
        <f t="shared" si="5"/>
        <v>3.1212765957446811E-3</v>
      </c>
      <c r="K40" s="92">
        <f t="shared" si="5"/>
        <v>3.0309917355371904E-3</v>
      </c>
      <c r="L40" s="92">
        <f t="shared" si="5"/>
        <v>2.945783132530121E-3</v>
      </c>
      <c r="M40" s="92">
        <f t="shared" si="5"/>
        <v>2.8652343749999997E-3</v>
      </c>
      <c r="N40" s="92">
        <f t="shared" si="5"/>
        <v>2.7889733840304179E-3</v>
      </c>
      <c r="O40" s="92">
        <f t="shared" si="5"/>
        <v>2.7166666666666667E-3</v>
      </c>
    </row>
    <row r="41" spans="1:15">
      <c r="D41" s="59">
        <v>3.4722222222222222E-5</v>
      </c>
    </row>
    <row r="42" spans="1:15">
      <c r="D42" s="59">
        <v>0</v>
      </c>
      <c r="E42">
        <v>1</v>
      </c>
    </row>
    <row r="43" spans="1:15">
      <c r="A43" t="s">
        <v>155</v>
      </c>
      <c r="B43" s="91" t="s">
        <v>146</v>
      </c>
      <c r="C43" s="94">
        <f>E23</f>
        <v>1.9499999999999997E-4</v>
      </c>
      <c r="D43" s="94">
        <f>C43-$D$41</f>
        <v>1.6027777777777774E-4</v>
      </c>
      <c r="E43">
        <v>2</v>
      </c>
    </row>
    <row r="44" spans="1:15">
      <c r="A44" s="93">
        <f>E22</f>
        <v>10</v>
      </c>
      <c r="B44" t="s">
        <v>147</v>
      </c>
      <c r="C44" s="94">
        <f t="shared" ref="C44:C60" si="6">E24</f>
        <v>3.8999999999999994E-4</v>
      </c>
      <c r="D44" s="94">
        <f t="shared" ref="D44:D107" si="7">C44-$D$41</f>
        <v>3.5527777777777771E-4</v>
      </c>
      <c r="E44">
        <v>3</v>
      </c>
    </row>
    <row r="45" spans="1:15">
      <c r="B45" t="s">
        <v>148</v>
      </c>
      <c r="C45" s="94">
        <f t="shared" si="6"/>
        <v>6.1124999999999992E-4</v>
      </c>
      <c r="D45" s="94">
        <f t="shared" si="7"/>
        <v>5.7652777777777769E-4</v>
      </c>
      <c r="E45">
        <v>4</v>
      </c>
    </row>
    <row r="46" spans="1:15">
      <c r="B46" t="s">
        <v>149</v>
      </c>
      <c r="C46" s="94">
        <f t="shared" si="6"/>
        <v>8.0625E-4</v>
      </c>
      <c r="D46" s="94">
        <f t="shared" si="7"/>
        <v>7.7152777777777777E-4</v>
      </c>
      <c r="E46">
        <v>5</v>
      </c>
    </row>
    <row r="47" spans="1:15">
      <c r="B47" t="s">
        <v>150</v>
      </c>
      <c r="C47" s="94">
        <f t="shared" si="6"/>
        <v>1.00125E-3</v>
      </c>
      <c r="D47" s="94">
        <f t="shared" si="7"/>
        <v>9.6652777777777774E-4</v>
      </c>
      <c r="E47">
        <v>6</v>
      </c>
    </row>
    <row r="48" spans="1:15">
      <c r="B48" t="s">
        <v>151</v>
      </c>
      <c r="C48" s="94">
        <f t="shared" si="6"/>
        <v>1.2224999999999998E-3</v>
      </c>
      <c r="D48" s="94">
        <f t="shared" si="7"/>
        <v>1.1877777777777776E-3</v>
      </c>
      <c r="E48" s="78">
        <v>7</v>
      </c>
    </row>
    <row r="49" spans="1:5">
      <c r="B49" s="91" t="s">
        <v>146</v>
      </c>
      <c r="C49" s="94">
        <f t="shared" si="6"/>
        <v>1.4174999999999999E-3</v>
      </c>
      <c r="D49" s="94">
        <f t="shared" si="7"/>
        <v>1.3827777777777777E-3</v>
      </c>
      <c r="E49">
        <v>8</v>
      </c>
    </row>
    <row r="50" spans="1:5">
      <c r="B50" t="s">
        <v>147</v>
      </c>
      <c r="C50" s="94">
        <f t="shared" si="6"/>
        <v>1.6125E-3</v>
      </c>
      <c r="D50" s="94">
        <f t="shared" si="7"/>
        <v>1.5777777777777778E-3</v>
      </c>
      <c r="E50">
        <v>9</v>
      </c>
    </row>
    <row r="51" spans="1:5">
      <c r="B51" t="s">
        <v>148</v>
      </c>
      <c r="C51" s="94">
        <f t="shared" si="6"/>
        <v>1.8337500000000001E-3</v>
      </c>
      <c r="D51" s="94">
        <f t="shared" si="7"/>
        <v>1.7990277777777779E-3</v>
      </c>
      <c r="E51">
        <v>10</v>
      </c>
    </row>
    <row r="52" spans="1:5">
      <c r="B52" t="s">
        <v>149</v>
      </c>
      <c r="C52" s="94">
        <f t="shared" si="6"/>
        <v>2.0287500000000002E-3</v>
      </c>
      <c r="D52" s="94">
        <f t="shared" si="7"/>
        <v>1.9940277777777782E-3</v>
      </c>
      <c r="E52">
        <v>11</v>
      </c>
    </row>
    <row r="53" spans="1:5">
      <c r="B53" t="s">
        <v>150</v>
      </c>
      <c r="C53" s="94">
        <f t="shared" si="6"/>
        <v>2.2237500000000005E-3</v>
      </c>
      <c r="D53" s="94">
        <f t="shared" si="7"/>
        <v>2.1890277777777785E-3</v>
      </c>
      <c r="E53">
        <v>12</v>
      </c>
    </row>
    <row r="54" spans="1:5">
      <c r="B54" t="s">
        <v>151</v>
      </c>
      <c r="C54" s="94">
        <f t="shared" si="6"/>
        <v>2.4449999999999997E-3</v>
      </c>
      <c r="D54" s="94">
        <f t="shared" si="7"/>
        <v>2.4102777777777777E-3</v>
      </c>
      <c r="E54" s="78">
        <v>13</v>
      </c>
    </row>
    <row r="55" spans="1:5">
      <c r="B55" s="91" t="s">
        <v>146</v>
      </c>
      <c r="C55" s="94">
        <f t="shared" si="6"/>
        <v>2.64E-3</v>
      </c>
      <c r="D55" s="94">
        <f t="shared" si="7"/>
        <v>2.605277777777778E-3</v>
      </c>
      <c r="E55">
        <v>14</v>
      </c>
    </row>
    <row r="56" spans="1:5">
      <c r="B56" t="s">
        <v>147</v>
      </c>
      <c r="C56" s="94">
        <f t="shared" si="6"/>
        <v>2.8349999999999998E-3</v>
      </c>
      <c r="D56" s="94">
        <f t="shared" si="7"/>
        <v>2.8002777777777778E-3</v>
      </c>
      <c r="E56">
        <v>15</v>
      </c>
    </row>
    <row r="57" spans="1:5">
      <c r="B57" t="s">
        <v>148</v>
      </c>
      <c r="C57" s="94">
        <f t="shared" si="6"/>
        <v>3.0562499999999999E-3</v>
      </c>
      <c r="D57" s="94">
        <f t="shared" si="7"/>
        <v>3.0215277777777779E-3</v>
      </c>
      <c r="E57">
        <v>16</v>
      </c>
    </row>
    <row r="58" spans="1:5">
      <c r="B58" t="s">
        <v>149</v>
      </c>
      <c r="C58" s="94">
        <f t="shared" si="6"/>
        <v>3.2512499999999998E-3</v>
      </c>
      <c r="D58" s="94">
        <f t="shared" si="7"/>
        <v>3.2165277777777778E-3</v>
      </c>
      <c r="E58">
        <v>17</v>
      </c>
    </row>
    <row r="59" spans="1:5">
      <c r="B59" t="s">
        <v>150</v>
      </c>
      <c r="C59" s="94">
        <f t="shared" si="6"/>
        <v>3.4462500000000001E-3</v>
      </c>
      <c r="D59" s="94">
        <f t="shared" si="7"/>
        <v>3.4115277777777781E-3</v>
      </c>
      <c r="E59">
        <v>18</v>
      </c>
    </row>
    <row r="60" spans="1:5">
      <c r="B60" t="s">
        <v>151</v>
      </c>
      <c r="C60" s="94">
        <f t="shared" si="6"/>
        <v>3.6675000000000002E-3</v>
      </c>
      <c r="D60" s="94">
        <f t="shared" si="7"/>
        <v>3.6327777777777782E-3</v>
      </c>
      <c r="E60" s="78">
        <v>19</v>
      </c>
    </row>
    <row r="61" spans="1:5">
      <c r="A61" t="s">
        <v>165</v>
      </c>
      <c r="B61" s="59">
        <v>6.9444444444444447E-4</v>
      </c>
      <c r="C61" s="94">
        <f>C60+$J$21</f>
        <v>4.3619444444444443E-3</v>
      </c>
      <c r="D61" s="94">
        <f t="shared" si="7"/>
        <v>4.3272222222222219E-3</v>
      </c>
      <c r="E61" s="96">
        <v>20</v>
      </c>
    </row>
    <row r="62" spans="1:5">
      <c r="A62" t="s">
        <v>156</v>
      </c>
      <c r="B62" s="91" t="s">
        <v>146</v>
      </c>
      <c r="C62" s="94">
        <f>$C$61+F23</f>
        <v>4.5503502415458934E-3</v>
      </c>
      <c r="D62" s="94">
        <f t="shared" si="7"/>
        <v>4.515628019323671E-3</v>
      </c>
      <c r="E62">
        <v>21</v>
      </c>
    </row>
    <row r="63" spans="1:5">
      <c r="A63" s="93">
        <f>F22</f>
        <v>10.35</v>
      </c>
      <c r="B63" t="s">
        <v>147</v>
      </c>
      <c r="C63" s="94">
        <f t="shared" ref="C63:C79" si="8">$C$61+F24</f>
        <v>4.7387560386473425E-3</v>
      </c>
      <c r="D63" s="94">
        <f t="shared" si="7"/>
        <v>4.70403381642512E-3</v>
      </c>
      <c r="E63">
        <v>22</v>
      </c>
    </row>
    <row r="64" spans="1:5">
      <c r="B64" t="s">
        <v>148</v>
      </c>
      <c r="C64" s="94">
        <f t="shared" si="8"/>
        <v>4.9525241545893715E-3</v>
      </c>
      <c r="D64" s="94">
        <f t="shared" si="7"/>
        <v>4.9178019323671491E-3</v>
      </c>
      <c r="E64">
        <v>23</v>
      </c>
    </row>
    <row r="65" spans="1:5">
      <c r="B65" t="s">
        <v>149</v>
      </c>
      <c r="C65" s="94">
        <f t="shared" si="8"/>
        <v>5.1409299516908214E-3</v>
      </c>
      <c r="D65" s="94">
        <f t="shared" si="7"/>
        <v>5.106207729468599E-3</v>
      </c>
      <c r="E65">
        <v>24</v>
      </c>
    </row>
    <row r="66" spans="1:5">
      <c r="B66" t="s">
        <v>150</v>
      </c>
      <c r="C66" s="94">
        <f t="shared" si="8"/>
        <v>5.3293357487922705E-3</v>
      </c>
      <c r="D66" s="94">
        <f t="shared" si="7"/>
        <v>5.2946135265700481E-3</v>
      </c>
      <c r="E66">
        <v>25</v>
      </c>
    </row>
    <row r="67" spans="1:5">
      <c r="B67" t="s">
        <v>151</v>
      </c>
      <c r="C67" s="94">
        <f t="shared" si="8"/>
        <v>5.5431038647342995E-3</v>
      </c>
      <c r="D67" s="94">
        <f t="shared" si="7"/>
        <v>5.5083816425120771E-3</v>
      </c>
      <c r="E67" s="78">
        <v>26</v>
      </c>
    </row>
    <row r="68" spans="1:5">
      <c r="B68" s="91" t="s">
        <v>146</v>
      </c>
      <c r="C68" s="94">
        <f t="shared" si="8"/>
        <v>5.7315096618357486E-3</v>
      </c>
      <c r="D68" s="94">
        <f t="shared" si="7"/>
        <v>5.6967874396135262E-3</v>
      </c>
      <c r="E68">
        <v>27</v>
      </c>
    </row>
    <row r="69" spans="1:5">
      <c r="B69" t="s">
        <v>147</v>
      </c>
      <c r="C69" s="94">
        <f t="shared" si="8"/>
        <v>5.9199154589371977E-3</v>
      </c>
      <c r="D69" s="94">
        <f t="shared" si="7"/>
        <v>5.8851932367149752E-3</v>
      </c>
      <c r="E69">
        <v>28</v>
      </c>
    </row>
    <row r="70" spans="1:5">
      <c r="B70" t="s">
        <v>148</v>
      </c>
      <c r="C70" s="94">
        <f t="shared" si="8"/>
        <v>6.1336835748792276E-3</v>
      </c>
      <c r="D70" s="94">
        <f t="shared" si="7"/>
        <v>6.0989613526570051E-3</v>
      </c>
      <c r="E70">
        <v>29</v>
      </c>
    </row>
    <row r="71" spans="1:5">
      <c r="B71" t="s">
        <v>149</v>
      </c>
      <c r="C71" s="94">
        <f t="shared" si="8"/>
        <v>6.3220893719806767E-3</v>
      </c>
      <c r="D71" s="94">
        <f t="shared" si="7"/>
        <v>6.2873671497584542E-3</v>
      </c>
      <c r="E71">
        <v>30</v>
      </c>
    </row>
    <row r="72" spans="1:5">
      <c r="B72" t="s">
        <v>150</v>
      </c>
      <c r="C72" s="94">
        <f t="shared" si="8"/>
        <v>6.5104951690821257E-3</v>
      </c>
      <c r="D72" s="94">
        <f t="shared" si="7"/>
        <v>6.4757729468599033E-3</v>
      </c>
      <c r="E72">
        <v>31</v>
      </c>
    </row>
    <row r="73" spans="1:5">
      <c r="B73" t="s">
        <v>151</v>
      </c>
      <c r="C73" s="94">
        <f t="shared" si="8"/>
        <v>6.7242632850241547E-3</v>
      </c>
      <c r="D73" s="94">
        <f t="shared" si="7"/>
        <v>6.6895410628019323E-3</v>
      </c>
      <c r="E73" s="78">
        <v>32</v>
      </c>
    </row>
    <row r="74" spans="1:5">
      <c r="B74" s="91" t="s">
        <v>146</v>
      </c>
      <c r="C74" s="94">
        <f t="shared" si="8"/>
        <v>6.9126690821256038E-3</v>
      </c>
      <c r="D74" s="94">
        <f t="shared" si="7"/>
        <v>6.8779468599033814E-3</v>
      </c>
      <c r="E74">
        <v>33</v>
      </c>
    </row>
    <row r="75" spans="1:5">
      <c r="B75" t="s">
        <v>147</v>
      </c>
      <c r="C75" s="94">
        <f t="shared" si="8"/>
        <v>7.1010748792270529E-3</v>
      </c>
      <c r="D75" s="94">
        <f t="shared" si="7"/>
        <v>7.0663526570048305E-3</v>
      </c>
      <c r="E75">
        <v>34</v>
      </c>
    </row>
    <row r="76" spans="1:5">
      <c r="B76" t="s">
        <v>148</v>
      </c>
      <c r="C76" s="94">
        <f t="shared" si="8"/>
        <v>7.3148429951690828E-3</v>
      </c>
      <c r="D76" s="94">
        <f t="shared" si="7"/>
        <v>7.2801207729468603E-3</v>
      </c>
      <c r="E76">
        <v>35</v>
      </c>
    </row>
    <row r="77" spans="1:5">
      <c r="B77" t="s">
        <v>149</v>
      </c>
      <c r="C77" s="94">
        <f t="shared" si="8"/>
        <v>7.503248792270531E-3</v>
      </c>
      <c r="D77" s="94">
        <f t="shared" si="7"/>
        <v>7.4685265700483085E-3</v>
      </c>
      <c r="E77">
        <v>36</v>
      </c>
    </row>
    <row r="78" spans="1:5">
      <c r="B78" t="s">
        <v>150</v>
      </c>
      <c r="C78" s="94">
        <f t="shared" si="8"/>
        <v>7.6916545893719809E-3</v>
      </c>
      <c r="D78" s="94">
        <f t="shared" si="7"/>
        <v>7.6569323671497585E-3</v>
      </c>
      <c r="E78">
        <v>37</v>
      </c>
    </row>
    <row r="79" spans="1:5">
      <c r="B79" t="s">
        <v>151</v>
      </c>
      <c r="C79" s="94">
        <f t="shared" si="8"/>
        <v>7.9054227053140108E-3</v>
      </c>
      <c r="D79" s="94">
        <f t="shared" si="7"/>
        <v>7.8707004830917884E-3</v>
      </c>
      <c r="E79" s="78">
        <v>38</v>
      </c>
    </row>
    <row r="80" spans="1:5">
      <c r="A80" t="s">
        <v>167</v>
      </c>
      <c r="B80" s="59">
        <v>6.9444444444444447E-4</v>
      </c>
      <c r="C80" s="94">
        <f>C79+J21</f>
        <v>8.5998671497584545E-3</v>
      </c>
      <c r="D80" s="94">
        <f t="shared" si="7"/>
        <v>8.5651449275362321E-3</v>
      </c>
      <c r="E80" s="96">
        <v>39</v>
      </c>
    </row>
    <row r="81" spans="1:5">
      <c r="A81" t="s">
        <v>157</v>
      </c>
      <c r="B81" s="91" t="s">
        <v>146</v>
      </c>
      <c r="C81" s="94">
        <f>$C$80+G23</f>
        <v>8.7821101404126599E-3</v>
      </c>
      <c r="D81" s="94">
        <f t="shared" si="7"/>
        <v>8.7473879181904374E-3</v>
      </c>
      <c r="E81">
        <v>40</v>
      </c>
    </row>
    <row r="82" spans="1:5">
      <c r="A82" s="93">
        <f>G22</f>
        <v>10.7</v>
      </c>
      <c r="B82" t="s">
        <v>147</v>
      </c>
      <c r="C82" s="94">
        <f t="shared" ref="C82:C98" si="9">$C$80+G24</f>
        <v>8.9643531310668653E-3</v>
      </c>
      <c r="D82" s="94">
        <f t="shared" si="7"/>
        <v>8.9296309088446428E-3</v>
      </c>
      <c r="E82">
        <v>41</v>
      </c>
    </row>
    <row r="83" spans="1:5">
      <c r="B83" t="s">
        <v>148</v>
      </c>
      <c r="C83" s="94">
        <f t="shared" si="9"/>
        <v>9.1711288320014458E-3</v>
      </c>
      <c r="D83" s="94">
        <f t="shared" si="7"/>
        <v>9.1364066097792233E-3</v>
      </c>
      <c r="E83">
        <v>42</v>
      </c>
    </row>
    <row r="84" spans="1:5">
      <c r="B84" t="s">
        <v>149</v>
      </c>
      <c r="C84" s="94">
        <f t="shared" si="9"/>
        <v>9.3533718226556511E-3</v>
      </c>
      <c r="D84" s="94">
        <f t="shared" si="7"/>
        <v>9.3186496004334287E-3</v>
      </c>
      <c r="E84">
        <v>43</v>
      </c>
    </row>
    <row r="85" spans="1:5">
      <c r="B85" t="s">
        <v>150</v>
      </c>
      <c r="C85" s="94">
        <f t="shared" si="9"/>
        <v>9.5356148133098565E-3</v>
      </c>
      <c r="D85" s="94">
        <f t="shared" si="7"/>
        <v>9.5008925910876341E-3</v>
      </c>
      <c r="E85">
        <v>44</v>
      </c>
    </row>
    <row r="86" spans="1:5">
      <c r="B86" t="s">
        <v>151</v>
      </c>
      <c r="C86" s="94">
        <f t="shared" si="9"/>
        <v>9.7423905142444353E-3</v>
      </c>
      <c r="D86" s="94">
        <f t="shared" si="7"/>
        <v>9.7076682920222129E-3</v>
      </c>
      <c r="E86">
        <v>45</v>
      </c>
    </row>
    <row r="87" spans="1:5">
      <c r="B87" s="91" t="s">
        <v>146</v>
      </c>
      <c r="C87" s="94">
        <f t="shared" si="9"/>
        <v>9.9246335048986424E-3</v>
      </c>
      <c r="D87" s="94">
        <f t="shared" si="7"/>
        <v>9.88991128267642E-3</v>
      </c>
      <c r="E87" s="78">
        <v>46</v>
      </c>
    </row>
    <row r="88" spans="1:5">
      <c r="B88" t="s">
        <v>147</v>
      </c>
      <c r="C88" s="94">
        <f t="shared" si="9"/>
        <v>1.0106876495552848E-2</v>
      </c>
      <c r="D88" s="94">
        <f t="shared" si="7"/>
        <v>1.0072154273330625E-2</v>
      </c>
      <c r="E88">
        <v>47</v>
      </c>
    </row>
    <row r="89" spans="1:5">
      <c r="B89" t="s">
        <v>148</v>
      </c>
      <c r="C89" s="94">
        <f t="shared" si="9"/>
        <v>1.0313652196487427E-2</v>
      </c>
      <c r="D89" s="94">
        <f t="shared" si="7"/>
        <v>1.0278929974265204E-2</v>
      </c>
      <c r="E89">
        <v>48</v>
      </c>
    </row>
    <row r="90" spans="1:5">
      <c r="B90" t="s">
        <v>149</v>
      </c>
      <c r="C90" s="94">
        <f t="shared" si="9"/>
        <v>1.0495895187141632E-2</v>
      </c>
      <c r="D90" s="94">
        <f t="shared" si="7"/>
        <v>1.0461172964919409E-2</v>
      </c>
      <c r="E90">
        <v>49</v>
      </c>
    </row>
    <row r="91" spans="1:5">
      <c r="B91" t="s">
        <v>150</v>
      </c>
      <c r="C91" s="94">
        <f t="shared" si="9"/>
        <v>1.0678138177795837E-2</v>
      </c>
      <c r="D91" s="94">
        <f t="shared" si="7"/>
        <v>1.0643415955573615E-2</v>
      </c>
      <c r="E91">
        <v>50</v>
      </c>
    </row>
    <row r="92" spans="1:5">
      <c r="B92" t="s">
        <v>151</v>
      </c>
      <c r="C92" s="94">
        <f t="shared" si="9"/>
        <v>1.0884913878730418E-2</v>
      </c>
      <c r="D92" s="94">
        <f t="shared" si="7"/>
        <v>1.0850191656508195E-2</v>
      </c>
      <c r="E92">
        <v>51</v>
      </c>
    </row>
    <row r="93" spans="1:5">
      <c r="B93" s="91" t="s">
        <v>146</v>
      </c>
      <c r="C93" s="94">
        <f t="shared" si="9"/>
        <v>1.1067156869384623E-2</v>
      </c>
      <c r="D93" s="94">
        <f t="shared" si="7"/>
        <v>1.1032434647162401E-2</v>
      </c>
      <c r="E93" s="78">
        <v>52</v>
      </c>
    </row>
    <row r="94" spans="1:5">
      <c r="B94" t="s">
        <v>147</v>
      </c>
      <c r="C94" s="94">
        <f t="shared" si="9"/>
        <v>1.1249399860038829E-2</v>
      </c>
      <c r="D94" s="94">
        <f t="shared" si="7"/>
        <v>1.1214677637816606E-2</v>
      </c>
      <c r="E94">
        <v>53</v>
      </c>
    </row>
    <row r="95" spans="1:5">
      <c r="B95" t="s">
        <v>148</v>
      </c>
      <c r="C95" s="94">
        <f t="shared" si="9"/>
        <v>1.1456175560973409E-2</v>
      </c>
      <c r="D95" s="94">
        <f t="shared" si="7"/>
        <v>1.1421453338751187E-2</v>
      </c>
      <c r="E95">
        <v>54</v>
      </c>
    </row>
    <row r="96" spans="1:5">
      <c r="B96" t="s">
        <v>149</v>
      </c>
      <c r="C96" s="94">
        <f t="shared" si="9"/>
        <v>1.1638418551627614E-2</v>
      </c>
      <c r="D96" s="94">
        <f t="shared" si="7"/>
        <v>1.1603696329405392E-2</v>
      </c>
      <c r="E96">
        <v>55</v>
      </c>
    </row>
    <row r="97" spans="1:5">
      <c r="B97" t="s">
        <v>150</v>
      </c>
      <c r="C97" s="94">
        <f t="shared" si="9"/>
        <v>1.182066154228182E-2</v>
      </c>
      <c r="D97" s="94">
        <f t="shared" si="7"/>
        <v>1.1785939320059597E-2</v>
      </c>
      <c r="E97">
        <v>56</v>
      </c>
    </row>
    <row r="98" spans="1:5">
      <c r="B98" t="s">
        <v>151</v>
      </c>
      <c r="C98" s="94">
        <f t="shared" si="9"/>
        <v>1.2027437243216399E-2</v>
      </c>
      <c r="D98" s="94">
        <f t="shared" si="7"/>
        <v>1.1992715020994176E-2</v>
      </c>
      <c r="E98">
        <v>57</v>
      </c>
    </row>
    <row r="99" spans="1:5">
      <c r="A99" t="s">
        <v>169</v>
      </c>
      <c r="B99" s="59">
        <v>6.9444444444444447E-4</v>
      </c>
      <c r="C99" s="94">
        <f>C98+$J$21</f>
        <v>1.2721881687660842E-2</v>
      </c>
      <c r="D99" s="94">
        <f t="shared" si="7"/>
        <v>1.268715946543862E-2</v>
      </c>
      <c r="E99" s="78">
        <v>58</v>
      </c>
    </row>
    <row r="100" spans="1:5">
      <c r="A100" t="s">
        <v>158</v>
      </c>
      <c r="B100" s="91" t="s">
        <v>146</v>
      </c>
      <c r="C100" s="94">
        <f>$C$99+H23</f>
        <v>1.2898352275896136E-2</v>
      </c>
      <c r="D100" s="94">
        <f t="shared" si="7"/>
        <v>1.2863630053673913E-2</v>
      </c>
      <c r="E100" s="96">
        <v>59</v>
      </c>
    </row>
    <row r="101" spans="1:5">
      <c r="A101" s="93">
        <f>H22</f>
        <v>11.05</v>
      </c>
      <c r="B101" t="s">
        <v>147</v>
      </c>
      <c r="C101" s="94">
        <f t="shared" ref="C101:C117" si="10">$C$99+H24</f>
        <v>1.3074822864131431E-2</v>
      </c>
      <c r="D101" s="94">
        <f t="shared" si="7"/>
        <v>1.3040100641909209E-2</v>
      </c>
      <c r="E101">
        <v>60</v>
      </c>
    </row>
    <row r="102" spans="1:5">
      <c r="B102" t="s">
        <v>148</v>
      </c>
      <c r="C102" s="94">
        <f t="shared" si="10"/>
        <v>1.3275049108475321E-2</v>
      </c>
      <c r="D102" s="94">
        <f t="shared" si="7"/>
        <v>1.3240326886253099E-2</v>
      </c>
      <c r="E102">
        <v>61</v>
      </c>
    </row>
    <row r="103" spans="1:5">
      <c r="B103" t="s">
        <v>149</v>
      </c>
      <c r="C103" s="94">
        <f t="shared" si="10"/>
        <v>1.3451519696710617E-2</v>
      </c>
      <c r="D103" s="94">
        <f t="shared" si="7"/>
        <v>1.3416797474488394E-2</v>
      </c>
      <c r="E103">
        <v>62</v>
      </c>
    </row>
    <row r="104" spans="1:5">
      <c r="B104" t="s">
        <v>150</v>
      </c>
      <c r="C104" s="94">
        <f t="shared" si="10"/>
        <v>1.362799028494591E-2</v>
      </c>
      <c r="D104" s="94">
        <f t="shared" si="7"/>
        <v>1.3593268062723688E-2</v>
      </c>
      <c r="E104">
        <v>63</v>
      </c>
    </row>
    <row r="105" spans="1:5">
      <c r="B105" t="s">
        <v>151</v>
      </c>
      <c r="C105" s="94">
        <f t="shared" si="10"/>
        <v>1.38282165292898E-2</v>
      </c>
      <c r="D105" s="94">
        <f t="shared" si="7"/>
        <v>1.3793494307067578E-2</v>
      </c>
      <c r="E105">
        <v>64</v>
      </c>
    </row>
    <row r="106" spans="1:5">
      <c r="B106" s="91" t="s">
        <v>146</v>
      </c>
      <c r="C106" s="94">
        <f t="shared" si="10"/>
        <v>1.4004687117525096E-2</v>
      </c>
      <c r="D106" s="94">
        <f t="shared" si="7"/>
        <v>1.3969964895302873E-2</v>
      </c>
      <c r="E106" s="78">
        <v>65</v>
      </c>
    </row>
    <row r="107" spans="1:5">
      <c r="B107" t="s">
        <v>147</v>
      </c>
      <c r="C107" s="94">
        <f t="shared" si="10"/>
        <v>1.4181157705760389E-2</v>
      </c>
      <c r="D107" s="94">
        <f t="shared" si="7"/>
        <v>1.4146435483538167E-2</v>
      </c>
      <c r="E107">
        <v>66</v>
      </c>
    </row>
    <row r="108" spans="1:5">
      <c r="B108" t="s">
        <v>148</v>
      </c>
      <c r="C108" s="94">
        <f t="shared" si="10"/>
        <v>1.4381383950104281E-2</v>
      </c>
      <c r="D108" s="94">
        <f t="shared" ref="D108:D171" si="11">C108-$D$41</f>
        <v>1.4346661727882059E-2</v>
      </c>
      <c r="E108">
        <v>67</v>
      </c>
    </row>
    <row r="109" spans="1:5">
      <c r="B109" t="s">
        <v>149</v>
      </c>
      <c r="C109" s="94">
        <f t="shared" si="10"/>
        <v>1.4557854538339575E-2</v>
      </c>
      <c r="D109" s="94">
        <f t="shared" si="11"/>
        <v>1.4523132316117352E-2</v>
      </c>
      <c r="E109">
        <v>68</v>
      </c>
    </row>
    <row r="110" spans="1:5">
      <c r="B110" t="s">
        <v>150</v>
      </c>
      <c r="C110" s="94">
        <f t="shared" si="10"/>
        <v>1.473432512657487E-2</v>
      </c>
      <c r="D110" s="94">
        <f t="shared" si="11"/>
        <v>1.4699602904352647E-2</v>
      </c>
      <c r="E110">
        <v>69</v>
      </c>
    </row>
    <row r="111" spans="1:5">
      <c r="B111" t="s">
        <v>151</v>
      </c>
      <c r="C111" s="94">
        <f t="shared" si="10"/>
        <v>1.493455137091876E-2</v>
      </c>
      <c r="D111" s="94">
        <f t="shared" si="11"/>
        <v>1.4899829148696538E-2</v>
      </c>
      <c r="E111">
        <v>70</v>
      </c>
    </row>
    <row r="112" spans="1:5">
      <c r="B112" s="91" t="s">
        <v>146</v>
      </c>
      <c r="C112" s="94">
        <f t="shared" si="10"/>
        <v>1.5111021959154054E-2</v>
      </c>
      <c r="D112" s="94">
        <f t="shared" si="11"/>
        <v>1.5076299736931831E-2</v>
      </c>
      <c r="E112" s="78">
        <v>71</v>
      </c>
    </row>
    <row r="113" spans="1:5">
      <c r="B113" t="s">
        <v>147</v>
      </c>
      <c r="C113" s="94">
        <f t="shared" si="10"/>
        <v>1.5287492547389349E-2</v>
      </c>
      <c r="D113" s="94">
        <f t="shared" si="11"/>
        <v>1.5252770325167126E-2</v>
      </c>
      <c r="E113">
        <v>72</v>
      </c>
    </row>
    <row r="114" spans="1:5">
      <c r="B114" t="s">
        <v>148</v>
      </c>
      <c r="C114" s="94">
        <f t="shared" si="10"/>
        <v>1.5487718791733239E-2</v>
      </c>
      <c r="D114" s="94">
        <f t="shared" si="11"/>
        <v>1.5452996569511017E-2</v>
      </c>
      <c r="E114">
        <v>73</v>
      </c>
    </row>
    <row r="115" spans="1:5">
      <c r="B115" t="s">
        <v>149</v>
      </c>
      <c r="C115" s="94">
        <f t="shared" si="10"/>
        <v>1.5664189379968534E-2</v>
      </c>
      <c r="D115" s="94">
        <f t="shared" si="11"/>
        <v>1.5629467157746314E-2</v>
      </c>
      <c r="E115">
        <v>74</v>
      </c>
    </row>
    <row r="116" spans="1:5">
      <c r="B116" t="s">
        <v>150</v>
      </c>
      <c r="C116" s="94">
        <f t="shared" si="10"/>
        <v>1.584065996820383E-2</v>
      </c>
      <c r="D116" s="94">
        <f t="shared" si="11"/>
        <v>1.5805937745981609E-2</v>
      </c>
      <c r="E116">
        <v>75</v>
      </c>
    </row>
    <row r="117" spans="1:5">
      <c r="B117" t="s">
        <v>151</v>
      </c>
      <c r="C117" s="94">
        <f t="shared" si="10"/>
        <v>1.604088621254772E-2</v>
      </c>
      <c r="D117" s="94">
        <f t="shared" si="11"/>
        <v>1.6006163990325499E-2</v>
      </c>
      <c r="E117">
        <v>76</v>
      </c>
    </row>
    <row r="118" spans="1:5">
      <c r="A118" t="s">
        <v>168</v>
      </c>
      <c r="B118" s="59">
        <v>6.9444444444444447E-4</v>
      </c>
      <c r="C118" s="94">
        <f>$B$118+C117</f>
        <v>1.6735330656992165E-2</v>
      </c>
      <c r="D118" s="94">
        <f t="shared" si="11"/>
        <v>1.6700608434769944E-2</v>
      </c>
      <c r="E118" s="78">
        <v>77</v>
      </c>
    </row>
    <row r="119" spans="1:5">
      <c r="A119" t="s">
        <v>159</v>
      </c>
      <c r="B119" s="91" t="s">
        <v>146</v>
      </c>
      <c r="C119" s="94">
        <f>$C$118+I23</f>
        <v>1.6906383288571112E-2</v>
      </c>
      <c r="D119" s="94">
        <f t="shared" si="11"/>
        <v>1.6871661066348891E-2</v>
      </c>
      <c r="E119" s="96">
        <v>78</v>
      </c>
    </row>
    <row r="120" spans="1:5">
      <c r="A120" s="93">
        <f>I22</f>
        <v>11.4</v>
      </c>
      <c r="B120" t="s">
        <v>147</v>
      </c>
      <c r="C120" s="94">
        <f t="shared" ref="C120:C136" si="12">$C$118+I24</f>
        <v>1.7077435920150059E-2</v>
      </c>
      <c r="D120" s="94">
        <f t="shared" si="11"/>
        <v>1.7042713697927838E-2</v>
      </c>
      <c r="E120">
        <v>79</v>
      </c>
    </row>
    <row r="121" spans="1:5">
      <c r="B121" t="s">
        <v>148</v>
      </c>
      <c r="C121" s="94">
        <f t="shared" si="12"/>
        <v>1.7271514867518482E-2</v>
      </c>
      <c r="D121" s="94">
        <f t="shared" si="11"/>
        <v>1.7236792645296262E-2</v>
      </c>
      <c r="E121">
        <v>80</v>
      </c>
    </row>
    <row r="122" spans="1:5">
      <c r="B122" t="s">
        <v>149</v>
      </c>
      <c r="C122" s="94">
        <f t="shared" si="12"/>
        <v>1.7442567499097429E-2</v>
      </c>
      <c r="D122" s="94">
        <f t="shared" si="11"/>
        <v>1.7407845276875208E-2</v>
      </c>
      <c r="E122">
        <v>81</v>
      </c>
    </row>
    <row r="123" spans="1:5">
      <c r="B123" t="s">
        <v>150</v>
      </c>
      <c r="C123" s="94">
        <f t="shared" si="12"/>
        <v>1.7613620130676376E-2</v>
      </c>
      <c r="D123" s="94">
        <f t="shared" si="11"/>
        <v>1.7578897908454155E-2</v>
      </c>
      <c r="E123">
        <v>82</v>
      </c>
    </row>
    <row r="124" spans="1:5">
      <c r="B124" t="s">
        <v>151</v>
      </c>
      <c r="C124" s="94">
        <f t="shared" si="12"/>
        <v>1.7807699078044796E-2</v>
      </c>
      <c r="D124" s="94">
        <f t="shared" si="11"/>
        <v>1.7772976855822575E-2</v>
      </c>
      <c r="E124">
        <v>83</v>
      </c>
    </row>
    <row r="125" spans="1:5">
      <c r="B125" s="91" t="s">
        <v>146</v>
      </c>
      <c r="C125" s="94">
        <f t="shared" si="12"/>
        <v>1.7978751709623743E-2</v>
      </c>
      <c r="D125" s="94">
        <f t="shared" si="11"/>
        <v>1.7944029487401522E-2</v>
      </c>
      <c r="E125">
        <v>84</v>
      </c>
    </row>
    <row r="126" spans="1:5">
      <c r="B126" t="s">
        <v>147</v>
      </c>
      <c r="C126" s="94">
        <f t="shared" si="12"/>
        <v>1.814980434120269E-2</v>
      </c>
      <c r="D126" s="94">
        <f t="shared" si="11"/>
        <v>1.8115082118980469E-2</v>
      </c>
      <c r="E126" s="78">
        <v>85</v>
      </c>
    </row>
    <row r="127" spans="1:5">
      <c r="B127" t="s">
        <v>148</v>
      </c>
      <c r="C127" s="94">
        <f t="shared" si="12"/>
        <v>1.8343883288571113E-2</v>
      </c>
      <c r="D127" s="94">
        <f t="shared" si="11"/>
        <v>1.8309161066348893E-2</v>
      </c>
      <c r="E127">
        <v>86</v>
      </c>
    </row>
    <row r="128" spans="1:5">
      <c r="B128" t="s">
        <v>149</v>
      </c>
      <c r="C128" s="94">
        <f t="shared" si="12"/>
        <v>1.851493592015006E-2</v>
      </c>
      <c r="D128" s="94">
        <f t="shared" si="11"/>
        <v>1.8480213697927839E-2</v>
      </c>
      <c r="E128">
        <v>87</v>
      </c>
    </row>
    <row r="129" spans="1:5">
      <c r="B129" t="s">
        <v>150</v>
      </c>
      <c r="C129" s="94">
        <f t="shared" si="12"/>
        <v>1.8685988551729007E-2</v>
      </c>
      <c r="D129" s="94">
        <f t="shared" si="11"/>
        <v>1.8651266329506786E-2</v>
      </c>
      <c r="E129">
        <v>88</v>
      </c>
    </row>
    <row r="130" spans="1:5">
      <c r="B130" t="s">
        <v>151</v>
      </c>
      <c r="C130" s="94">
        <f t="shared" si="12"/>
        <v>1.8880067499097427E-2</v>
      </c>
      <c r="D130" s="94">
        <f t="shared" si="11"/>
        <v>1.8845345276875206E-2</v>
      </c>
      <c r="E130">
        <v>89</v>
      </c>
    </row>
    <row r="131" spans="1:5">
      <c r="B131" s="91" t="s">
        <v>146</v>
      </c>
      <c r="C131" s="94">
        <f t="shared" si="12"/>
        <v>1.9051120130676377E-2</v>
      </c>
      <c r="D131" s="94">
        <f t="shared" si="11"/>
        <v>1.9016397908454157E-2</v>
      </c>
      <c r="E131">
        <v>90</v>
      </c>
    </row>
    <row r="132" spans="1:5">
      <c r="B132" t="s">
        <v>147</v>
      </c>
      <c r="C132" s="94">
        <f t="shared" si="12"/>
        <v>1.9222172762255324E-2</v>
      </c>
      <c r="D132" s="94">
        <f t="shared" si="11"/>
        <v>1.9187450540033103E-2</v>
      </c>
      <c r="E132" s="78">
        <v>91</v>
      </c>
    </row>
    <row r="133" spans="1:5">
      <c r="B133" t="s">
        <v>148</v>
      </c>
      <c r="C133" s="94">
        <f t="shared" si="12"/>
        <v>1.9416251709623744E-2</v>
      </c>
      <c r="D133" s="94">
        <f t="shared" si="11"/>
        <v>1.9381529487401523E-2</v>
      </c>
      <c r="E133">
        <v>92</v>
      </c>
    </row>
    <row r="134" spans="1:5">
      <c r="B134" t="s">
        <v>149</v>
      </c>
      <c r="C134" s="94">
        <f t="shared" si="12"/>
        <v>1.9587304341202691E-2</v>
      </c>
      <c r="D134" s="94">
        <f t="shared" si="11"/>
        <v>1.955258211898047E-2</v>
      </c>
      <c r="E134">
        <v>93</v>
      </c>
    </row>
    <row r="135" spans="1:5">
      <c r="B135" t="s">
        <v>150</v>
      </c>
      <c r="C135" s="94">
        <f t="shared" si="12"/>
        <v>1.9758356972781638E-2</v>
      </c>
      <c r="D135" s="94">
        <f t="shared" si="11"/>
        <v>1.9723634750559417E-2</v>
      </c>
      <c r="E135">
        <v>94</v>
      </c>
    </row>
    <row r="136" spans="1:5">
      <c r="B136" t="s">
        <v>151</v>
      </c>
      <c r="C136" s="94">
        <f t="shared" si="12"/>
        <v>1.9952435920150061E-2</v>
      </c>
      <c r="D136" s="94">
        <f t="shared" si="11"/>
        <v>1.9917713697927841E-2</v>
      </c>
      <c r="E136">
        <v>95</v>
      </c>
    </row>
    <row r="137" spans="1:5">
      <c r="A137" t="s">
        <v>170</v>
      </c>
      <c r="B137" s="59">
        <v>6.9444444444444447E-4</v>
      </c>
      <c r="C137" s="94">
        <f>$B$137+C136</f>
        <v>2.0646880364594507E-2</v>
      </c>
      <c r="D137" s="94">
        <f t="shared" si="11"/>
        <v>2.0612158142372286E-2</v>
      </c>
      <c r="E137">
        <v>96</v>
      </c>
    </row>
    <row r="138" spans="1:5">
      <c r="A138" t="s">
        <v>160</v>
      </c>
      <c r="B138" s="91" t="s">
        <v>146</v>
      </c>
      <c r="C138" s="94">
        <f>$C$137+J23</f>
        <v>2.0812837811403018E-2</v>
      </c>
      <c r="D138" s="94">
        <f t="shared" si="11"/>
        <v>2.0778115589180798E-2</v>
      </c>
      <c r="E138" s="78">
        <v>97</v>
      </c>
    </row>
    <row r="139" spans="1:5">
      <c r="A139" s="95">
        <f>J22</f>
        <v>11.75</v>
      </c>
      <c r="B139" t="s">
        <v>147</v>
      </c>
      <c r="C139" s="94">
        <f t="shared" ref="C139:C155" si="13">$C$137+J24</f>
        <v>2.0978795258211527E-2</v>
      </c>
      <c r="D139" s="94">
        <f t="shared" si="11"/>
        <v>2.0944073035989306E-2</v>
      </c>
      <c r="E139" s="96">
        <v>98</v>
      </c>
    </row>
    <row r="140" spans="1:5">
      <c r="B140" t="s">
        <v>148</v>
      </c>
      <c r="C140" s="94">
        <f t="shared" si="13"/>
        <v>2.1167093130551953E-2</v>
      </c>
      <c r="D140" s="94">
        <f t="shared" si="11"/>
        <v>2.1132370908329732E-2</v>
      </c>
      <c r="E140">
        <v>99</v>
      </c>
    </row>
    <row r="141" spans="1:5">
      <c r="B141" t="s">
        <v>149</v>
      </c>
      <c r="C141" s="94">
        <f t="shared" si="13"/>
        <v>2.1333050577360464E-2</v>
      </c>
      <c r="D141" s="94">
        <f t="shared" si="11"/>
        <v>2.1298328355138244E-2</v>
      </c>
      <c r="E141">
        <v>100</v>
      </c>
    </row>
    <row r="142" spans="1:5">
      <c r="B142" t="s">
        <v>150</v>
      </c>
      <c r="C142" s="94">
        <f t="shared" si="13"/>
        <v>2.1499008024168976E-2</v>
      </c>
      <c r="D142" s="94">
        <f t="shared" si="11"/>
        <v>2.1464285801946755E-2</v>
      </c>
      <c r="E142">
        <v>101</v>
      </c>
    </row>
    <row r="143" spans="1:5">
      <c r="B143" t="s">
        <v>151</v>
      </c>
      <c r="C143" s="94">
        <f t="shared" si="13"/>
        <v>2.1687305896509402E-2</v>
      </c>
      <c r="D143" s="94">
        <f t="shared" si="11"/>
        <v>2.1652583674287181E-2</v>
      </c>
      <c r="E143">
        <v>102</v>
      </c>
    </row>
    <row r="144" spans="1:5">
      <c r="B144" s="91" t="s">
        <v>146</v>
      </c>
      <c r="C144" s="94">
        <f t="shared" si="13"/>
        <v>2.185326334331791E-2</v>
      </c>
      <c r="D144" s="94">
        <f t="shared" si="11"/>
        <v>2.1818541121095689E-2</v>
      </c>
      <c r="E144">
        <v>103</v>
      </c>
    </row>
    <row r="145" spans="1:5">
      <c r="B145" t="s">
        <v>147</v>
      </c>
      <c r="C145" s="94">
        <f t="shared" si="13"/>
        <v>2.2019220790126422E-2</v>
      </c>
      <c r="D145" s="94">
        <f t="shared" si="11"/>
        <v>2.1984498567904201E-2</v>
      </c>
      <c r="E145" s="78">
        <v>104</v>
      </c>
    </row>
    <row r="146" spans="1:5">
      <c r="B146" t="s">
        <v>148</v>
      </c>
      <c r="C146" s="94">
        <f t="shared" si="13"/>
        <v>2.2207518662466848E-2</v>
      </c>
      <c r="D146" s="94">
        <f t="shared" si="11"/>
        <v>2.2172796440244627E-2</v>
      </c>
      <c r="E146">
        <v>105</v>
      </c>
    </row>
    <row r="147" spans="1:5">
      <c r="B147" t="s">
        <v>149</v>
      </c>
      <c r="C147" s="94">
        <f t="shared" si="13"/>
        <v>2.2373476109275359E-2</v>
      </c>
      <c r="D147" s="94">
        <f t="shared" si="11"/>
        <v>2.2338753887053139E-2</v>
      </c>
      <c r="E147">
        <v>106</v>
      </c>
    </row>
    <row r="148" spans="1:5">
      <c r="B148" t="s">
        <v>150</v>
      </c>
      <c r="C148" s="94">
        <f t="shared" si="13"/>
        <v>2.2539433556083868E-2</v>
      </c>
      <c r="D148" s="94">
        <f t="shared" si="11"/>
        <v>2.2504711333861647E-2</v>
      </c>
      <c r="E148">
        <v>107</v>
      </c>
    </row>
    <row r="149" spans="1:5">
      <c r="B149" t="s">
        <v>151</v>
      </c>
      <c r="C149" s="94">
        <f t="shared" si="13"/>
        <v>2.2727731428424294E-2</v>
      </c>
      <c r="D149" s="94">
        <f t="shared" si="11"/>
        <v>2.2693009206202073E-2</v>
      </c>
      <c r="E149">
        <v>108</v>
      </c>
    </row>
    <row r="150" spans="1:5">
      <c r="B150" s="91" t="s">
        <v>146</v>
      </c>
      <c r="C150" s="94">
        <f t="shared" si="13"/>
        <v>2.2893688875232805E-2</v>
      </c>
      <c r="D150" s="94">
        <f t="shared" si="11"/>
        <v>2.2858966653010585E-2</v>
      </c>
      <c r="E150">
        <v>109</v>
      </c>
    </row>
    <row r="151" spans="1:5">
      <c r="B151" t="s">
        <v>147</v>
      </c>
      <c r="C151" s="94">
        <f t="shared" si="13"/>
        <v>2.3059646322041313E-2</v>
      </c>
      <c r="D151" s="94">
        <f t="shared" si="11"/>
        <v>2.3024924099819093E-2</v>
      </c>
      <c r="E151" s="78">
        <v>110</v>
      </c>
    </row>
    <row r="152" spans="1:5">
      <c r="B152" t="s">
        <v>148</v>
      </c>
      <c r="C152" s="94">
        <f t="shared" si="13"/>
        <v>2.3247944194381739E-2</v>
      </c>
      <c r="D152" s="94">
        <f t="shared" si="11"/>
        <v>2.3213221972159519E-2</v>
      </c>
      <c r="E152">
        <v>111</v>
      </c>
    </row>
    <row r="153" spans="1:5">
      <c r="B153" t="s">
        <v>149</v>
      </c>
      <c r="C153" s="94">
        <f t="shared" si="13"/>
        <v>2.3413901641190251E-2</v>
      </c>
      <c r="D153" s="94">
        <f t="shared" si="11"/>
        <v>2.337917941896803E-2</v>
      </c>
      <c r="E153">
        <v>112</v>
      </c>
    </row>
    <row r="154" spans="1:5">
      <c r="B154" t="s">
        <v>150</v>
      </c>
      <c r="C154" s="94">
        <f t="shared" si="13"/>
        <v>2.3579859087998763E-2</v>
      </c>
      <c r="D154" s="94">
        <f t="shared" si="11"/>
        <v>2.3545136865776542E-2</v>
      </c>
      <c r="E154">
        <v>113</v>
      </c>
    </row>
    <row r="155" spans="1:5">
      <c r="B155" t="s">
        <v>151</v>
      </c>
      <c r="C155" s="94">
        <f t="shared" si="13"/>
        <v>2.3768156960339189E-2</v>
      </c>
      <c r="D155" s="94">
        <f t="shared" si="11"/>
        <v>2.3733434738116968E-2</v>
      </c>
      <c r="E155">
        <v>114</v>
      </c>
    </row>
    <row r="156" spans="1:5">
      <c r="A156" t="s">
        <v>171</v>
      </c>
      <c r="B156" s="59">
        <v>6.9444444444444447E-4</v>
      </c>
      <c r="C156" s="94">
        <f>C155+B156</f>
        <v>2.4462601404783634E-2</v>
      </c>
      <c r="D156" s="94">
        <f t="shared" si="11"/>
        <v>2.4427879182561413E-2</v>
      </c>
      <c r="E156">
        <v>115</v>
      </c>
    </row>
    <row r="157" spans="1:5">
      <c r="A157" t="s">
        <v>161</v>
      </c>
      <c r="B157" s="91" t="s">
        <v>146</v>
      </c>
      <c r="C157" s="94">
        <f>$C$156+K23</f>
        <v>2.4623758429577022E-2</v>
      </c>
      <c r="D157" s="94">
        <f t="shared" si="11"/>
        <v>2.4589036207354802E-2</v>
      </c>
      <c r="E157" s="78">
        <v>116</v>
      </c>
    </row>
    <row r="158" spans="1:5">
      <c r="A158" s="93">
        <f>K22</f>
        <v>12.1</v>
      </c>
      <c r="B158" t="s">
        <v>147</v>
      </c>
      <c r="C158" s="94">
        <f t="shared" ref="C158:C174" si="14">$C$156+K24</f>
        <v>2.478491545437041E-2</v>
      </c>
      <c r="D158" s="94">
        <f t="shared" si="11"/>
        <v>2.475019323214819E-2</v>
      </c>
      <c r="E158" s="96">
        <v>117</v>
      </c>
    </row>
    <row r="159" spans="1:5">
      <c r="B159" t="s">
        <v>148</v>
      </c>
      <c r="C159" s="94">
        <f t="shared" si="14"/>
        <v>2.4967766694039831E-2</v>
      </c>
      <c r="D159" s="94">
        <f t="shared" si="11"/>
        <v>2.4933044471817611E-2</v>
      </c>
      <c r="E159">
        <v>118</v>
      </c>
    </row>
    <row r="160" spans="1:5">
      <c r="B160" t="s">
        <v>149</v>
      </c>
      <c r="C160" s="94">
        <f t="shared" si="14"/>
        <v>2.512892371883322E-2</v>
      </c>
      <c r="D160" s="94">
        <f t="shared" si="11"/>
        <v>2.5094201496610999E-2</v>
      </c>
      <c r="E160">
        <v>119</v>
      </c>
    </row>
    <row r="161" spans="1:5">
      <c r="B161" t="s">
        <v>150</v>
      </c>
      <c r="C161" s="94">
        <f t="shared" si="14"/>
        <v>2.5290080743626611E-2</v>
      </c>
      <c r="D161" s="94">
        <f t="shared" si="11"/>
        <v>2.525535852140439E-2</v>
      </c>
      <c r="E161">
        <v>120</v>
      </c>
    </row>
    <row r="162" spans="1:5">
      <c r="B162" t="s">
        <v>151</v>
      </c>
      <c r="C162" s="94">
        <f t="shared" si="14"/>
        <v>2.5472931983296032E-2</v>
      </c>
      <c r="D162" s="94">
        <f t="shared" si="11"/>
        <v>2.5438209761073811E-2</v>
      </c>
      <c r="E162">
        <v>121</v>
      </c>
    </row>
    <row r="163" spans="1:5">
      <c r="B163" s="91" t="s">
        <v>146</v>
      </c>
      <c r="C163" s="94">
        <f t="shared" si="14"/>
        <v>2.563408900808942E-2</v>
      </c>
      <c r="D163" s="94">
        <f t="shared" si="11"/>
        <v>2.55993667858672E-2</v>
      </c>
      <c r="E163">
        <v>122</v>
      </c>
    </row>
    <row r="164" spans="1:5">
      <c r="B164" t="s">
        <v>147</v>
      </c>
      <c r="C164" s="94">
        <f t="shared" si="14"/>
        <v>2.5795246032882808E-2</v>
      </c>
      <c r="D164" s="94">
        <f t="shared" si="11"/>
        <v>2.5760523810660588E-2</v>
      </c>
      <c r="E164">
        <v>123</v>
      </c>
    </row>
    <row r="165" spans="1:5">
      <c r="B165" t="s">
        <v>148</v>
      </c>
      <c r="C165" s="94">
        <f t="shared" si="14"/>
        <v>2.5978097272552229E-2</v>
      </c>
      <c r="D165" s="94">
        <f t="shared" si="11"/>
        <v>2.5943375050330009E-2</v>
      </c>
      <c r="E165" s="78">
        <v>124</v>
      </c>
    </row>
    <row r="166" spans="1:5">
      <c r="B166" t="s">
        <v>149</v>
      </c>
      <c r="C166" s="94">
        <f t="shared" si="14"/>
        <v>2.6139254297345618E-2</v>
      </c>
      <c r="D166" s="94">
        <f t="shared" si="11"/>
        <v>2.6104532075123397E-2</v>
      </c>
      <c r="E166">
        <v>125</v>
      </c>
    </row>
    <row r="167" spans="1:5">
      <c r="B167" t="s">
        <v>150</v>
      </c>
      <c r="C167" s="94">
        <f t="shared" si="14"/>
        <v>2.6300411322139006E-2</v>
      </c>
      <c r="D167" s="94">
        <f t="shared" si="11"/>
        <v>2.6265689099916785E-2</v>
      </c>
      <c r="E167">
        <v>126</v>
      </c>
    </row>
    <row r="168" spans="1:5">
      <c r="B168" t="s">
        <v>151</v>
      </c>
      <c r="C168" s="94">
        <f t="shared" si="14"/>
        <v>2.6483262561808427E-2</v>
      </c>
      <c r="D168" s="94">
        <f t="shared" si="11"/>
        <v>2.6448540339586206E-2</v>
      </c>
      <c r="E168">
        <v>127</v>
      </c>
    </row>
    <row r="169" spans="1:5">
      <c r="B169" s="91" t="s">
        <v>146</v>
      </c>
      <c r="C169" s="94">
        <f t="shared" si="14"/>
        <v>2.6644419586601815E-2</v>
      </c>
      <c r="D169" s="94">
        <f t="shared" si="11"/>
        <v>2.6609697364379594E-2</v>
      </c>
      <c r="E169">
        <v>128</v>
      </c>
    </row>
    <row r="170" spans="1:5">
      <c r="B170" t="s">
        <v>147</v>
      </c>
      <c r="C170" s="94">
        <f t="shared" si="14"/>
        <v>2.6805576611395203E-2</v>
      </c>
      <c r="D170" s="94">
        <f t="shared" si="11"/>
        <v>2.6770854389172982E-2</v>
      </c>
      <c r="E170">
        <v>129</v>
      </c>
    </row>
    <row r="171" spans="1:5">
      <c r="B171" t="s">
        <v>148</v>
      </c>
      <c r="C171" s="94">
        <f t="shared" si="14"/>
        <v>2.6988427851064627E-2</v>
      </c>
      <c r="D171" s="94">
        <f t="shared" si="11"/>
        <v>2.6953705628842407E-2</v>
      </c>
      <c r="E171" s="78">
        <v>130</v>
      </c>
    </row>
    <row r="172" spans="1:5">
      <c r="B172" t="s">
        <v>149</v>
      </c>
      <c r="C172" s="94">
        <f t="shared" si="14"/>
        <v>2.7149584875858015E-2</v>
      </c>
      <c r="D172" s="94">
        <f t="shared" ref="D172:D233" si="15">C172-$D$41</f>
        <v>2.7114862653635795E-2</v>
      </c>
      <c r="E172">
        <v>131</v>
      </c>
    </row>
    <row r="173" spans="1:5">
      <c r="B173" t="s">
        <v>150</v>
      </c>
      <c r="C173" s="94">
        <f t="shared" si="14"/>
        <v>2.7310741900651404E-2</v>
      </c>
      <c r="D173" s="94">
        <f t="shared" si="15"/>
        <v>2.7276019678429183E-2</v>
      </c>
      <c r="E173">
        <v>132</v>
      </c>
    </row>
    <row r="174" spans="1:5">
      <c r="B174" t="s">
        <v>151</v>
      </c>
      <c r="C174" s="94">
        <f t="shared" si="14"/>
        <v>2.7493593140320825E-2</v>
      </c>
      <c r="D174" s="94">
        <f t="shared" si="15"/>
        <v>2.7458870918098604E-2</v>
      </c>
      <c r="E174">
        <v>133</v>
      </c>
    </row>
    <row r="175" spans="1:5">
      <c r="A175" t="s">
        <v>172</v>
      </c>
      <c r="B175" s="59">
        <v>6.9444444444444447E-4</v>
      </c>
      <c r="C175" s="94">
        <f>C174+B175</f>
        <v>2.818803758476527E-2</v>
      </c>
      <c r="D175" s="94">
        <f t="shared" si="15"/>
        <v>2.8153315362543049E-2</v>
      </c>
      <c r="E175">
        <v>134</v>
      </c>
    </row>
    <row r="176" spans="1:5">
      <c r="A176" t="s">
        <v>162</v>
      </c>
      <c r="B176" s="91" t="s">
        <v>146</v>
      </c>
      <c r="C176" s="94">
        <f>$C$175+L23</f>
        <v>2.8344664090789368E-2</v>
      </c>
      <c r="D176" s="94">
        <f t="shared" si="15"/>
        <v>2.8309941868567147E-2</v>
      </c>
      <c r="E176">
        <v>135</v>
      </c>
    </row>
    <row r="177" spans="1:5">
      <c r="A177" s="93">
        <f>L22</f>
        <v>12.45</v>
      </c>
      <c r="B177" t="s">
        <v>147</v>
      </c>
      <c r="C177" s="94">
        <f t="shared" ref="C177:C193" si="16">$C$175+L24</f>
        <v>2.8501290596813462E-2</v>
      </c>
      <c r="D177" s="94">
        <f t="shared" si="15"/>
        <v>2.8466568374591241E-2</v>
      </c>
      <c r="E177" s="78">
        <v>136</v>
      </c>
    </row>
    <row r="178" spans="1:5">
      <c r="B178" t="s">
        <v>148</v>
      </c>
      <c r="C178" s="94">
        <f t="shared" si="16"/>
        <v>2.8679001440186955E-2</v>
      </c>
      <c r="D178" s="94">
        <f t="shared" si="15"/>
        <v>2.8644279217964735E-2</v>
      </c>
      <c r="E178" s="96">
        <v>137</v>
      </c>
    </row>
    <row r="179" spans="1:5">
      <c r="B179" t="s">
        <v>149</v>
      </c>
      <c r="C179" s="94">
        <f t="shared" si="16"/>
        <v>2.8835627946211053E-2</v>
      </c>
      <c r="D179" s="94">
        <f t="shared" si="15"/>
        <v>2.8800905723988832E-2</v>
      </c>
      <c r="E179">
        <v>138</v>
      </c>
    </row>
    <row r="180" spans="1:5">
      <c r="B180" t="s">
        <v>150</v>
      </c>
      <c r="C180" s="94">
        <f t="shared" si="16"/>
        <v>2.8992254452235151E-2</v>
      </c>
      <c r="D180" s="94">
        <f t="shared" si="15"/>
        <v>2.895753223001293E-2</v>
      </c>
      <c r="E180">
        <v>139</v>
      </c>
    </row>
    <row r="181" spans="1:5">
      <c r="B181" t="s">
        <v>151</v>
      </c>
      <c r="C181" s="94">
        <f t="shared" si="16"/>
        <v>2.9169965295608644E-2</v>
      </c>
      <c r="D181" s="94">
        <f t="shared" si="15"/>
        <v>2.9135243073386424E-2</v>
      </c>
      <c r="E181">
        <v>140</v>
      </c>
    </row>
    <row r="182" spans="1:5">
      <c r="B182" s="91" t="s">
        <v>146</v>
      </c>
      <c r="C182" s="94">
        <f t="shared" si="16"/>
        <v>2.9326591801632738E-2</v>
      </c>
      <c r="D182" s="94">
        <f t="shared" si="15"/>
        <v>2.9291869579410518E-2</v>
      </c>
      <c r="E182">
        <v>141</v>
      </c>
    </row>
    <row r="183" spans="1:5">
      <c r="B183" t="s">
        <v>147</v>
      </c>
      <c r="C183" s="94">
        <f t="shared" si="16"/>
        <v>2.9483218307656836E-2</v>
      </c>
      <c r="D183" s="94">
        <f t="shared" si="15"/>
        <v>2.9448496085434615E-2</v>
      </c>
      <c r="E183">
        <v>142</v>
      </c>
    </row>
    <row r="184" spans="1:5">
      <c r="B184" t="s">
        <v>148</v>
      </c>
      <c r="C184" s="94">
        <f t="shared" si="16"/>
        <v>2.966092915103033E-2</v>
      </c>
      <c r="D184" s="94">
        <f t="shared" si="15"/>
        <v>2.9626206928808109E-2</v>
      </c>
      <c r="E184" s="78">
        <v>143</v>
      </c>
    </row>
    <row r="185" spans="1:5">
      <c r="B185" t="s">
        <v>149</v>
      </c>
      <c r="C185" s="94">
        <f t="shared" si="16"/>
        <v>2.9817555657054427E-2</v>
      </c>
      <c r="D185" s="94">
        <f t="shared" si="15"/>
        <v>2.9782833434832207E-2</v>
      </c>
      <c r="E185">
        <v>144</v>
      </c>
    </row>
    <row r="186" spans="1:5">
      <c r="B186" t="s">
        <v>150</v>
      </c>
      <c r="C186" s="94">
        <f t="shared" si="16"/>
        <v>2.9974182163078525E-2</v>
      </c>
      <c r="D186" s="94">
        <f t="shared" si="15"/>
        <v>2.9939459940856304E-2</v>
      </c>
      <c r="E186">
        <v>145</v>
      </c>
    </row>
    <row r="187" spans="1:5">
      <c r="B187" t="s">
        <v>151</v>
      </c>
      <c r="C187" s="94">
        <f t="shared" si="16"/>
        <v>3.0151893006452019E-2</v>
      </c>
      <c r="D187" s="94">
        <f t="shared" si="15"/>
        <v>3.0117170784229798E-2</v>
      </c>
      <c r="E187">
        <v>146</v>
      </c>
    </row>
    <row r="188" spans="1:5">
      <c r="B188" s="91" t="s">
        <v>146</v>
      </c>
      <c r="C188" s="94">
        <f t="shared" si="16"/>
        <v>3.0308519512476113E-2</v>
      </c>
      <c r="D188" s="94">
        <f t="shared" si="15"/>
        <v>3.0273797290253892E-2</v>
      </c>
      <c r="E188">
        <v>147</v>
      </c>
    </row>
    <row r="189" spans="1:5">
      <c r="B189" t="s">
        <v>147</v>
      </c>
      <c r="C189" s="94">
        <f t="shared" si="16"/>
        <v>3.046514601850021E-2</v>
      </c>
      <c r="D189" s="94">
        <f t="shared" si="15"/>
        <v>3.043042379627799E-2</v>
      </c>
      <c r="E189">
        <v>148</v>
      </c>
    </row>
    <row r="190" spans="1:5">
      <c r="B190" t="s">
        <v>148</v>
      </c>
      <c r="C190" s="94">
        <f t="shared" si="16"/>
        <v>3.0642856861873704E-2</v>
      </c>
      <c r="D190" s="94">
        <f t="shared" si="15"/>
        <v>3.0608134639651483E-2</v>
      </c>
      <c r="E190" s="78">
        <v>149</v>
      </c>
    </row>
    <row r="191" spans="1:5">
      <c r="B191" t="s">
        <v>149</v>
      </c>
      <c r="C191" s="94">
        <f t="shared" si="16"/>
        <v>3.0799483367897802E-2</v>
      </c>
      <c r="D191" s="94">
        <f t="shared" si="15"/>
        <v>3.0764761145675581E-2</v>
      </c>
      <c r="E191">
        <v>150</v>
      </c>
    </row>
    <row r="192" spans="1:5">
      <c r="B192" t="s">
        <v>150</v>
      </c>
      <c r="C192" s="94">
        <f t="shared" si="16"/>
        <v>3.0956109873921896E-2</v>
      </c>
      <c r="D192" s="94">
        <f t="shared" si="15"/>
        <v>3.0921387651699675E-2</v>
      </c>
      <c r="E192">
        <v>151</v>
      </c>
    </row>
    <row r="193" spans="1:5">
      <c r="B193" t="s">
        <v>151</v>
      </c>
      <c r="C193" s="94">
        <f t="shared" si="16"/>
        <v>3.1133820717295389E-2</v>
      </c>
      <c r="D193" s="94">
        <f t="shared" si="15"/>
        <v>3.1099098495073169E-2</v>
      </c>
      <c r="E193">
        <v>152</v>
      </c>
    </row>
    <row r="194" spans="1:5">
      <c r="A194" t="s">
        <v>173</v>
      </c>
      <c r="B194" s="59">
        <v>6.9444444444444447E-4</v>
      </c>
      <c r="C194" s="94">
        <f>B194+C193</f>
        <v>3.1828265161739831E-2</v>
      </c>
      <c r="D194" s="94">
        <f t="shared" si="15"/>
        <v>3.1793542939517611E-2</v>
      </c>
      <c r="E194">
        <v>153</v>
      </c>
    </row>
    <row r="195" spans="1:5">
      <c r="A195" t="s">
        <v>163</v>
      </c>
      <c r="B195" s="91" t="s">
        <v>146</v>
      </c>
      <c r="C195" s="94">
        <f>$C$194+M23</f>
        <v>3.198060891173983E-2</v>
      </c>
      <c r="D195" s="94">
        <f t="shared" si="15"/>
        <v>3.1945886689517609E-2</v>
      </c>
      <c r="E195">
        <v>154</v>
      </c>
    </row>
    <row r="196" spans="1:5">
      <c r="A196" s="93">
        <f>M22</f>
        <v>12.8</v>
      </c>
      <c r="B196" t="s">
        <v>147</v>
      </c>
      <c r="C196" s="94">
        <f t="shared" ref="C196:C212" si="17">$C$194+M24</f>
        <v>3.2132952661739829E-2</v>
      </c>
      <c r="D196" s="94">
        <f t="shared" si="15"/>
        <v>3.2098230439517608E-2</v>
      </c>
      <c r="E196" s="78">
        <v>155</v>
      </c>
    </row>
    <row r="197" spans="1:5">
      <c r="B197" t="s">
        <v>148</v>
      </c>
      <c r="C197" s="94">
        <f t="shared" si="17"/>
        <v>3.2305804224239829E-2</v>
      </c>
      <c r="D197" s="94">
        <f t="shared" si="15"/>
        <v>3.2271082002017608E-2</v>
      </c>
      <c r="E197" s="96">
        <v>156</v>
      </c>
    </row>
    <row r="198" spans="1:5">
      <c r="B198" t="s">
        <v>149</v>
      </c>
      <c r="C198" s="94">
        <f t="shared" si="17"/>
        <v>3.2458147974239834E-2</v>
      </c>
      <c r="D198" s="94">
        <f t="shared" si="15"/>
        <v>3.2423425752017614E-2</v>
      </c>
      <c r="E198">
        <v>157</v>
      </c>
    </row>
    <row r="199" spans="1:5">
      <c r="B199" t="s">
        <v>150</v>
      </c>
      <c r="C199" s="94">
        <f t="shared" si="17"/>
        <v>3.2610491724239833E-2</v>
      </c>
      <c r="D199" s="94">
        <f t="shared" si="15"/>
        <v>3.2575769502017612E-2</v>
      </c>
      <c r="E199">
        <v>158</v>
      </c>
    </row>
    <row r="200" spans="1:5">
      <c r="B200" t="s">
        <v>151</v>
      </c>
      <c r="C200" s="94">
        <f t="shared" si="17"/>
        <v>3.2783343286739833E-2</v>
      </c>
      <c r="D200" s="94">
        <f t="shared" si="15"/>
        <v>3.2748621064517612E-2</v>
      </c>
      <c r="E200">
        <v>159</v>
      </c>
    </row>
    <row r="201" spans="1:5">
      <c r="B201" s="91" t="s">
        <v>146</v>
      </c>
      <c r="C201" s="94">
        <f t="shared" si="17"/>
        <v>3.2935687036739832E-2</v>
      </c>
      <c r="D201" s="94">
        <f t="shared" si="15"/>
        <v>3.2900964814517611E-2</v>
      </c>
      <c r="E201">
        <v>160</v>
      </c>
    </row>
    <row r="202" spans="1:5">
      <c r="B202" t="s">
        <v>147</v>
      </c>
      <c r="C202" s="94">
        <f t="shared" si="17"/>
        <v>3.308803078673983E-2</v>
      </c>
      <c r="D202" s="94">
        <f t="shared" si="15"/>
        <v>3.305330856451761E-2</v>
      </c>
      <c r="E202">
        <v>161</v>
      </c>
    </row>
    <row r="203" spans="1:5">
      <c r="B203" t="s">
        <v>148</v>
      </c>
      <c r="C203" s="94">
        <f t="shared" si="17"/>
        <v>3.326088234923983E-2</v>
      </c>
      <c r="D203" s="94">
        <f t="shared" si="15"/>
        <v>3.3226160127017609E-2</v>
      </c>
      <c r="E203">
        <v>162</v>
      </c>
    </row>
    <row r="204" spans="1:5">
      <c r="B204" t="s">
        <v>149</v>
      </c>
      <c r="C204" s="94">
        <f t="shared" si="17"/>
        <v>3.3413226099239829E-2</v>
      </c>
      <c r="D204" s="94">
        <f t="shared" si="15"/>
        <v>3.3378503877017608E-2</v>
      </c>
      <c r="E204" s="78">
        <v>163</v>
      </c>
    </row>
    <row r="205" spans="1:5">
      <c r="B205" t="s">
        <v>150</v>
      </c>
      <c r="C205" s="94">
        <f t="shared" si="17"/>
        <v>3.3565569849239835E-2</v>
      </c>
      <c r="D205" s="94">
        <f t="shared" si="15"/>
        <v>3.3530847627017614E-2</v>
      </c>
      <c r="E205">
        <v>164</v>
      </c>
    </row>
    <row r="206" spans="1:5">
      <c r="B206" t="s">
        <v>151</v>
      </c>
      <c r="C206" s="94">
        <f t="shared" si="17"/>
        <v>3.3738421411739827E-2</v>
      </c>
      <c r="D206" s="94">
        <f t="shared" si="15"/>
        <v>3.3703699189517607E-2</v>
      </c>
      <c r="E206">
        <v>165</v>
      </c>
    </row>
    <row r="207" spans="1:5">
      <c r="B207" s="91" t="s">
        <v>146</v>
      </c>
      <c r="C207" s="94">
        <f t="shared" si="17"/>
        <v>3.3890765161739833E-2</v>
      </c>
      <c r="D207" s="94">
        <f t="shared" si="15"/>
        <v>3.3856042939517612E-2</v>
      </c>
      <c r="E207">
        <v>166</v>
      </c>
    </row>
    <row r="208" spans="1:5">
      <c r="B208" t="s">
        <v>147</v>
      </c>
      <c r="C208" s="94">
        <f t="shared" si="17"/>
        <v>3.4043108911739832E-2</v>
      </c>
      <c r="D208" s="94">
        <f t="shared" si="15"/>
        <v>3.4008386689517611E-2</v>
      </c>
      <c r="E208">
        <v>167</v>
      </c>
    </row>
    <row r="209" spans="1:5">
      <c r="B209" t="s">
        <v>148</v>
      </c>
      <c r="C209" s="94">
        <f t="shared" si="17"/>
        <v>3.4215960474239832E-2</v>
      </c>
      <c r="D209" s="94">
        <f t="shared" si="15"/>
        <v>3.4181238252017611E-2</v>
      </c>
      <c r="E209">
        <v>168</v>
      </c>
    </row>
    <row r="210" spans="1:5">
      <c r="B210" t="s">
        <v>149</v>
      </c>
      <c r="C210" s="94">
        <f t="shared" si="17"/>
        <v>3.436830422423983E-2</v>
      </c>
      <c r="D210" s="94">
        <f t="shared" si="15"/>
        <v>3.433358200201761E-2</v>
      </c>
      <c r="E210" s="78">
        <v>169</v>
      </c>
    </row>
    <row r="211" spans="1:5">
      <c r="B211" t="s">
        <v>150</v>
      </c>
      <c r="C211" s="94">
        <f t="shared" si="17"/>
        <v>3.4520647974239829E-2</v>
      </c>
      <c r="D211" s="94">
        <f t="shared" si="15"/>
        <v>3.4485925752017609E-2</v>
      </c>
      <c r="E211">
        <v>170</v>
      </c>
    </row>
    <row r="212" spans="1:5">
      <c r="B212" t="s">
        <v>151</v>
      </c>
      <c r="C212" s="94">
        <f t="shared" si="17"/>
        <v>3.4693499536739829E-2</v>
      </c>
      <c r="D212" s="94">
        <f t="shared" si="15"/>
        <v>3.4658777314517608E-2</v>
      </c>
      <c r="E212">
        <v>171</v>
      </c>
    </row>
    <row r="213" spans="1:5">
      <c r="A213" t="s">
        <v>174</v>
      </c>
      <c r="B213" s="59">
        <v>6.9444444444444447E-4</v>
      </c>
      <c r="C213" s="94">
        <f>C212+B213</f>
        <v>3.5387943981184271E-2</v>
      </c>
      <c r="D213" s="94">
        <f t="shared" si="15"/>
        <v>3.535322175896205E-2</v>
      </c>
      <c r="E213">
        <v>172</v>
      </c>
    </row>
    <row r="214" spans="1:5">
      <c r="A214" t="s">
        <v>164</v>
      </c>
      <c r="B214" s="91" t="s">
        <v>146</v>
      </c>
      <c r="C214" s="94">
        <f>$C$213+N23</f>
        <v>3.55362329545683E-2</v>
      </c>
      <c r="D214" s="94">
        <f t="shared" si="15"/>
        <v>3.550151073234608E-2</v>
      </c>
      <c r="E214">
        <v>173</v>
      </c>
    </row>
    <row r="215" spans="1:5">
      <c r="A215" s="93">
        <f>N22</f>
        <v>13.15</v>
      </c>
      <c r="B215" t="s">
        <v>147</v>
      </c>
      <c r="C215" s="94">
        <f t="shared" ref="C215:C231" si="18">$C$213+N24</f>
        <v>3.568452192795233E-2</v>
      </c>
      <c r="D215" s="94">
        <f t="shared" si="15"/>
        <v>3.5649799705730109E-2</v>
      </c>
      <c r="E215">
        <v>174</v>
      </c>
    </row>
    <row r="216" spans="1:5">
      <c r="B216" t="s">
        <v>148</v>
      </c>
      <c r="C216" s="94">
        <f t="shared" si="18"/>
        <v>3.5852772878522676E-2</v>
      </c>
      <c r="D216" s="94">
        <f t="shared" si="15"/>
        <v>3.5818050656300456E-2</v>
      </c>
      <c r="E216" s="78">
        <v>175</v>
      </c>
    </row>
    <row r="217" spans="1:5">
      <c r="B217" t="s">
        <v>149</v>
      </c>
      <c r="C217" s="94">
        <f t="shared" si="18"/>
        <v>3.6001061851906706E-2</v>
      </c>
      <c r="D217" s="94">
        <f t="shared" si="15"/>
        <v>3.5966339629684485E-2</v>
      </c>
      <c r="E217" s="96">
        <v>176</v>
      </c>
    </row>
    <row r="218" spans="1:5">
      <c r="B218" t="s">
        <v>150</v>
      </c>
      <c r="C218" s="94">
        <f t="shared" si="18"/>
        <v>3.6149350825290735E-2</v>
      </c>
      <c r="D218" s="94">
        <f t="shared" si="15"/>
        <v>3.6114628603068515E-2</v>
      </c>
      <c r="E218">
        <v>177</v>
      </c>
    </row>
    <row r="219" spans="1:5">
      <c r="B219" t="s">
        <v>151</v>
      </c>
      <c r="C219" s="94">
        <f t="shared" si="18"/>
        <v>3.6317601775861075E-2</v>
      </c>
      <c r="D219" s="94">
        <f t="shared" si="15"/>
        <v>3.6282879553638854E-2</v>
      </c>
      <c r="E219">
        <v>178</v>
      </c>
    </row>
    <row r="220" spans="1:5">
      <c r="B220" s="91" t="s">
        <v>146</v>
      </c>
      <c r="C220" s="94">
        <f t="shared" si="18"/>
        <v>3.6465890749245104E-2</v>
      </c>
      <c r="D220" s="94">
        <f t="shared" si="15"/>
        <v>3.6431168527022884E-2</v>
      </c>
      <c r="E220">
        <v>179</v>
      </c>
    </row>
    <row r="221" spans="1:5">
      <c r="B221" t="s">
        <v>147</v>
      </c>
      <c r="C221" s="94">
        <f t="shared" si="18"/>
        <v>3.6614179722629141E-2</v>
      </c>
      <c r="D221" s="94">
        <f t="shared" si="15"/>
        <v>3.657945750040692E-2</v>
      </c>
      <c r="E221">
        <v>180</v>
      </c>
    </row>
    <row r="222" spans="1:5">
      <c r="B222" t="s">
        <v>148</v>
      </c>
      <c r="C222" s="94">
        <f t="shared" si="18"/>
        <v>3.678243067319948E-2</v>
      </c>
      <c r="D222" s="94">
        <f t="shared" si="15"/>
        <v>3.6747708450977259E-2</v>
      </c>
      <c r="E222">
        <v>181</v>
      </c>
    </row>
    <row r="223" spans="1:5">
      <c r="B223" t="s">
        <v>149</v>
      </c>
      <c r="C223" s="94">
        <f t="shared" si="18"/>
        <v>3.693071964658351E-2</v>
      </c>
      <c r="D223" s="94">
        <f t="shared" si="15"/>
        <v>3.6895997424361289E-2</v>
      </c>
      <c r="E223" s="78">
        <v>182</v>
      </c>
    </row>
    <row r="224" spans="1:5">
      <c r="B224" t="s">
        <v>150</v>
      </c>
      <c r="C224" s="94">
        <f t="shared" si="18"/>
        <v>3.7079008619967539E-2</v>
      </c>
      <c r="D224" s="94">
        <f t="shared" si="15"/>
        <v>3.7044286397745319E-2</v>
      </c>
      <c r="E224">
        <v>183</v>
      </c>
    </row>
    <row r="225" spans="2:5">
      <c r="B225" t="s">
        <v>151</v>
      </c>
      <c r="C225" s="94">
        <f t="shared" si="18"/>
        <v>3.7247259570537886E-2</v>
      </c>
      <c r="D225" s="94">
        <f t="shared" si="15"/>
        <v>3.7212537348315665E-2</v>
      </c>
      <c r="E225">
        <v>184</v>
      </c>
    </row>
    <row r="226" spans="2:5">
      <c r="B226" s="91" t="s">
        <v>146</v>
      </c>
      <c r="C226" s="94">
        <f t="shared" si="18"/>
        <v>3.7395548543921915E-2</v>
      </c>
      <c r="D226" s="94">
        <f t="shared" si="15"/>
        <v>3.7360826321699694E-2</v>
      </c>
      <c r="E226">
        <v>185</v>
      </c>
    </row>
    <row r="227" spans="2:5">
      <c r="B227" t="s">
        <v>147</v>
      </c>
      <c r="C227" s="94">
        <f t="shared" si="18"/>
        <v>3.7543837517305945E-2</v>
      </c>
      <c r="D227" s="94">
        <f t="shared" si="15"/>
        <v>3.7509115295083724E-2</v>
      </c>
      <c r="E227">
        <v>186</v>
      </c>
    </row>
    <row r="228" spans="2:5">
      <c r="B228" t="s">
        <v>148</v>
      </c>
      <c r="C228" s="94">
        <f t="shared" si="18"/>
        <v>3.7712088467876284E-2</v>
      </c>
      <c r="D228" s="94">
        <f t="shared" si="15"/>
        <v>3.7677366245654063E-2</v>
      </c>
      <c r="E228">
        <v>187</v>
      </c>
    </row>
    <row r="229" spans="2:5">
      <c r="B229" t="s">
        <v>149</v>
      </c>
      <c r="C229" s="94">
        <f t="shared" si="18"/>
        <v>3.7860377441260314E-2</v>
      </c>
      <c r="D229" s="94">
        <f t="shared" si="15"/>
        <v>3.7825655219038093E-2</v>
      </c>
      <c r="E229" s="78">
        <v>188</v>
      </c>
    </row>
    <row r="230" spans="2:5">
      <c r="B230" t="s">
        <v>150</v>
      </c>
      <c r="C230" s="94">
        <f t="shared" si="18"/>
        <v>3.800866641464435E-2</v>
      </c>
      <c r="D230" s="94">
        <f t="shared" si="15"/>
        <v>3.7973944192422129E-2</v>
      </c>
      <c r="E230">
        <v>189</v>
      </c>
    </row>
    <row r="231" spans="2:5">
      <c r="B231" t="s">
        <v>151</v>
      </c>
      <c r="C231" s="94">
        <f t="shared" si="18"/>
        <v>3.817691736521469E-2</v>
      </c>
      <c r="D231" s="94">
        <f t="shared" si="15"/>
        <v>3.8142195142992469E-2</v>
      </c>
      <c r="E231">
        <v>190</v>
      </c>
    </row>
    <row r="232" spans="2:5">
      <c r="B232" s="59">
        <v>6.9444444444444447E-4</v>
      </c>
      <c r="C232" s="94">
        <f>C231+B232</f>
        <v>3.8871361809659132E-2</v>
      </c>
      <c r="D232" s="94">
        <f t="shared" si="15"/>
        <v>3.8836639587436911E-2</v>
      </c>
    </row>
    <row r="233" spans="2:5">
      <c r="B233" s="59">
        <v>7.407407407407407E-4</v>
      </c>
      <c r="C233" s="94">
        <f>C232+B233</f>
        <v>3.9612102550399875E-2</v>
      </c>
      <c r="D233" s="94">
        <f t="shared" si="15"/>
        <v>3.9577380328177654E-2</v>
      </c>
    </row>
  </sheetData>
  <phoneticPr fontId="19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13"/>
  <sheetViews>
    <sheetView workbookViewId="0">
      <selection activeCell="C6" sqref="C6"/>
    </sheetView>
  </sheetViews>
  <sheetFormatPr defaultRowHeight="12.75"/>
  <cols>
    <col min="1" max="1" width="10.140625" bestFit="1" customWidth="1"/>
    <col min="2" max="2" width="15.42578125" customWidth="1"/>
    <col min="3" max="3" width="13.140625" customWidth="1"/>
    <col min="7" max="7" width="10.140625" bestFit="1" customWidth="1"/>
    <col min="8" max="8" width="10.42578125" customWidth="1"/>
    <col min="9" max="9" width="11.5703125" customWidth="1"/>
    <col min="11" max="11" width="11.28515625" customWidth="1"/>
    <col min="15" max="15" width="12" customWidth="1"/>
    <col min="16" max="16" width="16.140625" customWidth="1"/>
    <col min="17" max="17" width="15.85546875" customWidth="1"/>
    <col min="18" max="18" width="15.7109375" customWidth="1"/>
  </cols>
  <sheetData>
    <row r="1" spans="1:18">
      <c r="B1" t="s">
        <v>255</v>
      </c>
      <c r="C1" t="s">
        <v>254</v>
      </c>
      <c r="G1" t="s">
        <v>274</v>
      </c>
    </row>
    <row r="2" spans="1:18">
      <c r="B2">
        <f>AVERAGE(B5:B60)</f>
        <v>5634.6892049219823</v>
      </c>
      <c r="C2">
        <f>AVERAGE(C5:C55)</f>
        <v>-1.8989603512362569</v>
      </c>
    </row>
    <row r="4" spans="1:18">
      <c r="A4" t="s">
        <v>0</v>
      </c>
      <c r="B4" t="s">
        <v>252</v>
      </c>
      <c r="C4" t="s">
        <v>253</v>
      </c>
      <c r="G4" t="s">
        <v>275</v>
      </c>
      <c r="I4" t="s">
        <v>252</v>
      </c>
      <c r="J4" t="s">
        <v>276</v>
      </c>
      <c r="K4" t="s">
        <v>277</v>
      </c>
      <c r="L4" t="s">
        <v>279</v>
      </c>
      <c r="M4" t="s">
        <v>278</v>
      </c>
      <c r="N4" t="s">
        <v>280</v>
      </c>
      <c r="O4" t="s">
        <v>281</v>
      </c>
      <c r="P4" t="s">
        <v>283</v>
      </c>
      <c r="Q4" t="s">
        <v>282</v>
      </c>
      <c r="R4" t="s">
        <v>284</v>
      </c>
    </row>
    <row r="5" spans="1:18">
      <c r="A5" s="144"/>
      <c r="G5" s="144"/>
      <c r="H5" s="144"/>
      <c r="K5" s="147"/>
      <c r="L5" s="146"/>
      <c r="M5" s="147"/>
      <c r="N5" s="146"/>
      <c r="O5" s="146"/>
      <c r="Q5" s="146"/>
      <c r="R5" s="148"/>
    </row>
    <row r="6" spans="1:18">
      <c r="A6" s="144">
        <v>38020</v>
      </c>
      <c r="B6">
        <v>7.2663901132269304</v>
      </c>
      <c r="C6">
        <v>46.421182929422798</v>
      </c>
    </row>
    <row r="7" spans="1:18">
      <c r="A7" s="144">
        <v>38061</v>
      </c>
      <c r="B7">
        <v>7.273102875643354</v>
      </c>
      <c r="C7">
        <v>47.108307224926321</v>
      </c>
    </row>
    <row r="8" spans="1:18">
      <c r="A8" s="144">
        <v>38087</v>
      </c>
      <c r="B8">
        <v>6.75158682155537</v>
      </c>
      <c r="C8">
        <v>50.885267519557999</v>
      </c>
    </row>
    <row r="9" spans="1:18">
      <c r="A9" s="144">
        <v>38096</v>
      </c>
      <c r="B9">
        <v>6.8339585406000003</v>
      </c>
      <c r="C9">
        <v>46.799368371699998</v>
      </c>
    </row>
    <row r="10" spans="1:18">
      <c r="A10" s="144">
        <v>38151</v>
      </c>
      <c r="B10">
        <v>8.6731631000945608</v>
      </c>
      <c r="C10">
        <v>21.085137146213501</v>
      </c>
    </row>
    <row r="11" spans="1:18">
      <c r="A11" s="144">
        <v>38194</v>
      </c>
      <c r="B11">
        <v>8.0262330027566495</v>
      </c>
      <c r="C11">
        <v>35.8080143495256</v>
      </c>
    </row>
    <row r="13" spans="1:18">
      <c r="A13" s="144">
        <v>38508</v>
      </c>
      <c r="B13">
        <v>39398</v>
      </c>
      <c r="C13">
        <v>-261.39999999999998</v>
      </c>
    </row>
  </sheetData>
  <phoneticPr fontId="1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Reeksen</vt:lpstr>
      <vt:lpstr>Garmin</vt:lpstr>
      <vt:lpstr>Kilometers</vt:lpstr>
      <vt:lpstr>Hartslagen</vt:lpstr>
      <vt:lpstr>Calculator</vt:lpstr>
      <vt:lpstr>Parcours</vt:lpstr>
      <vt:lpstr>HM in 1'10"</vt:lpstr>
      <vt:lpstr>Conconi 2</vt:lpstr>
      <vt:lpstr>Conconi 3</vt:lpstr>
      <vt:lpstr>Tijd 2000</vt:lpstr>
      <vt:lpstr>Viad test</vt:lpstr>
      <vt:lpstr>Viad</vt:lpstr>
      <vt:lpstr>ConditieGetal</vt:lpstr>
      <vt:lpstr>Hartslag grafiek</vt:lpstr>
      <vt:lpstr>HS 10-20 km</vt:lpstr>
      <vt:lpstr>DATUMS</vt:lpstr>
      <vt:lpstr>TIJD</vt:lpstr>
      <vt:lpstr>TIJDEN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2004-07-05T11:32:12Z</cp:lastPrinted>
  <dcterms:created xsi:type="dcterms:W3CDTF">2002-10-06T14:30:16Z</dcterms:created>
  <dcterms:modified xsi:type="dcterms:W3CDTF">2012-07-13T20:04:27Z</dcterms:modified>
</cp:coreProperties>
</file>