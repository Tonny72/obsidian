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Berekeningen" sheetId="2" r:id="rId1"/>
    <sheet name="Personen" sheetId="3" r:id="rId2"/>
    <sheet name="OVERZICHT" sheetId="4" r:id="rId3"/>
    <sheet name="OMA" sheetId="5" r:id="rId4"/>
  </sheets>
  <calcPr calcId="144525"/>
</workbook>
</file>

<file path=xl/calcChain.xml><?xml version="1.0" encoding="utf-8"?>
<calcChain xmlns="http://schemas.openxmlformats.org/spreadsheetml/2006/main">
  <c r="B75" i="2" l="1"/>
  <c r="B74" i="2"/>
  <c r="B69" i="2" l="1"/>
  <c r="B64" i="2"/>
  <c r="B63" i="2"/>
  <c r="B58" i="2"/>
  <c r="B53" i="2"/>
  <c r="B48" i="2"/>
  <c r="B43" i="2"/>
  <c r="B42" i="2"/>
  <c r="B33" i="2"/>
  <c r="B32" i="2"/>
  <c r="B27" i="2"/>
  <c r="B28" i="2" s="1"/>
  <c r="E48" i="3"/>
  <c r="B62" i="2" l="1"/>
  <c r="B65" i="2" s="1"/>
  <c r="B10" i="4" s="1"/>
  <c r="B73" i="2"/>
  <c r="B12" i="4" s="1"/>
  <c r="B47" i="2"/>
  <c r="B57" i="2"/>
  <c r="B59" i="2" s="1"/>
  <c r="B9" i="4" s="1"/>
  <c r="B15" i="5" s="1"/>
  <c r="B31" i="2"/>
  <c r="B34" i="2" s="1"/>
  <c r="B4" i="4" s="1"/>
  <c r="B68" i="2"/>
  <c r="B70" i="2" s="1"/>
  <c r="B11" i="4" s="1"/>
  <c r="B82" i="2"/>
  <c r="B83" i="2" s="1"/>
  <c r="B14" i="4" s="1"/>
  <c r="B41" i="2"/>
  <c r="B44" i="2" s="1"/>
  <c r="B6" i="4" s="1"/>
  <c r="B52" i="2"/>
  <c r="B78" i="2"/>
  <c r="B79" i="2" s="1"/>
  <c r="B13" i="4" s="1"/>
  <c r="B37" i="2"/>
  <c r="B38" i="2" s="1"/>
  <c r="B5" i="4" s="1"/>
  <c r="B26" i="2"/>
  <c r="B12" i="2"/>
  <c r="B24" i="2"/>
  <c r="B23" i="2"/>
  <c r="B21" i="2"/>
  <c r="B20" i="2"/>
  <c r="B18" i="2"/>
  <c r="B17" i="2"/>
  <c r="B16" i="2"/>
  <c r="B15" i="2"/>
  <c r="B10" i="2"/>
  <c r="B8" i="2"/>
  <c r="B7" i="2"/>
  <c r="B6" i="2"/>
  <c r="B5" i="5" l="1"/>
  <c r="B49" i="2"/>
  <c r="B7" i="4" s="1"/>
  <c r="B4" i="5" s="1"/>
  <c r="B6" i="5" s="1"/>
  <c r="B10" i="5"/>
  <c r="B54" i="2"/>
  <c r="B8" i="4" s="1"/>
  <c r="B9" i="5" s="1"/>
  <c r="B11" i="5" s="1"/>
  <c r="B16" i="5" l="1"/>
  <c r="B17" i="5" s="1"/>
</calcChain>
</file>

<file path=xl/sharedStrings.xml><?xml version="1.0" encoding="utf-8"?>
<sst xmlns="http://schemas.openxmlformats.org/spreadsheetml/2006/main" count="235" uniqueCount="120">
  <si>
    <t>WAT</t>
  </si>
  <si>
    <t>KOSTEN</t>
  </si>
  <si>
    <t>WIE BETAALD</t>
  </si>
  <si>
    <t>CHINEES</t>
  </si>
  <si>
    <t>DRANK</t>
  </si>
  <si>
    <t>Wim</t>
  </si>
  <si>
    <t>Biscuit</t>
  </si>
  <si>
    <t>Cava 4 flessen</t>
  </si>
  <si>
    <t>Lief VO</t>
  </si>
  <si>
    <t>chips</t>
  </si>
  <si>
    <t>olijven+tomaat</t>
  </si>
  <si>
    <t>houtmijt</t>
  </si>
  <si>
    <t>Lucy</t>
  </si>
  <si>
    <t>houtmijt + tafelpapier</t>
  </si>
  <si>
    <t>Lief M</t>
  </si>
  <si>
    <t>zaal</t>
  </si>
  <si>
    <t>Kosten</t>
  </si>
  <si>
    <t>5 flessen fris</t>
  </si>
  <si>
    <t>drank</t>
  </si>
  <si>
    <t>Rekeningen</t>
  </si>
  <si>
    <t>Wie heeft wat mee</t>
  </si>
  <si>
    <t>Noella</t>
  </si>
  <si>
    <t>Leeggoed</t>
  </si>
  <si>
    <t>6fl fanta</t>
  </si>
  <si>
    <t>6fl Cola + 6fl Light</t>
  </si>
  <si>
    <t>Bier</t>
  </si>
  <si>
    <t>Smurfen Bubbels</t>
  </si>
  <si>
    <t>totaal</t>
  </si>
  <si>
    <t>Totaal</t>
  </si>
  <si>
    <t>Maria</t>
  </si>
  <si>
    <t>Paula</t>
  </si>
  <si>
    <t>NAAM</t>
  </si>
  <si>
    <t>KOMT/KOMT NIET</t>
  </si>
  <si>
    <t>VOLW/KIND</t>
  </si>
  <si>
    <t>OPMERKING</t>
  </si>
  <si>
    <t>WIM</t>
  </si>
  <si>
    <t>OK</t>
  </si>
  <si>
    <t>VOLW</t>
  </si>
  <si>
    <t>SENDY</t>
  </si>
  <si>
    <t>ARNE</t>
  </si>
  <si>
    <t>KIND</t>
  </si>
  <si>
    <t>TIBO EN ARNE SAMEN 1 VOLW</t>
  </si>
  <si>
    <t>TIBO</t>
  </si>
  <si>
    <t>LOTTe</t>
  </si>
  <si>
    <t>TANTE RINA</t>
  </si>
  <si>
    <t>NONKEL LOUIS</t>
  </si>
  <si>
    <t>LIEF</t>
  </si>
  <si>
    <t>KOMT NA PETER PAN</t>
  </si>
  <si>
    <t>HERMAN</t>
  </si>
  <si>
    <t>JORIEN</t>
  </si>
  <si>
    <t>LIEN</t>
  </si>
  <si>
    <t>LAURENS</t>
  </si>
  <si>
    <t>TOON</t>
  </si>
  <si>
    <t>TONNY</t>
  </si>
  <si>
    <t>KOMT NA HET WERK, 17.00</t>
  </si>
  <si>
    <t>COR</t>
  </si>
  <si>
    <t>NOELLA</t>
  </si>
  <si>
    <t>GEERT</t>
  </si>
  <si>
    <t>GIEL</t>
  </si>
  <si>
    <t>MICHELLE</t>
  </si>
  <si>
    <t>BRENT</t>
  </si>
  <si>
    <t>OMA</t>
  </si>
  <si>
    <t>LUCY</t>
  </si>
  <si>
    <t>BOB</t>
  </si>
  <si>
    <t>VALERIE</t>
  </si>
  <si>
    <t>BENNY</t>
  </si>
  <si>
    <t>SUZANNE</t>
  </si>
  <si>
    <t>ANDRES</t>
  </si>
  <si>
    <t>NONKEL LUCIEN</t>
  </si>
  <si>
    <t>TANTE PAULA</t>
  </si>
  <si>
    <t>WENDY</t>
  </si>
  <si>
    <t>KOEN</t>
  </si>
  <si>
    <t>ALIX</t>
  </si>
  <si>
    <t>ANAÏS</t>
  </si>
  <si>
    <t>TANTE MIRIAM</t>
  </si>
  <si>
    <t>28 VOLW</t>
  </si>
  <si>
    <t>5 KIND</t>
  </si>
  <si>
    <t>Aantal personen</t>
  </si>
  <si>
    <t>Aantal Personen</t>
  </si>
  <si>
    <t>Kosten per persoon</t>
  </si>
  <si>
    <t>3,5 personen</t>
  </si>
  <si>
    <t>Rekening Drank</t>
  </si>
  <si>
    <t>Drank mee</t>
  </si>
  <si>
    <t>totaal Wim</t>
  </si>
  <si>
    <t>2 personen</t>
  </si>
  <si>
    <t>RINA</t>
  </si>
  <si>
    <t>totaal Rina</t>
  </si>
  <si>
    <t>LIEF M</t>
  </si>
  <si>
    <t>5,5 personen</t>
  </si>
  <si>
    <t>totaal Lieve M</t>
  </si>
  <si>
    <t>LIEF VO</t>
  </si>
  <si>
    <t>2,5 personen</t>
  </si>
  <si>
    <t>totaal Lief VO</t>
  </si>
  <si>
    <t>5 personen</t>
  </si>
  <si>
    <t>totaal Noella</t>
  </si>
  <si>
    <t>1 Persoon</t>
  </si>
  <si>
    <t>Rekening Chinees</t>
  </si>
  <si>
    <t>MARIA</t>
  </si>
  <si>
    <t>totaal Maria</t>
  </si>
  <si>
    <t>3 personen</t>
  </si>
  <si>
    <t>Rekening houtmijt</t>
  </si>
  <si>
    <t>totaal Lucy</t>
  </si>
  <si>
    <t>Benny</t>
  </si>
  <si>
    <t>Rekening Biscuit</t>
  </si>
  <si>
    <t>totaal Benny</t>
  </si>
  <si>
    <t>PAULA</t>
  </si>
  <si>
    <t>totaal Paula</t>
  </si>
  <si>
    <t>totaal Wendy</t>
  </si>
  <si>
    <t>MIRIAM</t>
  </si>
  <si>
    <t>1 persoon</t>
  </si>
  <si>
    <t>totaal Miriam</t>
  </si>
  <si>
    <t>OVERZICHT</t>
  </si>
  <si>
    <t>Rina</t>
  </si>
  <si>
    <t>Wendy</t>
  </si>
  <si>
    <t>Miriam</t>
  </si>
  <si>
    <t>(positief=te betalen, negatief=te ontvangen)</t>
  </si>
  <si>
    <t>betalen/ontvangen</t>
  </si>
  <si>
    <t>betalen ontvangen</t>
  </si>
  <si>
    <t>7,5 personen</t>
  </si>
  <si>
    <t>drank 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</si>
</sst>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3" borderId="1" applyNumberFormat="0" applyAlignment="0" applyProtection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2" fillId="3" borderId="1" xfId="1"/>
    <xf numFmtId="0" fontId="1" fillId="0" borderId="0" xfId="0" applyFont="1" applyFill="1"/>
    <xf numFmtId="0" fontId="0" fillId="0" borderId="0" xfId="0" applyFill="1"/>
    <xf numFmtId="0" fontId="0" fillId="4" borderId="0" xfId="0" applyFill="1"/>
    <xf numFmtId="0" fontId="3" fillId="2" borderId="0" xfId="0" applyFont="1" applyFill="1"/>
    <xf numFmtId="2" fontId="3" fillId="0" borderId="0" xfId="0" applyNumberFormat="1" applyFont="1"/>
    <xf numFmtId="2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2" fillId="3" borderId="1" xfId="1" applyNumberFormat="1"/>
    <xf numFmtId="0" fontId="0" fillId="5" borderId="0" xfId="0" applyFill="1"/>
    <xf numFmtId="2" fontId="0" fillId="2" borderId="0" xfId="0" applyNumberFormat="1" applyFill="1"/>
    <xf numFmtId="0" fontId="2" fillId="2" borderId="1" xfId="1" applyFill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tabSelected="1" zoomScale="85" zoomScaleNormal="85" workbookViewId="0">
      <selection activeCell="B11" sqref="B11"/>
    </sheetView>
  </sheetViews>
  <sheetFormatPr defaultRowHeight="15" x14ac:dyDescent="0.25"/>
  <cols>
    <col min="1" max="1" width="20.7109375" bestFit="1" customWidth="1"/>
    <col min="2" max="2" width="14.28515625" customWidth="1"/>
    <col min="3" max="3" width="15.42578125" customWidth="1"/>
  </cols>
  <sheetData>
    <row r="1" spans="1:3" s="3" customFormat="1" x14ac:dyDescent="0.25">
      <c r="A1" s="3" t="s">
        <v>19</v>
      </c>
    </row>
    <row r="2" spans="1:3" s="3" customFormat="1" x14ac:dyDescent="0.25">
      <c r="A2" s="1" t="s">
        <v>0</v>
      </c>
      <c r="B2" s="1" t="s">
        <v>1</v>
      </c>
      <c r="C2" s="1" t="s">
        <v>2</v>
      </c>
    </row>
    <row r="3" spans="1:3" s="7" customFormat="1" x14ac:dyDescent="0.25">
      <c r="A3" s="7" t="s">
        <v>3</v>
      </c>
      <c r="B3" s="7">
        <v>350</v>
      </c>
      <c r="C3" s="7" t="s">
        <v>29</v>
      </c>
    </row>
    <row r="4" spans="1:3" s="7" customFormat="1" x14ac:dyDescent="0.25">
      <c r="A4" s="7" t="s">
        <v>4</v>
      </c>
      <c r="B4" s="7">
        <v>180.5</v>
      </c>
      <c r="C4" s="7" t="s">
        <v>5</v>
      </c>
    </row>
    <row r="5" spans="1:3" s="7" customFormat="1" x14ac:dyDescent="0.25">
      <c r="A5" s="7" t="s">
        <v>6</v>
      </c>
      <c r="B5" s="7">
        <v>16.78</v>
      </c>
      <c r="C5" s="7" t="s">
        <v>102</v>
      </c>
    </row>
    <row r="6" spans="1:3" s="7" customFormat="1" x14ac:dyDescent="0.25">
      <c r="A6" s="7" t="s">
        <v>7</v>
      </c>
      <c r="B6" s="7">
        <f>7.99*4</f>
        <v>31.96</v>
      </c>
      <c r="C6" s="7" t="s">
        <v>8</v>
      </c>
    </row>
    <row r="7" spans="1:3" s="7" customFormat="1" x14ac:dyDescent="0.25">
      <c r="A7" s="7" t="s">
        <v>9</v>
      </c>
      <c r="B7" s="7">
        <f>1.65+1.98+1.9</f>
        <v>5.5299999999999994</v>
      </c>
      <c r="C7" s="7" t="s">
        <v>8</v>
      </c>
    </row>
    <row r="8" spans="1:3" s="7" customFormat="1" x14ac:dyDescent="0.25">
      <c r="A8" s="7" t="s">
        <v>10</v>
      </c>
      <c r="B8" s="7">
        <f>2.59+2.59+2.59+2.99</f>
        <v>10.76</v>
      </c>
      <c r="C8" s="7" t="s">
        <v>8</v>
      </c>
    </row>
    <row r="9" spans="1:3" s="7" customFormat="1" x14ac:dyDescent="0.25">
      <c r="A9" s="7" t="s">
        <v>11</v>
      </c>
      <c r="B9" s="7">
        <v>15</v>
      </c>
      <c r="C9" s="7" t="s">
        <v>12</v>
      </c>
    </row>
    <row r="10" spans="1:3" s="7" customFormat="1" x14ac:dyDescent="0.25">
      <c r="A10" s="7" t="s">
        <v>13</v>
      </c>
      <c r="B10" s="7">
        <f>10+6</f>
        <v>16</v>
      </c>
      <c r="C10" s="7" t="s">
        <v>14</v>
      </c>
    </row>
    <row r="11" spans="1:3" s="7" customFormat="1" x14ac:dyDescent="0.25">
      <c r="A11" s="7" t="s">
        <v>15</v>
      </c>
      <c r="B11" s="7">
        <v>50</v>
      </c>
      <c r="C11" s="7" t="s">
        <v>14</v>
      </c>
    </row>
    <row r="12" spans="1:3" s="4" customFormat="1" x14ac:dyDescent="0.25">
      <c r="A12" s="4" t="s">
        <v>28</v>
      </c>
      <c r="B12" s="4">
        <f>SUM(B3:B11)</f>
        <v>676.53</v>
      </c>
    </row>
    <row r="14" spans="1:3" s="2" customFormat="1" x14ac:dyDescent="0.25">
      <c r="A14" s="8" t="s">
        <v>20</v>
      </c>
    </row>
    <row r="15" spans="1:3" s="2" customFormat="1" x14ac:dyDescent="0.25">
      <c r="A15" s="2" t="s">
        <v>17</v>
      </c>
      <c r="B15" s="2">
        <f>1.52*5</f>
        <v>7.6</v>
      </c>
      <c r="C15" s="2" t="s">
        <v>21</v>
      </c>
    </row>
    <row r="16" spans="1:3" s="2" customFormat="1" x14ac:dyDescent="0.25">
      <c r="A16" s="2" t="s">
        <v>18</v>
      </c>
      <c r="B16" s="2">
        <f>3.67*2+3.95+1.64</f>
        <v>12.93</v>
      </c>
      <c r="C16" s="2" t="s">
        <v>12</v>
      </c>
    </row>
    <row r="17" spans="1:3" s="2" customFormat="1" x14ac:dyDescent="0.25">
      <c r="A17" s="2" t="s">
        <v>18</v>
      </c>
      <c r="B17" s="2">
        <f>3.67*2</f>
        <v>7.34</v>
      </c>
      <c r="C17" s="2" t="s">
        <v>30</v>
      </c>
    </row>
    <row r="18" spans="1:3" s="2" customFormat="1" x14ac:dyDescent="0.25">
      <c r="A18" s="2" t="s">
        <v>18</v>
      </c>
      <c r="B18" s="2">
        <f>3.95*4+1.28*3+0.57+1.64+1.57</f>
        <v>23.42</v>
      </c>
      <c r="C18" s="2" t="s">
        <v>14</v>
      </c>
    </row>
    <row r="19" spans="1:3" s="2" customFormat="1" x14ac:dyDescent="0.25">
      <c r="A19" s="2" t="s">
        <v>22</v>
      </c>
      <c r="B19" s="2">
        <v>13.5</v>
      </c>
      <c r="C19" s="2" t="s">
        <v>5</v>
      </c>
    </row>
    <row r="20" spans="1:3" s="2" customFormat="1" x14ac:dyDescent="0.25">
      <c r="A20" s="2" t="s">
        <v>23</v>
      </c>
      <c r="B20" s="2">
        <f>6*1.64</f>
        <v>9.84</v>
      </c>
      <c r="C20" s="2" t="s">
        <v>5</v>
      </c>
    </row>
    <row r="21" spans="1:3" s="2" customFormat="1" x14ac:dyDescent="0.25">
      <c r="A21" s="2" t="s">
        <v>24</v>
      </c>
      <c r="B21" s="2">
        <f>12*1.52</f>
        <v>18.240000000000002</v>
      </c>
      <c r="C21" s="2" t="s">
        <v>5</v>
      </c>
    </row>
    <row r="22" spans="1:3" s="2" customFormat="1" x14ac:dyDescent="0.25">
      <c r="A22" s="2" t="s">
        <v>25</v>
      </c>
      <c r="B22" s="2">
        <v>9.5399999999999991</v>
      </c>
      <c r="C22" s="2" t="s">
        <v>5</v>
      </c>
    </row>
    <row r="23" spans="1:3" s="2" customFormat="1" x14ac:dyDescent="0.25">
      <c r="A23" s="2" t="s">
        <v>26</v>
      </c>
      <c r="B23" s="2">
        <f>2*1.85</f>
        <v>3.7</v>
      </c>
      <c r="C23" s="2" t="s">
        <v>5</v>
      </c>
    </row>
    <row r="24" spans="1:3" s="4" customFormat="1" x14ac:dyDescent="0.25">
      <c r="A24" s="4" t="s">
        <v>27</v>
      </c>
      <c r="B24" s="4">
        <f>SUM(B15:B23)</f>
        <v>106.11</v>
      </c>
    </row>
    <row r="26" spans="1:3" s="14" customFormat="1" x14ac:dyDescent="0.25">
      <c r="A26" s="14" t="s">
        <v>16</v>
      </c>
      <c r="B26" s="14">
        <f>B12-B24</f>
        <v>570.41999999999996</v>
      </c>
    </row>
    <row r="27" spans="1:3" x14ac:dyDescent="0.25">
      <c r="A27" t="s">
        <v>78</v>
      </c>
      <c r="B27">
        <f>Personen!E48</f>
        <v>31</v>
      </c>
    </row>
    <row r="28" spans="1:3" s="4" customFormat="1" x14ac:dyDescent="0.25">
      <c r="A28" s="4" t="s">
        <v>79</v>
      </c>
      <c r="B28" s="4">
        <f>B26/B27</f>
        <v>18.400645161290321</v>
      </c>
    </row>
    <row r="30" spans="1:3" s="3" customFormat="1" x14ac:dyDescent="0.25">
      <c r="A30" s="3" t="s">
        <v>35</v>
      </c>
    </row>
    <row r="31" spans="1:3" x14ac:dyDescent="0.25">
      <c r="A31" t="s">
        <v>80</v>
      </c>
      <c r="B31">
        <f>3.5*B28</f>
        <v>64.402258064516118</v>
      </c>
    </row>
    <row r="32" spans="1:3" x14ac:dyDescent="0.25">
      <c r="A32" t="s">
        <v>81</v>
      </c>
      <c r="B32">
        <f>B4</f>
        <v>180.5</v>
      </c>
    </row>
    <row r="33" spans="1:2" x14ac:dyDescent="0.25">
      <c r="A33" t="s">
        <v>82</v>
      </c>
      <c r="B33">
        <f>SUM(B19:B23)</f>
        <v>54.82</v>
      </c>
    </row>
    <row r="34" spans="1:2" s="4" customFormat="1" x14ac:dyDescent="0.25">
      <c r="A34" s="4" t="s">
        <v>83</v>
      </c>
      <c r="B34" s="4">
        <f>B31-B32+B33</f>
        <v>-61.277741935483881</v>
      </c>
    </row>
    <row r="36" spans="1:2" s="3" customFormat="1" x14ac:dyDescent="0.25">
      <c r="A36" s="3" t="s">
        <v>85</v>
      </c>
    </row>
    <row r="37" spans="1:2" x14ac:dyDescent="0.25">
      <c r="A37" t="s">
        <v>84</v>
      </c>
      <c r="B37">
        <f>2*B28</f>
        <v>36.801290322580641</v>
      </c>
    </row>
    <row r="38" spans="1:2" s="4" customFormat="1" x14ac:dyDescent="0.25">
      <c r="A38" s="4" t="s">
        <v>86</v>
      </c>
      <c r="B38" s="4">
        <f>B37</f>
        <v>36.801290322580641</v>
      </c>
    </row>
    <row r="40" spans="1:2" s="3" customFormat="1" x14ac:dyDescent="0.25">
      <c r="A40" s="3" t="s">
        <v>87</v>
      </c>
    </row>
    <row r="41" spans="1:2" x14ac:dyDescent="0.25">
      <c r="A41" t="s">
        <v>88</v>
      </c>
      <c r="B41">
        <f>5.5*B28</f>
        <v>101.20354838709676</v>
      </c>
    </row>
    <row r="42" spans="1:2" x14ac:dyDescent="0.25">
      <c r="A42" t="s">
        <v>19</v>
      </c>
      <c r="B42">
        <f>SUM(B10:B11)</f>
        <v>66</v>
      </c>
    </row>
    <row r="43" spans="1:2" x14ac:dyDescent="0.25">
      <c r="A43" t="s">
        <v>82</v>
      </c>
      <c r="B43">
        <f>B18</f>
        <v>23.42</v>
      </c>
    </row>
    <row r="44" spans="1:2" s="4" customFormat="1" x14ac:dyDescent="0.25">
      <c r="A44" s="4" t="s">
        <v>89</v>
      </c>
      <c r="B44" s="4">
        <f>B41-B42+B43</f>
        <v>58.623548387096761</v>
      </c>
    </row>
    <row r="46" spans="1:2" s="3" customFormat="1" x14ac:dyDescent="0.25">
      <c r="A46" s="3" t="s">
        <v>90</v>
      </c>
    </row>
    <row r="47" spans="1:2" x14ac:dyDescent="0.25">
      <c r="A47" t="s">
        <v>91</v>
      </c>
      <c r="B47">
        <f>2.5 *B28</f>
        <v>46.001612903225805</v>
      </c>
    </row>
    <row r="48" spans="1:2" x14ac:dyDescent="0.25">
      <c r="A48" t="s">
        <v>19</v>
      </c>
      <c r="B48">
        <f>SUM(B6:B8)</f>
        <v>48.25</v>
      </c>
    </row>
    <row r="49" spans="1:2" s="4" customFormat="1" x14ac:dyDescent="0.25">
      <c r="A49" s="4" t="s">
        <v>92</v>
      </c>
      <c r="B49" s="4">
        <f>B47-B48</f>
        <v>-2.248387096774195</v>
      </c>
    </row>
    <row r="51" spans="1:2" s="3" customFormat="1" x14ac:dyDescent="0.25">
      <c r="A51" s="3" t="s">
        <v>56</v>
      </c>
    </row>
    <row r="52" spans="1:2" x14ac:dyDescent="0.25">
      <c r="A52" t="s">
        <v>93</v>
      </c>
      <c r="B52">
        <f>5*B28</f>
        <v>92.00322580645161</v>
      </c>
    </row>
    <row r="53" spans="1:2" x14ac:dyDescent="0.25">
      <c r="A53" t="s">
        <v>82</v>
      </c>
      <c r="B53">
        <f>B15</f>
        <v>7.6</v>
      </c>
    </row>
    <row r="54" spans="1:2" s="4" customFormat="1" x14ac:dyDescent="0.25">
      <c r="A54" s="4" t="s">
        <v>94</v>
      </c>
      <c r="B54" s="4">
        <f>B52+B53</f>
        <v>99.603225806451604</v>
      </c>
    </row>
    <row r="56" spans="1:2" s="3" customFormat="1" x14ac:dyDescent="0.25">
      <c r="A56" s="3" t="s">
        <v>97</v>
      </c>
    </row>
    <row r="57" spans="1:2" x14ac:dyDescent="0.25">
      <c r="A57" t="s">
        <v>95</v>
      </c>
      <c r="B57">
        <f>B28</f>
        <v>18.400645161290321</v>
      </c>
    </row>
    <row r="58" spans="1:2" x14ac:dyDescent="0.25">
      <c r="A58" t="s">
        <v>96</v>
      </c>
      <c r="B58">
        <f>B3</f>
        <v>350</v>
      </c>
    </row>
    <row r="59" spans="1:2" s="4" customFormat="1" x14ac:dyDescent="0.25">
      <c r="A59" s="4" t="s">
        <v>98</v>
      </c>
      <c r="B59" s="4">
        <f>B57-B58</f>
        <v>-331.5993548387097</v>
      </c>
    </row>
    <row r="61" spans="1:2" s="3" customFormat="1" x14ac:dyDescent="0.25">
      <c r="A61" s="3" t="s">
        <v>62</v>
      </c>
    </row>
    <row r="62" spans="1:2" x14ac:dyDescent="0.25">
      <c r="A62" t="s">
        <v>99</v>
      </c>
      <c r="B62">
        <f>3*B28</f>
        <v>55.201935483870962</v>
      </c>
    </row>
    <row r="63" spans="1:2" x14ac:dyDescent="0.25">
      <c r="A63" t="s">
        <v>100</v>
      </c>
      <c r="B63">
        <f>B9</f>
        <v>15</v>
      </c>
    </row>
    <row r="64" spans="1:2" x14ac:dyDescent="0.25">
      <c r="A64" t="s">
        <v>82</v>
      </c>
      <c r="B64">
        <f>B16</f>
        <v>12.93</v>
      </c>
    </row>
    <row r="65" spans="1:2" s="4" customFormat="1" x14ac:dyDescent="0.25">
      <c r="A65" s="4" t="s">
        <v>101</v>
      </c>
      <c r="B65" s="4">
        <f>B62-B63+B64</f>
        <v>53.131935483870961</v>
      </c>
    </row>
    <row r="67" spans="1:2" s="3" customFormat="1" x14ac:dyDescent="0.25">
      <c r="A67" s="3" t="s">
        <v>65</v>
      </c>
    </row>
    <row r="68" spans="1:2" x14ac:dyDescent="0.25">
      <c r="A68" t="s">
        <v>91</v>
      </c>
      <c r="B68">
        <f>2.5*B28</f>
        <v>46.001612903225805</v>
      </c>
    </row>
    <row r="69" spans="1:2" x14ac:dyDescent="0.25">
      <c r="A69" t="s">
        <v>103</v>
      </c>
      <c r="B69">
        <f>B5</f>
        <v>16.78</v>
      </c>
    </row>
    <row r="70" spans="1:2" s="4" customFormat="1" x14ac:dyDescent="0.25">
      <c r="A70" s="4" t="s">
        <v>104</v>
      </c>
      <c r="B70" s="4">
        <f>B68-B69</f>
        <v>29.221612903225804</v>
      </c>
    </row>
    <row r="72" spans="1:2" s="3" customFormat="1" x14ac:dyDescent="0.25">
      <c r="A72" s="3" t="s">
        <v>105</v>
      </c>
    </row>
    <row r="73" spans="1:2" x14ac:dyDescent="0.25">
      <c r="A73" t="s">
        <v>84</v>
      </c>
      <c r="B73">
        <f>2*B28</f>
        <v>36.801290322580641</v>
      </c>
    </row>
    <row r="74" spans="1:2" x14ac:dyDescent="0.25">
      <c r="A74" t="s">
        <v>119</v>
      </c>
      <c r="B74" s="2">
        <f>3.67*2</f>
        <v>7.34</v>
      </c>
    </row>
    <row r="75" spans="1:2" s="4" customFormat="1" x14ac:dyDescent="0.25">
      <c r="A75" s="4" t="s">
        <v>106</v>
      </c>
      <c r="B75" s="4">
        <f>B73+B74</f>
        <v>44.141290322580645</v>
      </c>
    </row>
    <row r="77" spans="1:2" s="3" customFormat="1" x14ac:dyDescent="0.25">
      <c r="A77" s="3" t="s">
        <v>70</v>
      </c>
    </row>
    <row r="78" spans="1:2" x14ac:dyDescent="0.25">
      <c r="A78" t="s">
        <v>99</v>
      </c>
      <c r="B78">
        <f>3*B28</f>
        <v>55.201935483870962</v>
      </c>
    </row>
    <row r="79" spans="1:2" s="4" customFormat="1" x14ac:dyDescent="0.25">
      <c r="A79" s="4" t="s">
        <v>107</v>
      </c>
      <c r="B79" s="4">
        <f>B78</f>
        <v>55.201935483870962</v>
      </c>
    </row>
    <row r="81" spans="1:2" s="3" customFormat="1" x14ac:dyDescent="0.25">
      <c r="A81" s="3" t="s">
        <v>108</v>
      </c>
    </row>
    <row r="82" spans="1:2" x14ac:dyDescent="0.25">
      <c r="A82" t="s">
        <v>109</v>
      </c>
      <c r="B82">
        <f>B28</f>
        <v>18.400645161290321</v>
      </c>
    </row>
    <row r="83" spans="1:2" s="4" customFormat="1" x14ac:dyDescent="0.25">
      <c r="A83" s="4" t="s">
        <v>110</v>
      </c>
      <c r="B83" s="4">
        <f>B82</f>
        <v>18.400645161290321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opLeftCell="A4" workbookViewId="0">
      <selection activeCell="B49" sqref="B49"/>
    </sheetView>
  </sheetViews>
  <sheetFormatPr defaultRowHeight="15" x14ac:dyDescent="0.25"/>
  <cols>
    <col min="1" max="1" width="15.140625" bestFit="1" customWidth="1"/>
    <col min="2" max="2" width="17.42578125" bestFit="1" customWidth="1"/>
    <col min="3" max="3" width="11.85546875" bestFit="1" customWidth="1"/>
    <col min="4" max="4" width="28" bestFit="1" customWidth="1"/>
    <col min="5" max="5" width="7.42578125" customWidth="1"/>
  </cols>
  <sheetData>
    <row r="1" spans="1:5" x14ac:dyDescent="0.25">
      <c r="A1" s="5" t="s">
        <v>31</v>
      </c>
      <c r="B1" s="5" t="s">
        <v>32</v>
      </c>
      <c r="C1" s="5" t="s">
        <v>33</v>
      </c>
      <c r="D1" s="5" t="s">
        <v>34</v>
      </c>
      <c r="E1" s="6"/>
    </row>
    <row r="2" spans="1:5" x14ac:dyDescent="0.25">
      <c r="A2" s="2" t="s">
        <v>35</v>
      </c>
      <c r="B2" s="2" t="s">
        <v>36</v>
      </c>
      <c r="C2" s="2" t="s">
        <v>37</v>
      </c>
      <c r="D2" s="2"/>
      <c r="E2" s="2">
        <v>1</v>
      </c>
    </row>
    <row r="3" spans="1:5" x14ac:dyDescent="0.25">
      <c r="A3" s="2" t="s">
        <v>38</v>
      </c>
      <c r="B3" s="2" t="s">
        <v>36</v>
      </c>
      <c r="C3" s="2" t="s">
        <v>37</v>
      </c>
      <c r="D3" s="2"/>
      <c r="E3" s="2">
        <v>1</v>
      </c>
    </row>
    <row r="4" spans="1:5" x14ac:dyDescent="0.25">
      <c r="A4" s="2" t="s">
        <v>39</v>
      </c>
      <c r="B4" s="2" t="s">
        <v>36</v>
      </c>
      <c r="C4" s="2" t="s">
        <v>40</v>
      </c>
      <c r="D4" s="2" t="s">
        <v>41</v>
      </c>
      <c r="E4" s="2">
        <v>0.5</v>
      </c>
    </row>
    <row r="5" spans="1:5" x14ac:dyDescent="0.25">
      <c r="A5" s="2" t="s">
        <v>42</v>
      </c>
      <c r="B5" s="2" t="s">
        <v>36</v>
      </c>
      <c r="C5" s="2" t="s">
        <v>40</v>
      </c>
      <c r="D5" s="2"/>
      <c r="E5" s="2">
        <v>0.5</v>
      </c>
    </row>
    <row r="6" spans="1:5" x14ac:dyDescent="0.25">
      <c r="A6" s="2" t="s">
        <v>43</v>
      </c>
      <c r="B6" s="2" t="s">
        <v>36</v>
      </c>
      <c r="C6" s="2" t="s">
        <v>40</v>
      </c>
      <c r="D6" s="2"/>
      <c r="E6" s="2">
        <v>0.5</v>
      </c>
    </row>
    <row r="7" spans="1:5" x14ac:dyDescent="0.25">
      <c r="A7" s="2"/>
      <c r="B7" s="2"/>
      <c r="C7" s="2"/>
      <c r="D7" s="2"/>
      <c r="E7" s="2"/>
    </row>
    <row r="8" spans="1:5" x14ac:dyDescent="0.25">
      <c r="A8" s="7" t="s">
        <v>44</v>
      </c>
      <c r="B8" s="7" t="s">
        <v>36</v>
      </c>
      <c r="C8" s="7" t="s">
        <v>37</v>
      </c>
      <c r="D8" s="7"/>
      <c r="E8" s="7">
        <v>1</v>
      </c>
    </row>
    <row r="9" spans="1:5" x14ac:dyDescent="0.25">
      <c r="A9" s="7" t="s">
        <v>45</v>
      </c>
      <c r="B9" s="7" t="s">
        <v>36</v>
      </c>
      <c r="C9" s="7" t="s">
        <v>37</v>
      </c>
      <c r="D9" s="7"/>
      <c r="E9" s="7">
        <v>1</v>
      </c>
    </row>
    <row r="10" spans="1:5" x14ac:dyDescent="0.25">
      <c r="A10" s="7"/>
      <c r="B10" s="7"/>
      <c r="C10" s="7"/>
      <c r="D10" s="7"/>
      <c r="E10" s="7"/>
    </row>
    <row r="11" spans="1:5" x14ac:dyDescent="0.25">
      <c r="A11" s="2" t="s">
        <v>46</v>
      </c>
      <c r="B11" s="2" t="s">
        <v>36</v>
      </c>
      <c r="C11" s="2" t="s">
        <v>37</v>
      </c>
      <c r="D11" s="2" t="s">
        <v>47</v>
      </c>
      <c r="E11" s="2">
        <v>1</v>
      </c>
    </row>
    <row r="12" spans="1:5" x14ac:dyDescent="0.25">
      <c r="A12" s="2" t="s">
        <v>48</v>
      </c>
      <c r="B12" s="2" t="s">
        <v>36</v>
      </c>
      <c r="C12" s="2" t="s">
        <v>37</v>
      </c>
      <c r="D12" s="2"/>
      <c r="E12" s="2">
        <v>1</v>
      </c>
    </row>
    <row r="13" spans="1:5" x14ac:dyDescent="0.25">
      <c r="A13" s="2" t="s">
        <v>49</v>
      </c>
      <c r="B13" s="2" t="s">
        <v>36</v>
      </c>
      <c r="C13" s="2" t="s">
        <v>40</v>
      </c>
      <c r="D13" s="2" t="s">
        <v>47</v>
      </c>
      <c r="E13" s="2">
        <v>0.5</v>
      </c>
    </row>
    <row r="14" spans="1:5" x14ac:dyDescent="0.25">
      <c r="A14" s="2" t="s">
        <v>50</v>
      </c>
      <c r="B14" s="2" t="s">
        <v>36</v>
      </c>
      <c r="C14" s="2" t="s">
        <v>37</v>
      </c>
      <c r="D14" s="2" t="s">
        <v>47</v>
      </c>
      <c r="E14" s="2">
        <v>1</v>
      </c>
    </row>
    <row r="15" spans="1:5" x14ac:dyDescent="0.25">
      <c r="A15" s="2" t="s">
        <v>51</v>
      </c>
      <c r="B15" s="2" t="s">
        <v>36</v>
      </c>
      <c r="C15" s="2" t="s">
        <v>37</v>
      </c>
      <c r="D15" s="2" t="s">
        <v>47</v>
      </c>
      <c r="E15" s="2">
        <v>1</v>
      </c>
    </row>
    <row r="16" spans="1:5" x14ac:dyDescent="0.25">
      <c r="A16" s="2" t="s">
        <v>52</v>
      </c>
      <c r="B16" s="2" t="s">
        <v>36</v>
      </c>
      <c r="C16" s="2" t="s">
        <v>37</v>
      </c>
      <c r="D16" s="2"/>
      <c r="E16" s="2">
        <v>1</v>
      </c>
    </row>
    <row r="17" spans="1:5" x14ac:dyDescent="0.25">
      <c r="A17" s="2"/>
      <c r="B17" s="2"/>
      <c r="C17" s="2"/>
      <c r="D17" s="2"/>
      <c r="E17" s="2"/>
    </row>
    <row r="18" spans="1:5" x14ac:dyDescent="0.25">
      <c r="A18" s="7" t="s">
        <v>53</v>
      </c>
      <c r="B18" s="7" t="s">
        <v>36</v>
      </c>
      <c r="C18" s="7" t="s">
        <v>37</v>
      </c>
      <c r="D18" s="7" t="s">
        <v>54</v>
      </c>
      <c r="E18" s="7">
        <v>1</v>
      </c>
    </row>
    <row r="19" spans="1:5" x14ac:dyDescent="0.25">
      <c r="A19" s="7" t="s">
        <v>46</v>
      </c>
      <c r="B19" s="7" t="s">
        <v>36</v>
      </c>
      <c r="C19" s="7" t="s">
        <v>37</v>
      </c>
      <c r="D19" s="7"/>
      <c r="E19" s="7">
        <v>1</v>
      </c>
    </row>
    <row r="20" spans="1:5" x14ac:dyDescent="0.25">
      <c r="A20" s="7" t="s">
        <v>55</v>
      </c>
      <c r="B20" s="7" t="s">
        <v>36</v>
      </c>
      <c r="C20" s="7" t="s">
        <v>40</v>
      </c>
      <c r="D20" s="7"/>
      <c r="E20" s="7">
        <v>0.5</v>
      </c>
    </row>
    <row r="21" spans="1:5" x14ac:dyDescent="0.25">
      <c r="A21" s="7"/>
      <c r="B21" s="7"/>
      <c r="C21" s="7"/>
      <c r="D21" s="7"/>
      <c r="E21" s="7"/>
    </row>
    <row r="22" spans="1:5" x14ac:dyDescent="0.25">
      <c r="A22" s="7" t="s">
        <v>56</v>
      </c>
      <c r="B22" s="7" t="s">
        <v>36</v>
      </c>
      <c r="C22" s="7" t="s">
        <v>37</v>
      </c>
      <c r="D22" s="7"/>
      <c r="E22" s="7">
        <v>1</v>
      </c>
    </row>
    <row r="23" spans="1:5" x14ac:dyDescent="0.25">
      <c r="A23" s="7" t="s">
        <v>57</v>
      </c>
      <c r="B23" s="7" t="s">
        <v>36</v>
      </c>
      <c r="C23" s="7" t="s">
        <v>37</v>
      </c>
      <c r="D23" s="7"/>
      <c r="E23" s="7">
        <v>1</v>
      </c>
    </row>
    <row r="24" spans="1:5" x14ac:dyDescent="0.25">
      <c r="A24" s="7" t="s">
        <v>58</v>
      </c>
      <c r="B24" s="7" t="s">
        <v>36</v>
      </c>
      <c r="C24" s="7" t="s">
        <v>37</v>
      </c>
      <c r="D24" s="7"/>
      <c r="E24" s="7">
        <v>1</v>
      </c>
    </row>
    <row r="25" spans="1:5" x14ac:dyDescent="0.25">
      <c r="A25" s="7" t="s">
        <v>59</v>
      </c>
      <c r="B25" s="7" t="s">
        <v>36</v>
      </c>
      <c r="C25" s="7" t="s">
        <v>37</v>
      </c>
      <c r="D25" s="7"/>
      <c r="E25" s="7">
        <v>1</v>
      </c>
    </row>
    <row r="26" spans="1:5" x14ac:dyDescent="0.25">
      <c r="A26" s="7" t="s">
        <v>60</v>
      </c>
      <c r="B26" s="7" t="s">
        <v>36</v>
      </c>
      <c r="C26" s="7" t="s">
        <v>37</v>
      </c>
      <c r="D26" s="7"/>
      <c r="E26" s="7">
        <v>1</v>
      </c>
    </row>
    <row r="27" spans="1:5" x14ac:dyDescent="0.25">
      <c r="A27" s="7"/>
      <c r="B27" s="7"/>
      <c r="C27" s="7"/>
      <c r="D27" s="7"/>
      <c r="E27" s="7"/>
    </row>
    <row r="28" spans="1:5" x14ac:dyDescent="0.25">
      <c r="A28" s="7" t="s">
        <v>61</v>
      </c>
      <c r="B28" s="7" t="s">
        <v>36</v>
      </c>
      <c r="C28" s="7" t="s">
        <v>37</v>
      </c>
      <c r="D28" s="7"/>
      <c r="E28" s="7">
        <v>1</v>
      </c>
    </row>
    <row r="29" spans="1:5" x14ac:dyDescent="0.25">
      <c r="A29" s="7"/>
      <c r="B29" s="7"/>
      <c r="C29" s="7"/>
      <c r="D29" s="7"/>
      <c r="E29" s="7"/>
    </row>
    <row r="30" spans="1:5" x14ac:dyDescent="0.25">
      <c r="A30" s="2" t="s">
        <v>62</v>
      </c>
      <c r="B30" s="2" t="s">
        <v>36</v>
      </c>
      <c r="C30" s="2" t="s">
        <v>37</v>
      </c>
      <c r="D30" s="2" t="s">
        <v>47</v>
      </c>
      <c r="E30" s="2">
        <v>1</v>
      </c>
    </row>
    <row r="31" spans="1:5" x14ac:dyDescent="0.25">
      <c r="A31" s="2" t="s">
        <v>63</v>
      </c>
      <c r="B31" s="2" t="s">
        <v>36</v>
      </c>
      <c r="C31" s="2" t="s">
        <v>37</v>
      </c>
      <c r="D31" s="2"/>
      <c r="E31" s="2">
        <v>1</v>
      </c>
    </row>
    <row r="32" spans="1:5" x14ac:dyDescent="0.25">
      <c r="A32" s="2" t="s">
        <v>64</v>
      </c>
      <c r="B32" s="2" t="s">
        <v>36</v>
      </c>
      <c r="C32" s="2" t="s">
        <v>37</v>
      </c>
      <c r="D32" s="2" t="s">
        <v>47</v>
      </c>
      <c r="E32" s="2">
        <v>1</v>
      </c>
    </row>
    <row r="33" spans="1:5" x14ac:dyDescent="0.25">
      <c r="A33" s="2"/>
      <c r="B33" s="2"/>
      <c r="C33" s="2"/>
      <c r="D33" s="2"/>
      <c r="E33" s="2"/>
    </row>
    <row r="34" spans="1:5" x14ac:dyDescent="0.25">
      <c r="A34" s="7" t="s">
        <v>65</v>
      </c>
      <c r="B34" s="7" t="s">
        <v>36</v>
      </c>
      <c r="C34" s="7" t="s">
        <v>37</v>
      </c>
      <c r="D34" s="7"/>
      <c r="E34" s="7">
        <v>1</v>
      </c>
    </row>
    <row r="35" spans="1:5" x14ac:dyDescent="0.25">
      <c r="A35" s="7" t="s">
        <v>66</v>
      </c>
      <c r="B35" s="7" t="s">
        <v>36</v>
      </c>
      <c r="C35" s="7" t="s">
        <v>37</v>
      </c>
      <c r="D35" s="7"/>
      <c r="E35" s="7">
        <v>1</v>
      </c>
    </row>
    <row r="36" spans="1:5" x14ac:dyDescent="0.25">
      <c r="A36" s="7" t="s">
        <v>67</v>
      </c>
      <c r="B36" s="7" t="s">
        <v>36</v>
      </c>
      <c r="C36" s="7" t="s">
        <v>40</v>
      </c>
      <c r="D36" s="7"/>
      <c r="E36" s="7">
        <v>0.5</v>
      </c>
    </row>
    <row r="37" spans="1:5" x14ac:dyDescent="0.25">
      <c r="A37" s="7"/>
      <c r="B37" s="7"/>
      <c r="C37" s="7"/>
      <c r="D37" s="7"/>
      <c r="E37" s="7"/>
    </row>
    <row r="38" spans="1:5" x14ac:dyDescent="0.25">
      <c r="A38" s="2" t="s">
        <v>68</v>
      </c>
      <c r="B38" s="2" t="s">
        <v>36</v>
      </c>
      <c r="C38" s="2" t="s">
        <v>37</v>
      </c>
      <c r="D38" s="2"/>
      <c r="E38" s="2">
        <v>1</v>
      </c>
    </row>
    <row r="39" spans="1:5" x14ac:dyDescent="0.25">
      <c r="A39" s="2" t="s">
        <v>69</v>
      </c>
      <c r="B39" s="2" t="s">
        <v>36</v>
      </c>
      <c r="C39" s="2" t="s">
        <v>37</v>
      </c>
      <c r="D39" s="2"/>
      <c r="E39" s="2">
        <v>1</v>
      </c>
    </row>
    <row r="40" spans="1:5" x14ac:dyDescent="0.25">
      <c r="A40" s="2"/>
      <c r="B40" s="2"/>
      <c r="C40" s="2"/>
      <c r="D40" s="2"/>
      <c r="E40" s="2"/>
    </row>
    <row r="41" spans="1:5" x14ac:dyDescent="0.25">
      <c r="A41" s="7" t="s">
        <v>70</v>
      </c>
      <c r="B41" s="7" t="s">
        <v>36</v>
      </c>
      <c r="C41" s="7" t="s">
        <v>37</v>
      </c>
      <c r="D41" s="7"/>
      <c r="E41" s="7">
        <v>1</v>
      </c>
    </row>
    <row r="42" spans="1:5" x14ac:dyDescent="0.25">
      <c r="A42" s="7" t="s">
        <v>71</v>
      </c>
      <c r="B42" s="7" t="s">
        <v>36</v>
      </c>
      <c r="C42" s="7" t="s">
        <v>37</v>
      </c>
      <c r="D42" s="7"/>
      <c r="E42" s="7">
        <v>1</v>
      </c>
    </row>
    <row r="43" spans="1:5" x14ac:dyDescent="0.25">
      <c r="A43" s="7" t="s">
        <v>72</v>
      </c>
      <c r="B43" s="7" t="s">
        <v>36</v>
      </c>
      <c r="C43" s="7" t="s">
        <v>40</v>
      </c>
      <c r="D43" s="7"/>
      <c r="E43" s="7">
        <v>0.5</v>
      </c>
    </row>
    <row r="44" spans="1:5" x14ac:dyDescent="0.25">
      <c r="A44" s="7" t="s">
        <v>73</v>
      </c>
      <c r="B44" s="7" t="s">
        <v>36</v>
      </c>
      <c r="C44" s="7" t="s">
        <v>40</v>
      </c>
      <c r="D44" s="7"/>
      <c r="E44" s="7">
        <v>0.5</v>
      </c>
    </row>
    <row r="45" spans="1:5" x14ac:dyDescent="0.25">
      <c r="A45" s="7"/>
      <c r="B45" s="7"/>
      <c r="C45" s="7"/>
      <c r="D45" s="7"/>
      <c r="E45" s="7"/>
    </row>
    <row r="46" spans="1:5" x14ac:dyDescent="0.25">
      <c r="A46" s="2" t="s">
        <v>74</v>
      </c>
      <c r="B46" s="2" t="s">
        <v>36</v>
      </c>
      <c r="C46" s="2" t="s">
        <v>37</v>
      </c>
      <c r="D46" s="6"/>
      <c r="E46" s="6">
        <v>1</v>
      </c>
    </row>
    <row r="47" spans="1:5" x14ac:dyDescent="0.25">
      <c r="A47" s="2"/>
      <c r="B47" s="2"/>
      <c r="C47" s="2"/>
      <c r="D47" s="6"/>
      <c r="E47" s="6"/>
    </row>
    <row r="48" spans="1:5" x14ac:dyDescent="0.25">
      <c r="A48" s="7" t="s">
        <v>77</v>
      </c>
      <c r="B48" s="6"/>
      <c r="C48" s="6"/>
      <c r="D48" s="6"/>
      <c r="E48" s="6">
        <f>SUM(E2:E46)</f>
        <v>31</v>
      </c>
    </row>
    <row r="49" spans="1:5" x14ac:dyDescent="0.25">
      <c r="A49" s="6"/>
      <c r="B49" s="6"/>
      <c r="C49" s="6" t="s">
        <v>75</v>
      </c>
      <c r="D49" s="6"/>
      <c r="E49" s="6"/>
    </row>
    <row r="50" spans="1:5" x14ac:dyDescent="0.25">
      <c r="A50" s="6"/>
      <c r="B50" s="6"/>
      <c r="C50" s="6" t="s">
        <v>76</v>
      </c>
      <c r="D50" s="6"/>
      <c r="E5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B6" sqref="B6"/>
    </sheetView>
  </sheetViews>
  <sheetFormatPr defaultRowHeight="15" x14ac:dyDescent="0.25"/>
  <cols>
    <col min="1" max="1" width="25.28515625" customWidth="1"/>
    <col min="2" max="2" width="9.140625" style="10"/>
  </cols>
  <sheetData>
    <row r="1" spans="1:3" s="3" customFormat="1" x14ac:dyDescent="0.25">
      <c r="A1" s="3" t="s">
        <v>111</v>
      </c>
      <c r="B1" s="9"/>
    </row>
    <row r="2" spans="1:3" s="11" customFormat="1" x14ac:dyDescent="0.25">
      <c r="A2" s="11" t="s">
        <v>115</v>
      </c>
      <c r="B2" s="12"/>
    </row>
    <row r="4" spans="1:3" x14ac:dyDescent="0.25">
      <c r="A4" t="s">
        <v>5</v>
      </c>
      <c r="B4" s="15">
        <f>Berekeningen!B34</f>
        <v>-61.277741935483881</v>
      </c>
    </row>
    <row r="5" spans="1:3" x14ac:dyDescent="0.25">
      <c r="A5" t="s">
        <v>112</v>
      </c>
      <c r="B5" s="15">
        <f>Berekeningen!B38</f>
        <v>36.801290322580641</v>
      </c>
      <c r="C5">
        <v>40</v>
      </c>
    </row>
    <row r="6" spans="1:3" x14ac:dyDescent="0.25">
      <c r="A6" t="s">
        <v>14</v>
      </c>
      <c r="B6" s="10">
        <f>Berekeningen!B44</f>
        <v>58.623548387096761</v>
      </c>
    </row>
    <row r="7" spans="1:3" x14ac:dyDescent="0.25">
      <c r="A7" t="s">
        <v>8</v>
      </c>
      <c r="B7" s="10">
        <f>Berekeningen!B49</f>
        <v>-2.248387096774195</v>
      </c>
    </row>
    <row r="8" spans="1:3" x14ac:dyDescent="0.25">
      <c r="A8" t="s">
        <v>21</v>
      </c>
      <c r="B8" s="10">
        <f>Berekeningen!B54</f>
        <v>99.603225806451604</v>
      </c>
    </row>
    <row r="9" spans="1:3" x14ac:dyDescent="0.25">
      <c r="A9" t="s">
        <v>29</v>
      </c>
      <c r="B9" s="10">
        <f>Berekeningen!B59</f>
        <v>-331.5993548387097</v>
      </c>
    </row>
    <row r="10" spans="1:3" x14ac:dyDescent="0.25">
      <c r="A10" t="s">
        <v>12</v>
      </c>
      <c r="B10" s="15">
        <f>Berekeningen!B65</f>
        <v>53.131935483870961</v>
      </c>
    </row>
    <row r="11" spans="1:3" x14ac:dyDescent="0.25">
      <c r="A11" t="s">
        <v>102</v>
      </c>
      <c r="B11" s="15">
        <f>Berekeningen!B70</f>
        <v>29.221612903225804</v>
      </c>
    </row>
    <row r="12" spans="1:3" x14ac:dyDescent="0.25">
      <c r="A12" t="s">
        <v>30</v>
      </c>
      <c r="B12" s="15">
        <f>Berekeningen!B75</f>
        <v>44.141290322580645</v>
      </c>
    </row>
    <row r="13" spans="1:3" x14ac:dyDescent="0.25">
      <c r="A13" t="s">
        <v>113</v>
      </c>
      <c r="B13" s="15">
        <f>Berekeningen!B79</f>
        <v>55.201935483870962</v>
      </c>
    </row>
    <row r="14" spans="1:3" x14ac:dyDescent="0.25">
      <c r="A14" t="s">
        <v>114</v>
      </c>
      <c r="B14" s="15">
        <f>Berekeningen!B83</f>
        <v>18.400645161290321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C17" sqref="C17"/>
    </sheetView>
  </sheetViews>
  <sheetFormatPr defaultRowHeight="15" x14ac:dyDescent="0.25"/>
  <cols>
    <col min="1" max="1" width="18.42578125" bestFit="1" customWidth="1"/>
  </cols>
  <sheetData>
    <row r="3" spans="1:2" s="3" customFormat="1" x14ac:dyDescent="0.25">
      <c r="A3" s="3" t="s">
        <v>46</v>
      </c>
    </row>
    <row r="4" spans="1:2" x14ac:dyDescent="0.25">
      <c r="A4" t="s">
        <v>116</v>
      </c>
      <c r="B4" s="10">
        <f>OVERZICHT!B7</f>
        <v>-2.248387096774195</v>
      </c>
    </row>
    <row r="5" spans="1:2" x14ac:dyDescent="0.25">
      <c r="A5" t="s">
        <v>91</v>
      </c>
      <c r="B5">
        <f>Berekeningen!B47</f>
        <v>46.001612903225805</v>
      </c>
    </row>
    <row r="6" spans="1:2" s="4" customFormat="1" x14ac:dyDescent="0.25">
      <c r="A6" s="4" t="s">
        <v>28</v>
      </c>
      <c r="B6" s="13">
        <f>B4-B5</f>
        <v>-48.25</v>
      </c>
    </row>
    <row r="8" spans="1:2" s="3" customFormat="1" x14ac:dyDescent="0.25">
      <c r="A8" s="3" t="s">
        <v>56</v>
      </c>
    </row>
    <row r="9" spans="1:2" x14ac:dyDescent="0.25">
      <c r="A9" t="s">
        <v>117</v>
      </c>
      <c r="B9" s="10">
        <f>OVERZICHT!B8</f>
        <v>99.603225806451604</v>
      </c>
    </row>
    <row r="10" spans="1:2" x14ac:dyDescent="0.25">
      <c r="A10" t="s">
        <v>93</v>
      </c>
      <c r="B10">
        <f>Berekeningen!B52</f>
        <v>92.00322580645161</v>
      </c>
    </row>
    <row r="11" spans="1:2" s="4" customFormat="1" x14ac:dyDescent="0.25">
      <c r="A11" s="4" t="s">
        <v>28</v>
      </c>
      <c r="B11" s="13">
        <f>B9-B10</f>
        <v>7.5999999999999943</v>
      </c>
    </row>
    <row r="14" spans="1:2" x14ac:dyDescent="0.25">
      <c r="A14" t="s">
        <v>61</v>
      </c>
    </row>
    <row r="15" spans="1:2" x14ac:dyDescent="0.25">
      <c r="A15" t="s">
        <v>117</v>
      </c>
      <c r="B15" s="10">
        <f>OVERZICHT!B9</f>
        <v>-331.5993548387097</v>
      </c>
    </row>
    <row r="16" spans="1:2" x14ac:dyDescent="0.25">
      <c r="A16" t="s">
        <v>118</v>
      </c>
      <c r="B16">
        <f>B5+B10</f>
        <v>138.00483870967741</v>
      </c>
    </row>
    <row r="17" spans="1:3" s="4" customFormat="1" x14ac:dyDescent="0.25">
      <c r="A17" s="4" t="s">
        <v>28</v>
      </c>
      <c r="B17" s="13">
        <f>B15+B16</f>
        <v>-193.59451612903229</v>
      </c>
      <c r="C17" s="1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Berekeningen</vt:lpstr>
      <vt:lpstr>Personen</vt:lpstr>
      <vt:lpstr>OVERZICHT</vt:lpstr>
      <vt:lpstr>OMA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</dc:creator>
  <cp:lastModifiedBy>Tonny Lemmens</cp:lastModifiedBy>
  <dcterms:created xsi:type="dcterms:W3CDTF">2013-01-03T12:23:06Z</dcterms:created>
  <dcterms:modified xsi:type="dcterms:W3CDTF">2013-01-13T16:16:23Z</dcterms:modified>
</cp:coreProperties>
</file>