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w5602\AppData\Local\Microsoft\Windows\INetCache\Content.Outlook\TKZIBWDR\"/>
    </mc:Choice>
  </mc:AlternateContent>
  <xr:revisionPtr revIDLastSave="0" documentId="13_ncr:1_{79B7C6FB-1927-4B16-B166-B1C395CEFD28}" xr6:coauthVersionLast="46" xr6:coauthVersionMax="46" xr10:uidLastSave="{00000000-0000-0000-0000-000000000000}"/>
  <bookViews>
    <workbookView xWindow="390" yWindow="390" windowWidth="20100" windowHeight="10920" xr2:uid="{79984F0B-FB19-4FF1-B1CC-C04E34C9FA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" l="1"/>
  <c r="C14" i="1" s="1"/>
  <c r="C15" i="1" s="1"/>
  <c r="E2" i="1"/>
  <c r="E14" i="1" l="1"/>
  <c r="C9" i="1"/>
  <c r="C7" i="1" s="1"/>
</calcChain>
</file>

<file path=xl/sharedStrings.xml><?xml version="1.0" encoding="utf-8"?>
<sst xmlns="http://schemas.openxmlformats.org/spreadsheetml/2006/main" count="19" uniqueCount="16">
  <si>
    <t>Q</t>
  </si>
  <si>
    <t>P</t>
  </si>
  <si>
    <t>kW</t>
  </si>
  <si>
    <t>kVAr</t>
  </si>
  <si>
    <t>S</t>
  </si>
  <si>
    <t>kVA</t>
  </si>
  <si>
    <t>S_max</t>
  </si>
  <si>
    <t>phi</t>
  </si>
  <si>
    <t>rad</t>
  </si>
  <si>
    <t>cosphi</t>
  </si>
  <si>
    <t>deg</t>
  </si>
  <si>
    <t>Q_set</t>
  </si>
  <si>
    <t>P_loss</t>
  </si>
  <si>
    <t>van P_max</t>
  </si>
  <si>
    <t>= setpoint Sibelco</t>
  </si>
  <si>
    <t>Q_max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</si>
</sst>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1">
    <xf numFmtId="0" fontId="0" fillId="0" borderId="0" xfId="0"/>
    <xf numFmtId="0" fontId="0" fillId="2" borderId="0" xfId="0" applyFill="1"/>
    <xf numFmtId="1" fontId="1" fillId="3" borderId="0" xfId="0" applyNumberFormat="1" applyFont="1" applyFill="1"/>
    <xf numFmtId="0" fontId="1" fillId="0" borderId="0" xfId="0" applyFont="1"/>
    <xf numFmtId="0" fontId="2" fillId="0" borderId="0" xfId="0" applyFont="1"/>
    <xf numFmtId="9" fontId="0" fillId="0" borderId="0" xfId="1" applyFont="1"/>
    <xf numFmtId="0" fontId="4" fillId="0" borderId="0" xfId="0" applyFont="1"/>
    <xf numFmtId="1" fontId="4" fillId="0" borderId="0" xfId="0" applyNumberFormat="1" applyFont="1"/>
    <xf numFmtId="9" fontId="0" fillId="2" borderId="0" xfId="0" applyNumberFormat="1" applyFill="1"/>
    <xf numFmtId="0" fontId="0" fillId="0" borderId="0" xfId="0" quotePrefix="1"/>
    <xf numFmtId="2" fontId="4" fillId="0" borderId="0" xfId="0" applyNumberFormat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354C3-E4A6-46E6-A5F2-DA949D8D0C53}">
  <dimension ref="B2:F15"/>
  <sheetViews>
    <sheetView tabSelected="1" workbookViewId="0">
      <selection activeCell="C3" sqref="C3"/>
    </sheetView>
  </sheetViews>
  <sheetFormatPr defaultRowHeight="15" x14ac:dyDescent="0.25"/>
  <cols>
    <col min="3" max="3" width="7.7109375" bestFit="1" customWidth="1"/>
    <col min="6" max="6" width="10.42578125" bestFit="1" customWidth="1"/>
  </cols>
  <sheetData>
    <row r="2" spans="2:6" x14ac:dyDescent="0.25">
      <c r="B2" t="s">
        <v>1</v>
      </c>
      <c r="C2" s="1">
        <v>3900</v>
      </c>
      <c r="D2" t="s">
        <v>2</v>
      </c>
      <c r="E2" s="5">
        <f>C2/5000</f>
        <v>0.78</v>
      </c>
      <c r="F2" t="s">
        <v>13</v>
      </c>
    </row>
    <row r="3" spans="2:6" x14ac:dyDescent="0.25">
      <c r="B3" t="s">
        <v>11</v>
      </c>
      <c r="C3" s="8">
        <v>0.215</v>
      </c>
      <c r="D3" s="9" t="s">
        <v>14</v>
      </c>
    </row>
    <row r="4" spans="2:6" x14ac:dyDescent="0.25">
      <c r="B4" s="6" t="s">
        <v>0</v>
      </c>
      <c r="C4" s="6">
        <f>C3*5000</f>
        <v>1075</v>
      </c>
      <c r="D4" s="6" t="s">
        <v>3</v>
      </c>
      <c r="E4" s="4"/>
      <c r="F4" s="4"/>
    </row>
    <row r="5" spans="2:6" x14ac:dyDescent="0.25">
      <c r="B5" s="6" t="s">
        <v>15</v>
      </c>
      <c r="C5" s="6">
        <v>1440</v>
      </c>
      <c r="D5" s="6" t="s">
        <v>3</v>
      </c>
      <c r="E5" s="4"/>
      <c r="F5" s="4"/>
    </row>
    <row r="7" spans="2:6" x14ac:dyDescent="0.25">
      <c r="B7" t="s">
        <v>12</v>
      </c>
      <c r="C7" s="2">
        <f>MAX(C9-C10,0)</f>
        <v>0</v>
      </c>
      <c r="D7" s="3" t="s">
        <v>2</v>
      </c>
    </row>
    <row r="9" spans="2:6" x14ac:dyDescent="0.25">
      <c r="B9" s="6" t="s">
        <v>4</v>
      </c>
      <c r="C9" s="7">
        <f>SQRT(C2^2+C4^2)</f>
        <v>4045.4449693451525</v>
      </c>
      <c r="D9" s="6" t="s">
        <v>5</v>
      </c>
      <c r="E9" s="4"/>
      <c r="F9" s="4"/>
    </row>
    <row r="10" spans="2:6" x14ac:dyDescent="0.25">
      <c r="B10" s="6" t="s">
        <v>6</v>
      </c>
      <c r="C10" s="6">
        <v>4050</v>
      </c>
      <c r="D10" s="6" t="s">
        <v>5</v>
      </c>
      <c r="E10" s="4"/>
      <c r="F10" s="4"/>
    </row>
    <row r="11" spans="2:6" x14ac:dyDescent="0.25">
      <c r="B11" s="4"/>
      <c r="C11" s="4"/>
      <c r="D11" s="4"/>
      <c r="E11" s="4"/>
      <c r="F11" s="4"/>
    </row>
    <row r="12" spans="2:6" x14ac:dyDescent="0.25">
      <c r="B12" s="4"/>
      <c r="C12" s="4"/>
      <c r="D12" s="4"/>
      <c r="E12" s="4"/>
      <c r="F12" s="4"/>
    </row>
    <row r="13" spans="2:6" x14ac:dyDescent="0.25">
      <c r="B13" s="4"/>
      <c r="C13" s="4"/>
      <c r="D13" s="4"/>
      <c r="E13" s="4"/>
      <c r="F13" s="4"/>
    </row>
    <row r="14" spans="2:6" x14ac:dyDescent="0.25">
      <c r="B14" s="4" t="s">
        <v>7</v>
      </c>
      <c r="C14" s="4">
        <f>ATAN(C4/C2)</f>
        <v>0.26896206961685626</v>
      </c>
      <c r="D14" s="4" t="s">
        <v>8</v>
      </c>
      <c r="E14" s="4">
        <f>C14*180/PI()</f>
        <v>15.410391438149695</v>
      </c>
      <c r="F14" s="4" t="s">
        <v>10</v>
      </c>
    </row>
    <row r="15" spans="2:6" x14ac:dyDescent="0.25">
      <c r="B15" s="6" t="s">
        <v>9</v>
      </c>
      <c r="C15" s="10">
        <f>COS(C14)</f>
        <v>0.96404722584356506</v>
      </c>
      <c r="D15" s="4"/>
      <c r="E15" s="4"/>
      <c r="F15" s="4"/>
    </row>
  </sheetData>
  <conditionalFormatting sqref="C4">
    <cfRule type="cellIs" dxfId="1" priority="2" operator="greaterThan">
      <formula>$C$5</formula>
    </cfRule>
  </conditionalFormatting>
  <conditionalFormatting sqref="C9">
    <cfRule type="cellIs" dxfId="0" priority="1" operator="greaterThan">
      <formula>$C$10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lativePath xmlns="3805e2bb-fc01-4ce5-ab3b-bc8e8ccada0e" xsi:nil="true"/>
    <b1b820adfd3e4a078472514c1a5cb5ff xmlns="87037488-ec5d-4aba-84c2-9b1d22638e8e">
      <Terms xmlns="http://schemas.microsoft.com/office/infopath/2007/PartnerControls"/>
    </b1b820adfd3e4a078472514c1a5cb5ff>
    <TaxCatchAll xmlns="87037488-ec5d-4aba-84c2-9b1d22638e8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E496455F1F0B4F85657A064FF18C95" ma:contentTypeVersion="16" ma:contentTypeDescription="Create a new document." ma:contentTypeScope="" ma:versionID="5e864b193c0c9a6e45690075cfbeb653">
  <xsd:schema xmlns:xsd="http://www.w3.org/2001/XMLSchema" xmlns:xs="http://www.w3.org/2001/XMLSchema" xmlns:p="http://schemas.microsoft.com/office/2006/metadata/properties" xmlns:ns3="87037488-ec5d-4aba-84c2-9b1d22638e8e" xmlns:ns4="3805e2bb-fc01-4ce5-ab3b-bc8e8ccada0e" xmlns:ns5="5dd658ad-04e2-4a35-b4e2-ea59590de389" targetNamespace="http://schemas.microsoft.com/office/2006/metadata/properties" ma:root="true" ma:fieldsID="38766f1fc322135b9a686dbb01634a82" ns3:_="" ns4:_="" ns5:_="">
    <xsd:import namespace="87037488-ec5d-4aba-84c2-9b1d22638e8e"/>
    <xsd:import namespace="3805e2bb-fc01-4ce5-ab3b-bc8e8ccada0e"/>
    <xsd:import namespace="5dd658ad-04e2-4a35-b4e2-ea59590de389"/>
    <xsd:element name="properties">
      <xsd:complexType>
        <xsd:sequence>
          <xsd:element name="documentManagement">
            <xsd:complexType>
              <xsd:all>
                <xsd:element ref="ns3:b1b820adfd3e4a078472514c1a5cb5ff" minOccurs="0"/>
                <xsd:element ref="ns3:TaxCatchAll" minOccurs="0"/>
                <xsd:element ref="ns3:TaxCatchAllLabel" minOccurs="0"/>
                <xsd:element ref="ns4:RelativePat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DateTaken" minOccurs="0"/>
                <xsd:element ref="ns4:MediaServiceLocation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5:SharedWithUsers" minOccurs="0"/>
                <xsd:element ref="ns5:SharedWithDetails" minOccurs="0"/>
                <xsd:element ref="ns5:SharingHintHash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7037488-ec5d-4aba-84c2-9b1d22638e8e" elementFormDefault="qualified">
    <xsd:import namespace="http://schemas.microsoft.com/office/2006/documentManagement/types"/>
    <xsd:import namespace="http://schemas.microsoft.com/office/infopath/2007/PartnerControls"/>
    <xsd:element name="b1b820adfd3e4a078472514c1a5cb5ff" ma:index="8" nillable="true" ma:taxonomy="true" ma:internalName="b1b820adfd3e4a078472514c1a5cb5ff" ma:taxonomyFieldName="Security_x0020_Classification" ma:displayName="Security Classification" ma:default="" ma:fieldId="{b1b820ad-fd3e-4a07-8472-514c1a5cb5ff}" ma:sspId="3bf472f7-a010-4b5a-bb99-a26ed4c99680" ma:termSetId="0c0ba91f-ee81-4a79-83f6-c19eebf2f16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f7fe5b86-9763-4165-98a7-df2a46fdf69a}" ma:internalName="TaxCatchAll" ma:showField="CatchAllData" ma:web="5dd658ad-04e2-4a35-b4e2-ea59590de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f7fe5b86-9763-4165-98a7-df2a46fdf69a}" ma:internalName="TaxCatchAllLabel" ma:readOnly="true" ma:showField="CatchAllDataLabel" ma:web="5dd658ad-04e2-4a35-b4e2-ea59590de3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5e2bb-fc01-4ce5-ab3b-bc8e8ccada0e" elementFormDefault="qualified">
    <xsd:import namespace="http://schemas.microsoft.com/office/2006/documentManagement/types"/>
    <xsd:import namespace="http://schemas.microsoft.com/office/infopath/2007/PartnerControls"/>
    <xsd:element name="RelativePath" ma:index="12" nillable="true" ma:displayName="RelativePath" ma:description="" ma:internalName="RelativePath">
      <xsd:simpleType>
        <xsd:restriction base="dms:Note">
          <xsd:maxLength value="255"/>
        </xsd:restriction>
      </xsd:simpleType>
    </xsd:element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d658ad-04e2-4a35-b4e2-ea59590de389" elementFormDefault="qualified">
    <xsd:import namespace="http://schemas.microsoft.com/office/2006/documentManagement/types"/>
    <xsd:import namespace="http://schemas.microsoft.com/office/infopath/2007/PartnerControls"/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3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3bf472f7-a010-4b5a-bb99-a26ed4c99680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003B882-0BA0-414C-B4B6-A9EAC4E098D2}">
  <ds:schemaRefs>
    <ds:schemaRef ds:uri="5dd658ad-04e2-4a35-b4e2-ea59590de389"/>
    <ds:schemaRef ds:uri="http://purl.org/dc/elements/1.1/"/>
    <ds:schemaRef ds:uri="3805e2bb-fc01-4ce5-ab3b-bc8e8ccada0e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purl.org/dc/dcmitype/"/>
    <ds:schemaRef ds:uri="http://schemas.microsoft.com/office/infopath/2007/PartnerControls"/>
    <ds:schemaRef ds:uri="87037488-ec5d-4aba-84c2-9b1d22638e8e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D3ED434-98B1-4588-B1F9-521BCC6FF7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7037488-ec5d-4aba-84c2-9b1d22638e8e"/>
    <ds:schemaRef ds:uri="3805e2bb-fc01-4ce5-ab3b-bc8e8ccada0e"/>
    <ds:schemaRef ds:uri="5dd658ad-04e2-4a35-b4e2-ea59590de3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2758F2F-A1D2-46CA-92CA-00E5B375C8C2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D34CCCFC-35C7-4E0F-81AA-2C2FA20AE09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GRÉANT Nicolas (ext)</dc:creator>
  <cp:lastModifiedBy>GRÉANT Nicolas (ext)</cp:lastModifiedBy>
  <dcterms:created xsi:type="dcterms:W3CDTF">2021-05-20T12:43:57Z</dcterms:created>
  <dcterms:modified xsi:type="dcterms:W3CDTF">2021-05-31T15:25:34Z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35c4ba-2280-41f8-be7d-6f21d368baa3_Enabled">
    <vt:lpwstr>true</vt:lpwstr>
  </property>
  <property fmtid="{D5CDD505-2E9C-101B-9397-08002B2CF9AE}" pid="3" name="MSIP_Label_c135c4ba-2280-41f8-be7d-6f21d368baa3_SetDate">
    <vt:lpwstr>2021-05-20T12:44:01Z</vt:lpwstr>
  </property>
  <property fmtid="{D5CDD505-2E9C-101B-9397-08002B2CF9AE}" pid="4" name="MSIP_Label_c135c4ba-2280-41f8-be7d-6f21d368baa3_Method">
    <vt:lpwstr>Standard</vt:lpwstr>
  </property>
  <property fmtid="{D5CDD505-2E9C-101B-9397-08002B2CF9AE}" pid="5" name="MSIP_Label_c135c4ba-2280-41f8-be7d-6f21d368baa3_Name">
    <vt:lpwstr>c135c4ba-2280-41f8-be7d-6f21d368baa3</vt:lpwstr>
  </property>
  <property fmtid="{D5CDD505-2E9C-101B-9397-08002B2CF9AE}" pid="6" name="MSIP_Label_c135c4ba-2280-41f8-be7d-6f21d368baa3_SiteId">
    <vt:lpwstr>24139d14-c62c-4c47-8bdd-ce71ea1d50cf</vt:lpwstr>
  </property>
  <property fmtid="{D5CDD505-2E9C-101B-9397-08002B2CF9AE}" pid="7" name="MSIP_Label_c135c4ba-2280-41f8-be7d-6f21d368baa3_ActionId">
    <vt:lpwstr>d4f0d14b-e4e3-49fe-8678-e68ffee7e94e</vt:lpwstr>
  </property>
  <property fmtid="{D5CDD505-2E9C-101B-9397-08002B2CF9AE}" pid="8" name="MSIP_Label_c135c4ba-2280-41f8-be7d-6f21d368baa3_ContentBits">
    <vt:lpwstr>0</vt:lpwstr>
  </property>
  <property fmtid="{D5CDD505-2E9C-101B-9397-08002B2CF9AE}" pid="9" name="ContentTypeId">
    <vt:lpwstr>0x010100DCE496455F1F0B4F85657A064FF18C95</vt:lpwstr>
  </property>
</Properties>
</file>