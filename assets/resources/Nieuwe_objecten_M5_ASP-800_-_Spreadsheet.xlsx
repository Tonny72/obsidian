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L.SIBELCO\AppData\Local\Temp\OneNote\15.0\NT\1-3\"/>
    </mc:Choice>
  </mc:AlternateContent>
  <bookViews>
    <workbookView xWindow="0" yWindow="0" windowWidth="20460" windowHeight="12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3" i="1" l="1"/>
  <c r="M110" i="1"/>
  <c r="M94" i="1"/>
  <c r="M115" i="1"/>
  <c r="M116" i="1"/>
  <c r="M83" i="1"/>
  <c r="M84" i="1"/>
  <c r="M76" i="1"/>
  <c r="M77" i="1"/>
  <c r="M99" i="1"/>
  <c r="M64" i="1"/>
  <c r="M119" i="1"/>
  <c r="M91" i="1"/>
  <c r="M82" i="1"/>
  <c r="M75" i="1"/>
  <c r="M103" i="1"/>
  <c r="M102" i="1"/>
  <c r="M81" i="1"/>
  <c r="M79" i="1"/>
  <c r="M80" i="1"/>
  <c r="M74" i="1"/>
  <c r="M70" i="1"/>
  <c r="M71" i="1"/>
  <c r="M101" i="1"/>
  <c r="M65" i="1"/>
  <c r="M120" i="1"/>
  <c r="M98" i="1"/>
  <c r="M107" i="1"/>
  <c r="M96" i="1"/>
  <c r="M72" i="1"/>
  <c r="M78" i="1"/>
  <c r="M106" i="1"/>
  <c r="M73" i="1"/>
  <c r="M69" i="1"/>
  <c r="M105" i="1"/>
  <c r="M118" i="1"/>
  <c r="M112" i="1"/>
  <c r="M114" i="1"/>
  <c r="M117" i="1"/>
  <c r="M111" i="1"/>
  <c r="M50" i="1"/>
  <c r="M51" i="1"/>
  <c r="M52" i="1"/>
  <c r="M53" i="1"/>
  <c r="M54" i="1"/>
  <c r="M55" i="1"/>
  <c r="M56" i="1"/>
  <c r="M57" i="1"/>
  <c r="M58" i="1"/>
  <c r="M59" i="1"/>
  <c r="M60" i="1"/>
  <c r="M87" i="1"/>
  <c r="M88" i="1"/>
  <c r="M89" i="1"/>
  <c r="M90" i="1"/>
  <c r="M97" i="1"/>
  <c r="M113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95" i="1"/>
</calcChain>
</file>

<file path=xl/sharedStrings.xml><?xml version="1.0" encoding="utf-8"?>
<sst xmlns="http://schemas.openxmlformats.org/spreadsheetml/2006/main" count="659" uniqueCount="531">
  <si>
    <t>Object</t>
  </si>
  <si>
    <t>M5FA401</t>
  </si>
  <si>
    <t>Omschrijving</t>
  </si>
  <si>
    <t>Out1</t>
  </si>
  <si>
    <t>FB1</t>
  </si>
  <si>
    <t>PB</t>
  </si>
  <si>
    <t>--</t>
  </si>
  <si>
    <t>ACS800</t>
  </si>
  <si>
    <t>Afzuigventilator ASP800 blower overblazen
75kW 3000 rpm</t>
  </si>
  <si>
    <t>M5FA401WS</t>
  </si>
  <si>
    <t xml:space="preserve">Werkschakelaar </t>
  </si>
  <si>
    <t>??</t>
  </si>
  <si>
    <t>M5FA401CI</t>
  </si>
  <si>
    <t>Contactor in</t>
  </si>
  <si>
    <t>DI0.11.107.1</t>
  </si>
  <si>
    <t>M5RS401</t>
  </si>
  <si>
    <t>Regelmotor ASP800</t>
  </si>
  <si>
    <t>M5RS401CI</t>
  </si>
  <si>
    <t>DI0.11.107.2</t>
  </si>
  <si>
    <t>M5FA401FA</t>
  </si>
  <si>
    <t>Koelventilator FA401</t>
  </si>
  <si>
    <t>DI0.11.107.3</t>
  </si>
  <si>
    <t>M5FA401FAWS</t>
  </si>
  <si>
    <t>DI0.11.107.4</t>
  </si>
  <si>
    <t>M5FI401</t>
  </si>
  <si>
    <t>Filter</t>
  </si>
  <si>
    <t>DI0.11.107.5</t>
  </si>
  <si>
    <t>M5SC401</t>
  </si>
  <si>
    <t>Vijs in filter</t>
  </si>
  <si>
    <t>DI0.11.107.6</t>
  </si>
  <si>
    <t>DI0.11.107.7</t>
  </si>
  <si>
    <t>M5SA401</t>
  </si>
  <si>
    <t>Stalennemer</t>
  </si>
  <si>
    <t>FB2</t>
  </si>
  <si>
    <t>DI0.11.107.9</t>
  </si>
  <si>
    <t>DI0.11.107.8</t>
  </si>
  <si>
    <t>DI0.11.107.10</t>
  </si>
  <si>
    <t>M5SA401WS</t>
  </si>
  <si>
    <t>M5SA402</t>
  </si>
  <si>
    <t>DI0.11.107.12</t>
  </si>
  <si>
    <t>DI0.11.107.11</t>
  </si>
  <si>
    <t>M5SA402WS</t>
  </si>
  <si>
    <t>DI0.11.107.13</t>
  </si>
  <si>
    <t>M5FA402</t>
  </si>
  <si>
    <t>Ventilator</t>
  </si>
  <si>
    <t>DI0.11.107.14</t>
  </si>
  <si>
    <t>DI0.11.107.15</t>
  </si>
  <si>
    <t>M5FA402WS</t>
  </si>
  <si>
    <t>M5BE401</t>
  </si>
  <si>
    <t>Elevator</t>
  </si>
  <si>
    <t>DI0.11.108.1</t>
  </si>
  <si>
    <t>M5BE401WS</t>
  </si>
  <si>
    <t>DI0.11.108.2</t>
  </si>
  <si>
    <t>M5BE401TW</t>
  </si>
  <si>
    <t>Toerenwachter</t>
  </si>
  <si>
    <t>DI0.11.108.3</t>
  </si>
  <si>
    <t>M5RV402</t>
  </si>
  <si>
    <t>Cellenrad onder seperator</t>
  </si>
  <si>
    <t>DI0.11.108.4</t>
  </si>
  <si>
    <t>M5RV402WS</t>
  </si>
  <si>
    <t>DI0.11.108.5</t>
  </si>
  <si>
    <t>M5RV402TW</t>
  </si>
  <si>
    <t>DI0.11.108.6</t>
  </si>
  <si>
    <t>M5RV401</t>
  </si>
  <si>
    <t>Cellenrad toevoer</t>
  </si>
  <si>
    <t>ACS355</t>
  </si>
  <si>
    <t>M5RV401WS</t>
  </si>
  <si>
    <t>DI0.11.108.7</t>
  </si>
  <si>
    <t>M5RV401TW</t>
  </si>
  <si>
    <t>DI0.11.108.8</t>
  </si>
  <si>
    <t>M5RV401CI</t>
  </si>
  <si>
    <t>DI0.11.108.9</t>
  </si>
  <si>
    <t>M5SVA411</t>
  </si>
  <si>
    <t>FB0</t>
  </si>
  <si>
    <t>DI0.11.109.1</t>
  </si>
  <si>
    <t>M5SVA412</t>
  </si>
  <si>
    <t>DI0.11.109.2</t>
  </si>
  <si>
    <t>M5SVA421</t>
  </si>
  <si>
    <t>DI0.11.109.3</t>
  </si>
  <si>
    <t>DI0.11.109.4</t>
  </si>
  <si>
    <t>M5SVA422</t>
  </si>
  <si>
    <t>DI0.11.109.5</t>
  </si>
  <si>
    <t>DI0.11.109.6</t>
  </si>
  <si>
    <t>M5SVA401</t>
  </si>
  <si>
    <t>DI0.11.109.7</t>
  </si>
  <si>
    <t>DI0.11.109.8</t>
  </si>
  <si>
    <t>M5SVA402</t>
  </si>
  <si>
    <t>DI0.11.109.9</t>
  </si>
  <si>
    <t>DI0.11.109.10</t>
  </si>
  <si>
    <t>M5SVA431</t>
  </si>
  <si>
    <t>DI0.11.109.11</t>
  </si>
  <si>
    <t>DI0.11.109.12</t>
  </si>
  <si>
    <t>M5SVA432</t>
  </si>
  <si>
    <t>DI0.11.109.13</t>
  </si>
  <si>
    <t>DI0.11.109.14</t>
  </si>
  <si>
    <t>M5LSH401</t>
  </si>
  <si>
    <t>Hoogniveau uitloop filter</t>
  </si>
  <si>
    <t>DI0.11.110.1</t>
  </si>
  <si>
    <t>M5LSH402</t>
  </si>
  <si>
    <t>Hoog-hoog niveau uitloop filter</t>
  </si>
  <si>
    <t>DI0.11.110.2</t>
  </si>
  <si>
    <t>M5LSH403</t>
  </si>
  <si>
    <t>Hoogniveau uitloop elevator</t>
  </si>
  <si>
    <t>DI0.11.110.3</t>
  </si>
  <si>
    <t>M5PSL401</t>
  </si>
  <si>
    <t>Persluchtdruk te laag</t>
  </si>
  <si>
    <t>DI0.11.110.4</t>
  </si>
  <si>
    <t>DO0.11.205.1</t>
  </si>
  <si>
    <t>filter storing</t>
  </si>
  <si>
    <t>M5FI401FS</t>
  </si>
  <si>
    <t>DO0.11.205.2</t>
  </si>
  <si>
    <t>DO0.11.205.3</t>
  </si>
  <si>
    <t>Out2</t>
  </si>
  <si>
    <t>DO0.11.205.4</t>
  </si>
  <si>
    <t>DO0.11.205.5</t>
  </si>
  <si>
    <t>DO0.11.205.6</t>
  </si>
  <si>
    <t>DO0.11.205.7</t>
  </si>
  <si>
    <t>DO0.11.205.8</t>
  </si>
  <si>
    <t>DO0.11.205.9</t>
  </si>
  <si>
    <t>DO0.11.205.10</t>
  </si>
  <si>
    <t>DO0.11.206.1</t>
  </si>
  <si>
    <t>DO0.11.206.2</t>
  </si>
  <si>
    <t>DO0.11.206.3</t>
  </si>
  <si>
    <t>DO0.11.206.4</t>
  </si>
  <si>
    <t>DO0.11.206.5</t>
  </si>
  <si>
    <t>DO0.11.206.6</t>
  </si>
  <si>
    <t>DO0.11.206.7</t>
  </si>
  <si>
    <t>DO0.11.206.8</t>
  </si>
  <si>
    <t>Pulsklep</t>
  </si>
  <si>
    <t>Wisselklep</t>
  </si>
  <si>
    <t>Klep afzuiging</t>
  </si>
  <si>
    <t>Klep afzuiging (reserve)</t>
  </si>
  <si>
    <t>Klep</t>
  </si>
  <si>
    <t>AI</t>
  </si>
  <si>
    <t>M5FT401</t>
  </si>
  <si>
    <t>Flow luchtdebiet ventilator M5FA401 (50-1000m³/h)</t>
  </si>
  <si>
    <t>AI0.11.307.1</t>
  </si>
  <si>
    <t>M5TT401</t>
  </si>
  <si>
    <t>Temperatuur flow M5FA401 (0-100°C)</t>
  </si>
  <si>
    <t>AI0.11.307.2</t>
  </si>
  <si>
    <t>M5PT401</t>
  </si>
  <si>
    <t>Verschildruk filter M5FI401 (0-5000mmH²O)</t>
  </si>
  <si>
    <t>AI0.11.307.3</t>
  </si>
  <si>
    <t>M4_55</t>
  </si>
  <si>
    <t>Vijs toevoer ASP-Sichter M5</t>
  </si>
  <si>
    <t>DI0.11.401.11</t>
  </si>
  <si>
    <t>M4_WK2A</t>
  </si>
  <si>
    <t>Klep naar ASP-Sichter</t>
  </si>
  <si>
    <t>DI0.11.402.9</t>
  </si>
  <si>
    <t>DI0.11.402.10</t>
  </si>
  <si>
    <t>M4_WK2B</t>
  </si>
  <si>
    <t>Klep naar Hosokawa</t>
  </si>
  <si>
    <t>DI0.11.402.11</t>
  </si>
  <si>
    <t>DI0.11.402.12</t>
  </si>
  <si>
    <t>DO0.11.501.7</t>
  </si>
  <si>
    <t>DO0.11.501.13</t>
  </si>
  <si>
    <t>DO0.11.501.14</t>
  </si>
  <si>
    <t>Oude naam</t>
  </si>
  <si>
    <t>M5_1</t>
  </si>
  <si>
    <t>DI6.1</t>
  </si>
  <si>
    <t>M5_4</t>
  </si>
  <si>
    <t>M5_5</t>
  </si>
  <si>
    <t>M5_6</t>
  </si>
  <si>
    <t>M5_7</t>
  </si>
  <si>
    <t>M5_8</t>
  </si>
  <si>
    <t>M5_9</t>
  </si>
  <si>
    <t>M5_10</t>
  </si>
  <si>
    <t>M5_12</t>
  </si>
  <si>
    <t>M5_13</t>
  </si>
  <si>
    <t>M5_14</t>
  </si>
  <si>
    <t>M5_15</t>
  </si>
  <si>
    <t>M5_16</t>
  </si>
  <si>
    <t>M5_17</t>
  </si>
  <si>
    <t>M5_18</t>
  </si>
  <si>
    <t>M5_19</t>
  </si>
  <si>
    <t>M5_20</t>
  </si>
  <si>
    <t>M5_21</t>
  </si>
  <si>
    <t>M5_22</t>
  </si>
  <si>
    <t>M5_23</t>
  </si>
  <si>
    <t>M5_24</t>
  </si>
  <si>
    <t>M5_25</t>
  </si>
  <si>
    <t>M5_26</t>
  </si>
  <si>
    <t>M5_27</t>
  </si>
  <si>
    <t>M5_28</t>
  </si>
  <si>
    <t>M5_29</t>
  </si>
  <si>
    <t>Airslide</t>
  </si>
  <si>
    <t>Vijs</t>
  </si>
  <si>
    <t>Cellenrad</t>
  </si>
  <si>
    <t>AANST</t>
  </si>
  <si>
    <t>Vijs bufs</t>
  </si>
  <si>
    <t>regelm sep1</t>
  </si>
  <si>
    <t>vent sep1</t>
  </si>
  <si>
    <t>kl vent. Sep1</t>
  </si>
  <si>
    <t>Vijs L/R</t>
  </si>
  <si>
    <t>regelm sep2</t>
  </si>
  <si>
    <t>vent sep2</t>
  </si>
  <si>
    <t>kl vent. Sep2</t>
  </si>
  <si>
    <t>Airlift</t>
  </si>
  <si>
    <t>DI6.4</t>
  </si>
  <si>
    <t>DI6.5</t>
  </si>
  <si>
    <t>DI6.6</t>
  </si>
  <si>
    <t>DI6.7</t>
  </si>
  <si>
    <t>DI6.8</t>
  </si>
  <si>
    <t>DI6.9</t>
  </si>
  <si>
    <t>DI6.10</t>
  </si>
  <si>
    <t>DI6.11</t>
  </si>
  <si>
    <t>DI6.12</t>
  </si>
  <si>
    <t>DI6.13</t>
  </si>
  <si>
    <t>DI6.14</t>
  </si>
  <si>
    <t>DI6.15</t>
  </si>
  <si>
    <t>DI6.16</t>
  </si>
  <si>
    <t>DI6.17</t>
  </si>
  <si>
    <t>DI6.18</t>
  </si>
  <si>
    <t>DI6.19</t>
  </si>
  <si>
    <t>DI6.21</t>
  </si>
  <si>
    <t>DI6.20</t>
  </si>
  <si>
    <t>DI6.22</t>
  </si>
  <si>
    <t>DI6.23</t>
  </si>
  <si>
    <t>DI6.24</t>
  </si>
  <si>
    <t>DI6.25</t>
  </si>
  <si>
    <t>DI6.26</t>
  </si>
  <si>
    <t>DI6.27</t>
  </si>
  <si>
    <t>DI6.28</t>
  </si>
  <si>
    <t>DI6.29</t>
  </si>
  <si>
    <t>M5_58</t>
  </si>
  <si>
    <t>M5_33</t>
  </si>
  <si>
    <t>M5_34</t>
  </si>
  <si>
    <t>M5_34B</t>
  </si>
  <si>
    <t>MT1</t>
  </si>
  <si>
    <t>MT2</t>
  </si>
  <si>
    <t>M5_35</t>
  </si>
  <si>
    <t>M5_59</t>
  </si>
  <si>
    <t>MAF2_1</t>
  </si>
  <si>
    <t>MAF2_2</t>
  </si>
  <si>
    <t>M5_44</t>
  </si>
  <si>
    <t>M5_45</t>
  </si>
  <si>
    <t>M5_46</t>
  </si>
  <si>
    <t>M5_47</t>
  </si>
  <si>
    <t>M5_48</t>
  </si>
  <si>
    <t>M5_32</t>
  </si>
  <si>
    <t>M5_49</t>
  </si>
  <si>
    <t>M5_56</t>
  </si>
  <si>
    <t>M5_57</t>
  </si>
  <si>
    <t>M5_3_1</t>
  </si>
  <si>
    <t>M5_11A</t>
  </si>
  <si>
    <t>M5_11B</t>
  </si>
  <si>
    <t>M5_3_2</t>
  </si>
  <si>
    <t>M5_43</t>
  </si>
  <si>
    <t>M5_55</t>
  </si>
  <si>
    <t>M5_50</t>
  </si>
  <si>
    <t>LSH501</t>
  </si>
  <si>
    <t>LSH502</t>
  </si>
  <si>
    <t>LSH503</t>
  </si>
  <si>
    <t>LSH504</t>
  </si>
  <si>
    <t>LSH505</t>
  </si>
  <si>
    <t>LSH506</t>
  </si>
  <si>
    <t>STR501</t>
  </si>
  <si>
    <t>STR502</t>
  </si>
  <si>
    <t>Transportvijs</t>
  </si>
  <si>
    <t>Weegband</t>
  </si>
  <si>
    <t>Vijs onder weegband</t>
  </si>
  <si>
    <t>Vijs L (MS53) / R (MS52)</t>
  </si>
  <si>
    <t>Ventilator airslide</t>
  </si>
  <si>
    <t>Cellenrad OVB</t>
  </si>
  <si>
    <t>Cellenrad onder Hosokawa</t>
  </si>
  <si>
    <t>Vent Filter M500</t>
  </si>
  <si>
    <t>Servo filter M500</t>
  </si>
  <si>
    <t>Filter mek. M500</t>
  </si>
  <si>
    <t>Regelmotor Hosokawa</t>
  </si>
  <si>
    <t>Ventilator Hosokawa</t>
  </si>
  <si>
    <t>Vijs Hosokawa</t>
  </si>
  <si>
    <t>Keienband L (M5) / R(M4)</t>
  </si>
  <si>
    <t>Vibratiegoot</t>
  </si>
  <si>
    <t>Klep M5 pos. Binnen</t>
  </si>
  <si>
    <t>Klep 11A</t>
  </si>
  <si>
    <t>Klep 11B</t>
  </si>
  <si>
    <t>Klep M5 pos. B52-B53</t>
  </si>
  <si>
    <t>Siloklep open</t>
  </si>
  <si>
    <t>Klep afz. Hosokawa</t>
  </si>
  <si>
    <t>Klep vent. Sep1</t>
  </si>
  <si>
    <t>Klep vent. Sep2</t>
  </si>
  <si>
    <t>Niv. Ketel airlift onder</t>
  </si>
  <si>
    <t>Niv. Toevoer sep1</t>
  </si>
  <si>
    <t>Niv. Toevoer sep2</t>
  </si>
  <si>
    <t>Niv. aan M5_3 (afgave M5_4)</t>
  </si>
  <si>
    <t>Niv. Buffersilo</t>
  </si>
  <si>
    <t>Niv. Airslide M5_4</t>
  </si>
  <si>
    <t>Storing Trafo501</t>
  </si>
  <si>
    <t>Storing Trafo502</t>
  </si>
  <si>
    <t>DI7.1</t>
  </si>
  <si>
    <t>DI7.2</t>
  </si>
  <si>
    <t>DI7.3</t>
  </si>
  <si>
    <t>DI7.4</t>
  </si>
  <si>
    <t>DI7.5</t>
  </si>
  <si>
    <t>DI7.6</t>
  </si>
  <si>
    <t>DI7.7</t>
  </si>
  <si>
    <t>DI7.8</t>
  </si>
  <si>
    <t>DI7.9</t>
  </si>
  <si>
    <t>DI7.10</t>
  </si>
  <si>
    <t>DI7.11</t>
  </si>
  <si>
    <t>DI7.12</t>
  </si>
  <si>
    <t>MAF2_3</t>
  </si>
  <si>
    <t>Roeder</t>
  </si>
  <si>
    <t>DI7.13</t>
  </si>
  <si>
    <t>DI7.14</t>
  </si>
  <si>
    <t>DI7.15</t>
  </si>
  <si>
    <t>DI7.16</t>
  </si>
  <si>
    <t>DI7.17</t>
  </si>
  <si>
    <t>DI7.18</t>
  </si>
  <si>
    <t>DI7.19</t>
  </si>
  <si>
    <t>DI7.20</t>
  </si>
  <si>
    <t>DI7.21</t>
  </si>
  <si>
    <t>DI7.22</t>
  </si>
  <si>
    <t>DI7.23</t>
  </si>
  <si>
    <t>DI8.1</t>
  </si>
  <si>
    <t>DI8.2</t>
  </si>
  <si>
    <t>DI8.3</t>
  </si>
  <si>
    <t>DI8.4</t>
  </si>
  <si>
    <t>DI8.5</t>
  </si>
  <si>
    <t>DI8.6</t>
  </si>
  <si>
    <t>DI8.7</t>
  </si>
  <si>
    <t>DI8.8</t>
  </si>
  <si>
    <t>DI8.9</t>
  </si>
  <si>
    <t>DI8.10</t>
  </si>
  <si>
    <t>DI8.11</t>
  </si>
  <si>
    <t>DI8.12</t>
  </si>
  <si>
    <t>DI8.13</t>
  </si>
  <si>
    <t>DI8.14</t>
  </si>
  <si>
    <t>DI8.15</t>
  </si>
  <si>
    <t>DI8.16</t>
  </si>
  <si>
    <t>DI8.25</t>
  </si>
  <si>
    <t>DI8.26</t>
  </si>
  <si>
    <t>DI8.27</t>
  </si>
  <si>
    <t>DI8.28</t>
  </si>
  <si>
    <t>DI8.29</t>
  </si>
  <si>
    <t>DI8.30</t>
  </si>
  <si>
    <t>DI8.31</t>
  </si>
  <si>
    <t>DI8.32</t>
  </si>
  <si>
    <t>DO5.1</t>
  </si>
  <si>
    <t>DO5.4</t>
  </si>
  <si>
    <t>DO5.5</t>
  </si>
  <si>
    <t>DO5.6</t>
  </si>
  <si>
    <t>DO5.7</t>
  </si>
  <si>
    <t>DO5.8</t>
  </si>
  <si>
    <t>DO5.9</t>
  </si>
  <si>
    <t>DO5.10</t>
  </si>
  <si>
    <t>DO5.11</t>
  </si>
  <si>
    <t>DO5.12</t>
  </si>
  <si>
    <t>DO5.13</t>
  </si>
  <si>
    <t>DO5.14</t>
  </si>
  <si>
    <t>DO5.15</t>
  </si>
  <si>
    <t>DO5.16</t>
  </si>
  <si>
    <t>DO5.17</t>
  </si>
  <si>
    <t>DO5.18</t>
  </si>
  <si>
    <t>DO5.19</t>
  </si>
  <si>
    <t>DO5.21</t>
  </si>
  <si>
    <t>DO5.20</t>
  </si>
  <si>
    <t>DO5.22</t>
  </si>
  <si>
    <t>DO5.23</t>
  </si>
  <si>
    <t>DO5.24</t>
  </si>
  <si>
    <t>DO5.25</t>
  </si>
  <si>
    <t>DO5.26</t>
  </si>
  <si>
    <t>DO5.27</t>
  </si>
  <si>
    <t>DO5.28</t>
  </si>
  <si>
    <t>DO5.29</t>
  </si>
  <si>
    <t>DO6.1</t>
  </si>
  <si>
    <t>DO6.2</t>
  </si>
  <si>
    <t>DO6.3</t>
  </si>
  <si>
    <t>DO6.4</t>
  </si>
  <si>
    <t>DO6.5</t>
  </si>
  <si>
    <t>DO6.6</t>
  </si>
  <si>
    <t>DO6.7</t>
  </si>
  <si>
    <t>M5_38</t>
  </si>
  <si>
    <t>DO6.8</t>
  </si>
  <si>
    <t>DO6.9</t>
  </si>
  <si>
    <t>DO6.10</t>
  </si>
  <si>
    <t>DO6.11</t>
  </si>
  <si>
    <t>Out0</t>
  </si>
  <si>
    <t>DO6.12</t>
  </si>
  <si>
    <t>DO6.13</t>
  </si>
  <si>
    <t>DO6.14</t>
  </si>
  <si>
    <t>DO6.15</t>
  </si>
  <si>
    <t>DO6.16</t>
  </si>
  <si>
    <t>DO6.17</t>
  </si>
  <si>
    <t>DO6.18</t>
  </si>
  <si>
    <t>DO6.19</t>
  </si>
  <si>
    <t>DO6.20</t>
  </si>
  <si>
    <t>DO6.22</t>
  </si>
  <si>
    <t>DO6.21</t>
  </si>
  <si>
    <t>DO6.23</t>
  </si>
  <si>
    <t>DO7.1</t>
  </si>
  <si>
    <t>DO7.2</t>
  </si>
  <si>
    <t>DO7.3</t>
  </si>
  <si>
    <t>DO7.4</t>
  </si>
  <si>
    <t>DO7.5</t>
  </si>
  <si>
    <t>DO7.6</t>
  </si>
  <si>
    <t>DO7.7</t>
  </si>
  <si>
    <t>M5_29_KA</t>
  </si>
  <si>
    <t>Kegel airlift M5_29</t>
  </si>
  <si>
    <t>DO7.8</t>
  </si>
  <si>
    <t>DO7.9</t>
  </si>
  <si>
    <t>M5_11C</t>
  </si>
  <si>
    <t>Klep 11C</t>
  </si>
  <si>
    <t>DO7.11</t>
  </si>
  <si>
    <t>M5_31B</t>
  </si>
  <si>
    <t>Klep aan regelklep buffersilo</t>
  </si>
  <si>
    <t>DO7.10</t>
  </si>
  <si>
    <t>M5_29_LB</t>
  </si>
  <si>
    <t>Klep leegloop blower</t>
  </si>
  <si>
    <t>DO7.12</t>
  </si>
  <si>
    <t>ST501</t>
  </si>
  <si>
    <t>ST502</t>
  </si>
  <si>
    <t>ST503</t>
  </si>
  <si>
    <t>VT502</t>
  </si>
  <si>
    <t>GT501</t>
  </si>
  <si>
    <t>PT505</t>
  </si>
  <si>
    <t>GT502</t>
  </si>
  <si>
    <t>IT501</t>
  </si>
  <si>
    <t>IT502</t>
  </si>
  <si>
    <t>IT503</t>
  </si>
  <si>
    <t>IT504</t>
  </si>
  <si>
    <t>IT505</t>
  </si>
  <si>
    <t>ST508</t>
  </si>
  <si>
    <t>GT503</t>
  </si>
  <si>
    <t>PT503</t>
  </si>
  <si>
    <t>PT504</t>
  </si>
  <si>
    <t>PT506</t>
  </si>
  <si>
    <t>SNT501</t>
  </si>
  <si>
    <t>Snelheid M5_18 sep1</t>
  </si>
  <si>
    <t>Snelheid M5_25 sep2</t>
  </si>
  <si>
    <t>Snelheid M5_46 Hos</t>
  </si>
  <si>
    <t>Servo pos MAF2_2</t>
  </si>
  <si>
    <t>Tonnage M5_32 weegband</t>
  </si>
  <si>
    <t>Druk blower airlift</t>
  </si>
  <si>
    <t>Tonnage M5_34 weegband</t>
  </si>
  <si>
    <t>Stroom M5_1 vent.</t>
  </si>
  <si>
    <t>Stroom M5_19 vent. S1</t>
  </si>
  <si>
    <t>Stroom M5_26 vent. S2</t>
  </si>
  <si>
    <t>Stroom M5_29 airlift</t>
  </si>
  <si>
    <t>Stroom MAF2_1 vent. F2</t>
  </si>
  <si>
    <t>Snelheid M5_56 keienband</t>
  </si>
  <si>
    <t>Gewicht M5_56 keienband</t>
  </si>
  <si>
    <t>Onderdruk afzuiging M5</t>
  </si>
  <si>
    <t>Onderdruk aan hosakawa</t>
  </si>
  <si>
    <t>Verschildruk aan filter MAF2</t>
  </si>
  <si>
    <t>Snelheid M5_1 vent.</t>
  </si>
  <si>
    <t>AI2.1</t>
  </si>
  <si>
    <t>AI2.2</t>
  </si>
  <si>
    <t>AI2.3</t>
  </si>
  <si>
    <t>AI2.5</t>
  </si>
  <si>
    <t>AI2.7</t>
  </si>
  <si>
    <t>AI2.8</t>
  </si>
  <si>
    <t>AI2.9</t>
  </si>
  <si>
    <t>AI2.14</t>
  </si>
  <si>
    <t>AI2.15</t>
  </si>
  <si>
    <t>AI2.16</t>
  </si>
  <si>
    <t>AI2.17</t>
  </si>
  <si>
    <t>AI2.18</t>
  </si>
  <si>
    <t>AI2.19</t>
  </si>
  <si>
    <t>AI2.20</t>
  </si>
  <si>
    <t>AI2.23</t>
  </si>
  <si>
    <t>AI2.24</t>
  </si>
  <si>
    <t>AI2.25</t>
  </si>
  <si>
    <t>AI2.39</t>
  </si>
  <si>
    <t>AO</t>
  </si>
  <si>
    <t>M5FA901</t>
  </si>
  <si>
    <t>M5FI901</t>
  </si>
  <si>
    <t>M5SC901</t>
  </si>
  <si>
    <t>M5SC911</t>
  </si>
  <si>
    <t>M5RV912</t>
  </si>
  <si>
    <t>M5RV911</t>
  </si>
  <si>
    <t>M5SC903</t>
  </si>
  <si>
    <t>M5RV312</t>
  </si>
  <si>
    <t>M5SC321</t>
  </si>
  <si>
    <t>M5RV311</t>
  </si>
  <si>
    <t>M5SC322</t>
  </si>
  <si>
    <t>M5FA141</t>
  </si>
  <si>
    <t>M5FA302</t>
  </si>
  <si>
    <t>M5RV301</t>
  </si>
  <si>
    <t>M5RS301</t>
  </si>
  <si>
    <t>M5SVA322</t>
  </si>
  <si>
    <t>M5SC222</t>
  </si>
  <si>
    <t>M5SVA301</t>
  </si>
  <si>
    <t>M5FA301</t>
  </si>
  <si>
    <t>M5RV212</t>
  </si>
  <si>
    <t>M5RV211</t>
  </si>
  <si>
    <t>M5SC221</t>
  </si>
  <si>
    <t>M5SVA221</t>
  </si>
  <si>
    <t>M5SVA222</t>
  </si>
  <si>
    <t>M5FA601</t>
  </si>
  <si>
    <t>M5RS201</t>
  </si>
  <si>
    <t>M5FA202</t>
  </si>
  <si>
    <t>M5RV201</t>
  </si>
  <si>
    <t>M5SVA501</t>
  </si>
  <si>
    <t>M5RS501M1</t>
  </si>
  <si>
    <t>M5RS501M2</t>
  </si>
  <si>
    <t>M5RV501</t>
  </si>
  <si>
    <t>M5_KL_56A</t>
  </si>
  <si>
    <t>M5_KL_56B</t>
  </si>
  <si>
    <t>M5SVA324</t>
  </si>
  <si>
    <t>M5SVA325</t>
  </si>
  <si>
    <t>M5FA501</t>
  </si>
  <si>
    <t>M5SVA201</t>
  </si>
  <si>
    <t>M5FA201</t>
  </si>
  <si>
    <t>M5_62</t>
  </si>
  <si>
    <t>M5TA112</t>
  </si>
  <si>
    <t>M5LSH602</t>
  </si>
  <si>
    <t>M5LSH601</t>
  </si>
  <si>
    <t>M5_KL_58A</t>
  </si>
  <si>
    <t>M5_KL_58B</t>
  </si>
  <si>
    <t>M5SVA903</t>
  </si>
  <si>
    <t>M5SVA904</t>
  </si>
  <si>
    <t>M5_60</t>
  </si>
  <si>
    <t>M5BL401</t>
  </si>
  <si>
    <t>M5_60V</t>
  </si>
  <si>
    <t>M5BL401FA1</t>
  </si>
  <si>
    <t>M5RV901</t>
  </si>
  <si>
    <t>M5RV902</t>
  </si>
  <si>
    <t>M5_30</t>
  </si>
  <si>
    <t>M5MI101</t>
  </si>
  <si>
    <t>M5BL131</t>
  </si>
  <si>
    <t>M5SC301</t>
  </si>
  <si>
    <t>M5LSH111</t>
  </si>
  <si>
    <t>M5SC111</t>
  </si>
  <si>
    <t>M5BE111</t>
  </si>
  <si>
    <t>M5BC112</t>
  </si>
  <si>
    <t>M5BC111</t>
  </si>
  <si>
    <t>M5SVA111</t>
  </si>
  <si>
    <t>M5BC101</t>
  </si>
  <si>
    <t>M5SC101</t>
  </si>
  <si>
    <t>M5VG112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</si>
</sst>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5" tint="0.59999389629810485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21">
    <xf numFmtId="0" fontId="0" fillId="0" borderId="0" xfId="0"/>
    <xf numFmtId="0" fontId="2" fillId="0" borderId="1" xfId="0" applyFont="1" applyBorder="1"/>
    <xf numFmtId="0" fontId="1" fillId="3" borderId="2" xfId="2" applyBorder="1"/>
    <xf numFmtId="0" fontId="1" fillId="2" borderId="0" xfId="1"/>
    <xf numFmtId="0" fontId="1" fillId="2" borderId="1" xfId="1" applyBorder="1"/>
    <xf numFmtId="0" fontId="1" fillId="2" borderId="0" xfId="1" applyBorder="1"/>
    <xf numFmtId="0" fontId="1" fillId="2" borderId="2" xfId="1" applyBorder="1"/>
    <xf numFmtId="0" fontId="1" fillId="2" borderId="0" xfId="1" applyAlignment="1">
      <alignment vertical="top"/>
    </xf>
    <xf numFmtId="0" fontId="1" fillId="4" borderId="2" xfId="3" applyBorder="1"/>
    <xf numFmtId="0" fontId="2" fillId="0" borderId="3" xfId="0" applyFont="1" applyBorder="1"/>
    <xf numFmtId="0" fontId="1" fillId="2" borderId="3" xfId="1" applyBorder="1" applyAlignment="1">
      <alignment vertical="top"/>
    </xf>
    <xf numFmtId="0" fontId="1" fillId="2" borderId="3" xfId="1" applyBorder="1" applyAlignment="1">
      <alignment vertical="top" wrapText="1"/>
    </xf>
    <xf numFmtId="0" fontId="1" fillId="2" borderId="3" xfId="1" quotePrefix="1" applyBorder="1" applyAlignment="1">
      <alignment vertical="top"/>
    </xf>
    <xf numFmtId="0" fontId="1" fillId="2" borderId="3" xfId="1" applyBorder="1"/>
    <xf numFmtId="0" fontId="1" fillId="2" borderId="3" xfId="1" quotePrefix="1" applyBorder="1"/>
    <xf numFmtId="0" fontId="1" fillId="3" borderId="3" xfId="2" applyBorder="1"/>
    <xf numFmtId="0" fontId="0" fillId="3" borderId="3" xfId="2" applyFont="1" applyBorder="1"/>
    <xf numFmtId="0" fontId="1" fillId="4" borderId="3" xfId="3" applyBorder="1"/>
    <xf numFmtId="0" fontId="0" fillId="4" borderId="3" xfId="3" applyFont="1" applyBorder="1"/>
    <xf numFmtId="0" fontId="0" fillId="0" borderId="3" xfId="0" applyBorder="1"/>
    <xf numFmtId="0" fontId="1" fillId="5" borderId="3" xfId="4" applyBorder="1"/>
  </cellXfs>
  <cellStyles count="5">
    <cellStyle name="20% - Accent1" xfId="1" builtinId="30"/>
    <cellStyle name="20% - Accent2" xfId="2" builtinId="34"/>
    <cellStyle name="40% - Accent2" xfId="4" builtinId="35"/>
    <cellStyle name="40% - Accent4" xfId="3" builtinId="4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3"/>
  <sheetViews>
    <sheetView tabSelected="1" zoomScale="110" zoomScaleNormal="110" workbookViewId="0">
      <pane ySplit="1" topLeftCell="A118" activePane="bottomLeft" state="frozen"/>
      <selection pane="bottomLeft" activeCell="H124" sqref="H121:H124"/>
    </sheetView>
  </sheetViews>
  <sheetFormatPr defaultRowHeight="14.25"/>
  <cols>
    <col min="1" max="2" width="14.375" style="19" customWidth="1"/>
    <col min="3" max="3" width="40.125" style="19" bestFit="1" customWidth="1"/>
    <col min="4" max="4" width="13.375" style="19" customWidth="1"/>
    <col min="5" max="5" width="13.625" style="19" bestFit="1" customWidth="1"/>
    <col min="6" max="6" width="12.375" style="19" customWidth="1"/>
    <col min="7" max="9" width="12.625" style="19" bestFit="1" customWidth="1"/>
    <col min="10" max="10" width="9.125" style="19"/>
    <col min="11" max="11" width="11.625" style="19" bestFit="1" customWidth="1"/>
    <col min="12" max="12" width="9.125" style="19"/>
  </cols>
  <sheetData>
    <row r="1" spans="1:12" s="1" customFormat="1" ht="15">
      <c r="A1" s="9" t="s">
        <v>0</v>
      </c>
      <c r="B1" s="9" t="s">
        <v>157</v>
      </c>
      <c r="C1" s="9" t="s">
        <v>2</v>
      </c>
      <c r="D1" s="9" t="s">
        <v>377</v>
      </c>
      <c r="E1" s="9" t="s">
        <v>3</v>
      </c>
      <c r="F1" s="9" t="s">
        <v>112</v>
      </c>
      <c r="G1" s="9" t="s">
        <v>73</v>
      </c>
      <c r="H1" s="9" t="s">
        <v>4</v>
      </c>
      <c r="I1" s="9" t="s">
        <v>33</v>
      </c>
      <c r="J1" s="9" t="s">
        <v>5</v>
      </c>
      <c r="K1" s="9" t="s">
        <v>133</v>
      </c>
      <c r="L1" s="9" t="s">
        <v>464</v>
      </c>
    </row>
    <row r="2" spans="1:12" s="7" customFormat="1" ht="28.5">
      <c r="A2" s="10" t="s">
        <v>1</v>
      </c>
      <c r="B2" s="10"/>
      <c r="C2" s="11" t="s">
        <v>8</v>
      </c>
      <c r="D2" s="11"/>
      <c r="E2" s="12" t="s">
        <v>6</v>
      </c>
      <c r="F2" s="12" t="s">
        <v>6</v>
      </c>
      <c r="G2" s="12" t="s">
        <v>6</v>
      </c>
      <c r="H2" s="12" t="s">
        <v>6</v>
      </c>
      <c r="I2" s="12"/>
      <c r="J2" s="10" t="s">
        <v>7</v>
      </c>
      <c r="K2" s="10"/>
      <c r="L2" s="10"/>
    </row>
    <row r="3" spans="1:12" s="3" customFormat="1">
      <c r="A3" s="13" t="s">
        <v>9</v>
      </c>
      <c r="B3" s="13"/>
      <c r="C3" s="13" t="s">
        <v>10</v>
      </c>
      <c r="D3" s="13"/>
      <c r="E3" s="14" t="s">
        <v>6</v>
      </c>
      <c r="F3" s="14" t="s">
        <v>6</v>
      </c>
      <c r="G3" s="14" t="s">
        <v>6</v>
      </c>
      <c r="H3" s="13" t="s">
        <v>11</v>
      </c>
      <c r="I3" s="13"/>
      <c r="J3" s="13"/>
      <c r="K3" s="13"/>
      <c r="L3" s="13"/>
    </row>
    <row r="4" spans="1:12" s="4" customFormat="1">
      <c r="A4" s="13" t="s">
        <v>12</v>
      </c>
      <c r="B4" s="13"/>
      <c r="C4" s="13" t="s">
        <v>13</v>
      </c>
      <c r="D4" s="13"/>
      <c r="E4" s="14" t="s">
        <v>6</v>
      </c>
      <c r="F4" s="14" t="s">
        <v>6</v>
      </c>
      <c r="G4" s="14" t="s">
        <v>6</v>
      </c>
      <c r="H4" s="13" t="s">
        <v>14</v>
      </c>
      <c r="I4" s="13"/>
      <c r="J4" s="13"/>
      <c r="K4" s="13"/>
      <c r="L4" s="13"/>
    </row>
    <row r="5" spans="1:12" s="5" customFormat="1">
      <c r="A5" s="13" t="s">
        <v>19</v>
      </c>
      <c r="B5" s="13"/>
      <c r="C5" s="13" t="s">
        <v>20</v>
      </c>
      <c r="D5" s="13"/>
      <c r="E5" s="14" t="s">
        <v>107</v>
      </c>
      <c r="F5" s="14"/>
      <c r="G5" s="14"/>
      <c r="H5" s="13" t="s">
        <v>21</v>
      </c>
      <c r="I5" s="13"/>
      <c r="J5" s="13"/>
      <c r="K5" s="13"/>
      <c r="L5" s="13"/>
    </row>
    <row r="6" spans="1:12" s="4" customFormat="1">
      <c r="A6" s="13" t="s">
        <v>22</v>
      </c>
      <c r="B6" s="13"/>
      <c r="C6" s="13" t="s">
        <v>10</v>
      </c>
      <c r="D6" s="13"/>
      <c r="E6" s="14" t="s">
        <v>6</v>
      </c>
      <c r="F6" s="14" t="s">
        <v>6</v>
      </c>
      <c r="G6" s="14" t="s">
        <v>6</v>
      </c>
      <c r="H6" s="13" t="s">
        <v>23</v>
      </c>
      <c r="I6" s="13"/>
      <c r="J6" s="13"/>
      <c r="K6" s="13"/>
      <c r="L6" s="13"/>
    </row>
    <row r="7" spans="1:12" s="3" customFormat="1">
      <c r="A7" s="13" t="s">
        <v>15</v>
      </c>
      <c r="B7" s="13"/>
      <c r="C7" s="13" t="s">
        <v>16</v>
      </c>
      <c r="D7" s="13"/>
      <c r="E7" s="14" t="s">
        <v>6</v>
      </c>
      <c r="F7" s="14" t="s">
        <v>6</v>
      </c>
      <c r="G7" s="14" t="s">
        <v>6</v>
      </c>
      <c r="H7" s="14" t="s">
        <v>6</v>
      </c>
      <c r="I7" s="14"/>
      <c r="J7" s="13" t="s">
        <v>7</v>
      </c>
      <c r="K7" s="13"/>
      <c r="L7" s="13"/>
    </row>
    <row r="8" spans="1:12" s="4" customFormat="1">
      <c r="A8" s="13" t="s">
        <v>17</v>
      </c>
      <c r="B8" s="13"/>
      <c r="C8" s="13" t="s">
        <v>13</v>
      </c>
      <c r="D8" s="13"/>
      <c r="E8" s="14" t="s">
        <v>6</v>
      </c>
      <c r="F8" s="14" t="s">
        <v>6</v>
      </c>
      <c r="G8" s="14" t="s">
        <v>6</v>
      </c>
      <c r="H8" s="14" t="s">
        <v>18</v>
      </c>
      <c r="I8" s="14"/>
      <c r="J8" s="13"/>
      <c r="K8" s="13"/>
      <c r="L8" s="13"/>
    </row>
    <row r="9" spans="1:12" s="5" customFormat="1">
      <c r="A9" s="13" t="s">
        <v>24</v>
      </c>
      <c r="B9" s="13"/>
      <c r="C9" s="13" t="s">
        <v>25</v>
      </c>
      <c r="D9" s="13"/>
      <c r="E9" s="14" t="s">
        <v>110</v>
      </c>
      <c r="F9" s="14" t="s">
        <v>6</v>
      </c>
      <c r="G9" s="14" t="s">
        <v>6</v>
      </c>
      <c r="H9" s="14" t="s">
        <v>6</v>
      </c>
      <c r="I9" s="14"/>
      <c r="J9" s="13"/>
      <c r="K9" s="13"/>
      <c r="L9" s="13"/>
    </row>
    <row r="10" spans="1:12" s="4" customFormat="1">
      <c r="A10" s="13" t="s">
        <v>109</v>
      </c>
      <c r="B10" s="13"/>
      <c r="C10" s="13" t="s">
        <v>108</v>
      </c>
      <c r="D10" s="13"/>
      <c r="E10" s="14" t="s">
        <v>6</v>
      </c>
      <c r="F10" s="14" t="s">
        <v>6</v>
      </c>
      <c r="G10" s="14" t="s">
        <v>6</v>
      </c>
      <c r="H10" s="13" t="s">
        <v>26</v>
      </c>
      <c r="I10" s="13"/>
      <c r="J10" s="13"/>
      <c r="K10" s="13"/>
      <c r="L10" s="13"/>
    </row>
    <row r="11" spans="1:12" s="3" customFormat="1">
      <c r="A11" s="13" t="s">
        <v>27</v>
      </c>
      <c r="B11" s="13"/>
      <c r="C11" s="13" t="s">
        <v>28</v>
      </c>
      <c r="D11" s="13"/>
      <c r="E11" s="14" t="s">
        <v>111</v>
      </c>
      <c r="F11" s="14" t="s">
        <v>6</v>
      </c>
      <c r="G11" s="14" t="s">
        <v>6</v>
      </c>
      <c r="H11" s="13" t="s">
        <v>29</v>
      </c>
      <c r="I11" s="13"/>
      <c r="J11" s="13"/>
      <c r="K11" s="13"/>
      <c r="L11" s="13"/>
    </row>
    <row r="12" spans="1:12" s="4" customFormat="1">
      <c r="A12" s="13" t="s">
        <v>27</v>
      </c>
      <c r="B12" s="13"/>
      <c r="C12" s="13" t="s">
        <v>10</v>
      </c>
      <c r="D12" s="13"/>
      <c r="E12" s="14" t="s">
        <v>6</v>
      </c>
      <c r="F12" s="14" t="s">
        <v>6</v>
      </c>
      <c r="G12" s="14" t="s">
        <v>6</v>
      </c>
      <c r="H12" s="13" t="s">
        <v>30</v>
      </c>
      <c r="I12" s="13"/>
      <c r="J12" s="13"/>
      <c r="K12" s="13"/>
      <c r="L12" s="13"/>
    </row>
    <row r="13" spans="1:12" s="3" customFormat="1">
      <c r="A13" s="13" t="s">
        <v>31</v>
      </c>
      <c r="B13" s="13"/>
      <c r="C13" s="13" t="s">
        <v>32</v>
      </c>
      <c r="D13" s="13"/>
      <c r="E13" s="14" t="s">
        <v>114</v>
      </c>
      <c r="F13" s="14" t="s">
        <v>113</v>
      </c>
      <c r="G13" s="14" t="s">
        <v>6</v>
      </c>
      <c r="H13" s="13" t="s">
        <v>34</v>
      </c>
      <c r="I13" s="13" t="s">
        <v>35</v>
      </c>
      <c r="J13" s="13"/>
      <c r="K13" s="13"/>
      <c r="L13" s="13"/>
    </row>
    <row r="14" spans="1:12" s="4" customFormat="1">
      <c r="A14" s="13" t="s">
        <v>37</v>
      </c>
      <c r="B14" s="13"/>
      <c r="C14" s="13" t="s">
        <v>10</v>
      </c>
      <c r="D14" s="13"/>
      <c r="E14" s="14" t="s">
        <v>6</v>
      </c>
      <c r="F14" s="14" t="s">
        <v>6</v>
      </c>
      <c r="G14" s="14" t="s">
        <v>6</v>
      </c>
      <c r="H14" s="13" t="s">
        <v>36</v>
      </c>
      <c r="I14" s="13"/>
      <c r="J14" s="13"/>
      <c r="K14" s="13"/>
      <c r="L14" s="13"/>
    </row>
    <row r="15" spans="1:12" s="3" customFormat="1">
      <c r="A15" s="13" t="s">
        <v>38</v>
      </c>
      <c r="B15" s="13"/>
      <c r="C15" s="13" t="s">
        <v>32</v>
      </c>
      <c r="D15" s="13"/>
      <c r="E15" s="14" t="s">
        <v>116</v>
      </c>
      <c r="F15" s="14" t="s">
        <v>115</v>
      </c>
      <c r="G15" s="14" t="s">
        <v>6</v>
      </c>
      <c r="H15" s="13" t="s">
        <v>39</v>
      </c>
      <c r="I15" s="13" t="s">
        <v>40</v>
      </c>
      <c r="J15" s="13"/>
      <c r="K15" s="13"/>
      <c r="L15" s="13"/>
    </row>
    <row r="16" spans="1:12" s="4" customFormat="1">
      <c r="A16" s="13" t="s">
        <v>41</v>
      </c>
      <c r="B16" s="13"/>
      <c r="C16" s="13" t="s">
        <v>10</v>
      </c>
      <c r="D16" s="13"/>
      <c r="E16" s="14" t="s">
        <v>6</v>
      </c>
      <c r="F16" s="14" t="s">
        <v>6</v>
      </c>
      <c r="G16" s="14" t="s">
        <v>6</v>
      </c>
      <c r="H16" s="13" t="s">
        <v>42</v>
      </c>
      <c r="I16" s="13"/>
      <c r="J16" s="13"/>
      <c r="K16" s="13"/>
      <c r="L16" s="13"/>
    </row>
    <row r="17" spans="1:12" s="3" customFormat="1">
      <c r="A17" s="13" t="s">
        <v>43</v>
      </c>
      <c r="B17" s="13"/>
      <c r="C17" s="13" t="s">
        <v>44</v>
      </c>
      <c r="D17" s="13"/>
      <c r="E17" s="14" t="s">
        <v>117</v>
      </c>
      <c r="F17" s="14" t="s">
        <v>6</v>
      </c>
      <c r="G17" s="14" t="s">
        <v>6</v>
      </c>
      <c r="H17" s="13" t="s">
        <v>45</v>
      </c>
      <c r="I17" s="13"/>
      <c r="J17" s="13"/>
      <c r="K17" s="13"/>
      <c r="L17" s="13"/>
    </row>
    <row r="18" spans="1:12" s="4" customFormat="1">
      <c r="A18" s="13" t="s">
        <v>47</v>
      </c>
      <c r="B18" s="13"/>
      <c r="C18" s="13" t="s">
        <v>10</v>
      </c>
      <c r="D18" s="13"/>
      <c r="E18" s="14" t="s">
        <v>6</v>
      </c>
      <c r="F18" s="14" t="s">
        <v>6</v>
      </c>
      <c r="G18" s="14" t="s">
        <v>6</v>
      </c>
      <c r="H18" s="13" t="s">
        <v>46</v>
      </c>
      <c r="I18" s="13"/>
      <c r="J18" s="13"/>
      <c r="K18" s="13"/>
      <c r="L18" s="13"/>
    </row>
    <row r="19" spans="1:12" s="3" customFormat="1">
      <c r="A19" s="13" t="s">
        <v>48</v>
      </c>
      <c r="B19" s="13"/>
      <c r="C19" s="13" t="s">
        <v>49</v>
      </c>
      <c r="D19" s="13"/>
      <c r="E19" s="14" t="s">
        <v>118</v>
      </c>
      <c r="F19" s="14" t="s">
        <v>6</v>
      </c>
      <c r="G19" s="14" t="s">
        <v>6</v>
      </c>
      <c r="H19" s="13" t="s">
        <v>50</v>
      </c>
      <c r="I19" s="13"/>
      <c r="J19" s="13"/>
      <c r="K19" s="13"/>
      <c r="L19" s="13"/>
    </row>
    <row r="20" spans="1:12" s="3" customFormat="1">
      <c r="A20" s="13" t="s">
        <v>51</v>
      </c>
      <c r="B20" s="13"/>
      <c r="C20" s="13" t="s">
        <v>10</v>
      </c>
      <c r="D20" s="13"/>
      <c r="E20" s="14" t="s">
        <v>6</v>
      </c>
      <c r="F20" s="14" t="s">
        <v>6</v>
      </c>
      <c r="G20" s="14" t="s">
        <v>6</v>
      </c>
      <c r="H20" s="13" t="s">
        <v>52</v>
      </c>
      <c r="I20" s="13"/>
      <c r="J20" s="13"/>
      <c r="K20" s="13"/>
      <c r="L20" s="13"/>
    </row>
    <row r="21" spans="1:12" s="4" customFormat="1">
      <c r="A21" s="13" t="s">
        <v>53</v>
      </c>
      <c r="B21" s="13"/>
      <c r="C21" s="13" t="s">
        <v>54</v>
      </c>
      <c r="D21" s="13"/>
      <c r="E21" s="14" t="s">
        <v>6</v>
      </c>
      <c r="F21" s="14" t="s">
        <v>6</v>
      </c>
      <c r="G21" s="14" t="s">
        <v>6</v>
      </c>
      <c r="H21" s="13" t="s">
        <v>55</v>
      </c>
      <c r="I21" s="13"/>
      <c r="J21" s="13"/>
      <c r="K21" s="13"/>
      <c r="L21" s="13"/>
    </row>
    <row r="22" spans="1:12" s="3" customFormat="1">
      <c r="A22" s="13" t="s">
        <v>56</v>
      </c>
      <c r="B22" s="13"/>
      <c r="C22" s="13" t="s">
        <v>57</v>
      </c>
      <c r="D22" s="13"/>
      <c r="E22" s="14" t="s">
        <v>119</v>
      </c>
      <c r="F22" s="14" t="s">
        <v>6</v>
      </c>
      <c r="G22" s="14" t="s">
        <v>6</v>
      </c>
      <c r="H22" s="13" t="s">
        <v>58</v>
      </c>
      <c r="I22" s="13"/>
      <c r="J22" s="13"/>
      <c r="K22" s="13"/>
      <c r="L22" s="13"/>
    </row>
    <row r="23" spans="1:12" s="3" customFormat="1">
      <c r="A23" s="13" t="s">
        <v>59</v>
      </c>
      <c r="B23" s="13"/>
      <c r="C23" s="13" t="s">
        <v>10</v>
      </c>
      <c r="D23" s="13"/>
      <c r="E23" s="14" t="s">
        <v>6</v>
      </c>
      <c r="F23" s="14" t="s">
        <v>6</v>
      </c>
      <c r="G23" s="14" t="s">
        <v>6</v>
      </c>
      <c r="H23" s="13" t="s">
        <v>60</v>
      </c>
      <c r="I23" s="13"/>
      <c r="J23" s="13"/>
      <c r="K23" s="13"/>
      <c r="L23" s="13"/>
    </row>
    <row r="24" spans="1:12" s="4" customFormat="1">
      <c r="A24" s="13" t="s">
        <v>61</v>
      </c>
      <c r="B24" s="13"/>
      <c r="C24" s="13" t="s">
        <v>54</v>
      </c>
      <c r="D24" s="13"/>
      <c r="E24" s="14" t="s">
        <v>6</v>
      </c>
      <c r="F24" s="14" t="s">
        <v>6</v>
      </c>
      <c r="G24" s="14" t="s">
        <v>6</v>
      </c>
      <c r="H24" s="13" t="s">
        <v>62</v>
      </c>
      <c r="I24" s="13"/>
      <c r="J24" s="13"/>
      <c r="K24" s="13"/>
      <c r="L24" s="13"/>
    </row>
    <row r="25" spans="1:12" s="3" customFormat="1">
      <c r="A25" s="13" t="s">
        <v>63</v>
      </c>
      <c r="B25" s="13"/>
      <c r="C25" s="13" t="s">
        <v>64</v>
      </c>
      <c r="D25" s="13"/>
      <c r="E25" s="14" t="s">
        <v>6</v>
      </c>
      <c r="F25" s="14" t="s">
        <v>6</v>
      </c>
      <c r="G25" s="14" t="s">
        <v>6</v>
      </c>
      <c r="H25" s="14" t="s">
        <v>6</v>
      </c>
      <c r="I25" s="13"/>
      <c r="J25" s="13" t="s">
        <v>65</v>
      </c>
      <c r="K25" s="13"/>
      <c r="L25" s="13"/>
    </row>
    <row r="26" spans="1:12" s="3" customFormat="1">
      <c r="A26" s="13" t="s">
        <v>66</v>
      </c>
      <c r="B26" s="13"/>
      <c r="C26" s="13" t="s">
        <v>10</v>
      </c>
      <c r="D26" s="13"/>
      <c r="E26" s="14" t="s">
        <v>6</v>
      </c>
      <c r="F26" s="14" t="s">
        <v>6</v>
      </c>
      <c r="G26" s="14" t="s">
        <v>6</v>
      </c>
      <c r="H26" s="13" t="s">
        <v>67</v>
      </c>
      <c r="I26" s="13"/>
      <c r="J26" s="13"/>
      <c r="K26" s="13"/>
      <c r="L26" s="13"/>
    </row>
    <row r="27" spans="1:12" s="3" customFormat="1">
      <c r="A27" s="13" t="s">
        <v>68</v>
      </c>
      <c r="B27" s="13"/>
      <c r="C27" s="13" t="s">
        <v>54</v>
      </c>
      <c r="D27" s="13"/>
      <c r="E27" s="14" t="s">
        <v>6</v>
      </c>
      <c r="F27" s="14" t="s">
        <v>6</v>
      </c>
      <c r="G27" s="14" t="s">
        <v>6</v>
      </c>
      <c r="H27" s="13" t="s">
        <v>69</v>
      </c>
      <c r="I27" s="13"/>
      <c r="J27" s="13"/>
      <c r="K27" s="13"/>
      <c r="L27" s="13"/>
    </row>
    <row r="28" spans="1:12" s="4" customFormat="1">
      <c r="A28" s="13" t="s">
        <v>70</v>
      </c>
      <c r="B28" s="13"/>
      <c r="C28" s="13" t="s">
        <v>13</v>
      </c>
      <c r="D28" s="13"/>
      <c r="E28" s="14" t="s">
        <v>6</v>
      </c>
      <c r="F28" s="14" t="s">
        <v>6</v>
      </c>
      <c r="G28" s="14" t="s">
        <v>6</v>
      </c>
      <c r="H28" s="13" t="s">
        <v>71</v>
      </c>
      <c r="I28" s="13"/>
      <c r="J28" s="13"/>
      <c r="K28" s="13"/>
      <c r="L28" s="13"/>
    </row>
    <row r="29" spans="1:12" s="6" customFormat="1">
      <c r="A29" s="13" t="s">
        <v>72</v>
      </c>
      <c r="B29" s="13"/>
      <c r="C29" s="13" t="s">
        <v>128</v>
      </c>
      <c r="D29" s="13"/>
      <c r="E29" s="13" t="s">
        <v>120</v>
      </c>
      <c r="F29" s="14" t="s">
        <v>6</v>
      </c>
      <c r="G29" s="13" t="s">
        <v>74</v>
      </c>
      <c r="H29" s="13"/>
      <c r="I29" s="13"/>
      <c r="J29" s="13"/>
      <c r="K29" s="13"/>
      <c r="L29" s="13"/>
    </row>
    <row r="30" spans="1:12" s="6" customFormat="1">
      <c r="A30" s="13" t="s">
        <v>75</v>
      </c>
      <c r="B30" s="13"/>
      <c r="C30" s="13" t="s">
        <v>128</v>
      </c>
      <c r="D30" s="13"/>
      <c r="E30" s="14" t="s">
        <v>121</v>
      </c>
      <c r="F30" s="14" t="s">
        <v>6</v>
      </c>
      <c r="G30" s="13" t="s">
        <v>76</v>
      </c>
      <c r="H30" s="13"/>
      <c r="I30" s="13"/>
      <c r="J30" s="13"/>
      <c r="K30" s="13"/>
      <c r="L30" s="13"/>
    </row>
    <row r="31" spans="1:12" s="6" customFormat="1">
      <c r="A31" s="13" t="s">
        <v>77</v>
      </c>
      <c r="B31" s="13"/>
      <c r="C31" s="13" t="s">
        <v>129</v>
      </c>
      <c r="D31" s="13"/>
      <c r="E31" s="14" t="s">
        <v>122</v>
      </c>
      <c r="F31" s="14" t="s">
        <v>6</v>
      </c>
      <c r="G31" s="13" t="s">
        <v>79</v>
      </c>
      <c r="H31" s="13" t="s">
        <v>78</v>
      </c>
      <c r="I31" s="13"/>
      <c r="J31" s="13"/>
      <c r="K31" s="13"/>
      <c r="L31" s="13"/>
    </row>
    <row r="32" spans="1:12" s="6" customFormat="1">
      <c r="A32" s="13" t="s">
        <v>80</v>
      </c>
      <c r="B32" s="13"/>
      <c r="C32" s="13" t="s">
        <v>129</v>
      </c>
      <c r="D32" s="13"/>
      <c r="E32" s="14" t="s">
        <v>123</v>
      </c>
      <c r="F32" s="14" t="s">
        <v>6</v>
      </c>
      <c r="G32" s="13" t="s">
        <v>82</v>
      </c>
      <c r="H32" s="13" t="s">
        <v>81</v>
      </c>
      <c r="I32" s="13"/>
      <c r="J32" s="13"/>
      <c r="K32" s="13"/>
      <c r="L32" s="13"/>
    </row>
    <row r="33" spans="1:12" s="6" customFormat="1">
      <c r="A33" s="13" t="s">
        <v>83</v>
      </c>
      <c r="B33" s="13"/>
      <c r="C33" s="13" t="s">
        <v>130</v>
      </c>
      <c r="D33" s="13"/>
      <c r="E33" s="14" t="s">
        <v>124</v>
      </c>
      <c r="F33" s="14" t="s">
        <v>6</v>
      </c>
      <c r="G33" s="13" t="s">
        <v>85</v>
      </c>
      <c r="H33" s="13" t="s">
        <v>84</v>
      </c>
      <c r="I33" s="13"/>
      <c r="J33" s="13"/>
      <c r="K33" s="13"/>
      <c r="L33" s="13"/>
    </row>
    <row r="34" spans="1:12" s="6" customFormat="1">
      <c r="A34" s="13" t="s">
        <v>86</v>
      </c>
      <c r="B34" s="13"/>
      <c r="C34" s="13" t="s">
        <v>131</v>
      </c>
      <c r="D34" s="13"/>
      <c r="E34" s="14" t="s">
        <v>125</v>
      </c>
      <c r="F34" s="14" t="s">
        <v>6</v>
      </c>
      <c r="G34" s="13" t="s">
        <v>88</v>
      </c>
      <c r="H34" s="13" t="s">
        <v>87</v>
      </c>
      <c r="I34" s="13"/>
      <c r="J34" s="13"/>
      <c r="K34" s="13"/>
      <c r="L34" s="13"/>
    </row>
    <row r="35" spans="1:12" s="6" customFormat="1">
      <c r="A35" s="13" t="s">
        <v>89</v>
      </c>
      <c r="B35" s="13"/>
      <c r="C35" s="13" t="s">
        <v>132</v>
      </c>
      <c r="D35" s="13"/>
      <c r="E35" s="14" t="s">
        <v>126</v>
      </c>
      <c r="F35" s="14" t="s">
        <v>6</v>
      </c>
      <c r="G35" s="13" t="s">
        <v>91</v>
      </c>
      <c r="H35" s="13" t="s">
        <v>90</v>
      </c>
      <c r="I35" s="13"/>
      <c r="J35" s="13"/>
      <c r="K35" s="13"/>
      <c r="L35" s="13"/>
    </row>
    <row r="36" spans="1:12" s="6" customFormat="1">
      <c r="A36" s="13" t="s">
        <v>92</v>
      </c>
      <c r="B36" s="13"/>
      <c r="C36" s="13" t="s">
        <v>132</v>
      </c>
      <c r="D36" s="13"/>
      <c r="E36" s="14" t="s">
        <v>127</v>
      </c>
      <c r="F36" s="14" t="s">
        <v>6</v>
      </c>
      <c r="G36" s="13" t="s">
        <v>94</v>
      </c>
      <c r="H36" s="13" t="s">
        <v>93</v>
      </c>
      <c r="I36" s="13"/>
      <c r="J36" s="13"/>
      <c r="K36" s="13"/>
      <c r="L36" s="13"/>
    </row>
    <row r="37" spans="1:12" s="6" customFormat="1">
      <c r="A37" s="13" t="s">
        <v>95</v>
      </c>
      <c r="B37" s="13"/>
      <c r="C37" s="13" t="s">
        <v>96</v>
      </c>
      <c r="D37" s="13"/>
      <c r="E37" s="14" t="s">
        <v>6</v>
      </c>
      <c r="F37" s="14" t="s">
        <v>6</v>
      </c>
      <c r="G37" s="14" t="s">
        <v>6</v>
      </c>
      <c r="H37" s="13" t="s">
        <v>97</v>
      </c>
      <c r="I37" s="13"/>
      <c r="J37" s="13"/>
      <c r="K37" s="13"/>
      <c r="L37" s="13"/>
    </row>
    <row r="38" spans="1:12" s="6" customFormat="1">
      <c r="A38" s="13" t="s">
        <v>98</v>
      </c>
      <c r="B38" s="13"/>
      <c r="C38" s="13" t="s">
        <v>99</v>
      </c>
      <c r="D38" s="13"/>
      <c r="E38" s="14" t="s">
        <v>6</v>
      </c>
      <c r="F38" s="14" t="s">
        <v>6</v>
      </c>
      <c r="G38" s="14" t="s">
        <v>6</v>
      </c>
      <c r="H38" s="13" t="s">
        <v>100</v>
      </c>
      <c r="I38" s="13"/>
      <c r="J38" s="13"/>
      <c r="K38" s="13"/>
      <c r="L38" s="13"/>
    </row>
    <row r="39" spans="1:12" s="6" customFormat="1">
      <c r="A39" s="13" t="s">
        <v>101</v>
      </c>
      <c r="B39" s="13"/>
      <c r="C39" s="13" t="s">
        <v>102</v>
      </c>
      <c r="D39" s="13"/>
      <c r="E39" s="14" t="s">
        <v>6</v>
      </c>
      <c r="F39" s="14" t="s">
        <v>6</v>
      </c>
      <c r="G39" s="14" t="s">
        <v>6</v>
      </c>
      <c r="H39" s="13" t="s">
        <v>103</v>
      </c>
      <c r="I39" s="13"/>
      <c r="J39" s="13"/>
      <c r="K39" s="13"/>
      <c r="L39" s="13"/>
    </row>
    <row r="40" spans="1:12" s="6" customFormat="1">
      <c r="A40" s="13" t="s">
        <v>104</v>
      </c>
      <c r="B40" s="13"/>
      <c r="C40" s="13" t="s">
        <v>105</v>
      </c>
      <c r="D40" s="13"/>
      <c r="E40" s="14" t="s">
        <v>6</v>
      </c>
      <c r="F40" s="14" t="s">
        <v>6</v>
      </c>
      <c r="G40" s="14" t="s">
        <v>6</v>
      </c>
      <c r="H40" s="13" t="s">
        <v>106</v>
      </c>
      <c r="I40" s="13"/>
      <c r="J40" s="13"/>
      <c r="K40" s="13"/>
      <c r="L40" s="13"/>
    </row>
    <row r="41" spans="1:12" s="6" customFormat="1">
      <c r="A41" s="13" t="s">
        <v>134</v>
      </c>
      <c r="B41" s="13"/>
      <c r="C41" s="13" t="s">
        <v>135</v>
      </c>
      <c r="D41" s="13"/>
      <c r="E41" s="13"/>
      <c r="F41" s="13"/>
      <c r="G41" s="13"/>
      <c r="H41" s="13"/>
      <c r="I41" s="13"/>
      <c r="J41" s="13"/>
      <c r="K41" s="13" t="s">
        <v>136</v>
      </c>
      <c r="L41" s="13"/>
    </row>
    <row r="42" spans="1:12" s="6" customFormat="1">
      <c r="A42" s="13" t="s">
        <v>137</v>
      </c>
      <c r="B42" s="13"/>
      <c r="C42" s="13" t="s">
        <v>138</v>
      </c>
      <c r="D42" s="13"/>
      <c r="E42" s="13"/>
      <c r="F42" s="13"/>
      <c r="G42" s="13"/>
      <c r="H42" s="13"/>
      <c r="I42" s="13"/>
      <c r="J42" s="13"/>
      <c r="K42" s="13" t="s">
        <v>139</v>
      </c>
      <c r="L42" s="13"/>
    </row>
    <row r="43" spans="1:12" s="6" customFormat="1">
      <c r="A43" s="13" t="s">
        <v>140</v>
      </c>
      <c r="B43" s="13"/>
      <c r="C43" s="13" t="s">
        <v>141</v>
      </c>
      <c r="D43" s="13"/>
      <c r="E43" s="13"/>
      <c r="F43" s="13"/>
      <c r="G43" s="13"/>
      <c r="H43" s="13"/>
      <c r="I43" s="13"/>
      <c r="J43" s="13"/>
      <c r="K43" s="13" t="s">
        <v>142</v>
      </c>
      <c r="L43" s="13"/>
    </row>
    <row r="45" spans="1:12" s="2" customFormat="1">
      <c r="B45" s="15" t="s">
        <v>143</v>
      </c>
      <c r="C45" s="15" t="s">
        <v>144</v>
      </c>
      <c r="D45" s="15"/>
      <c r="E45" s="16" t="s">
        <v>154</v>
      </c>
      <c r="F45" s="15"/>
      <c r="G45" s="15"/>
      <c r="H45" s="15" t="s">
        <v>145</v>
      </c>
      <c r="I45" s="15"/>
      <c r="J45" s="15"/>
      <c r="K45" s="15"/>
      <c r="L45" s="15"/>
    </row>
    <row r="46" spans="1:12" s="2" customFormat="1">
      <c r="B46" s="15" t="s">
        <v>146</v>
      </c>
      <c r="C46" s="15" t="s">
        <v>147</v>
      </c>
      <c r="D46" s="15"/>
      <c r="E46" s="16" t="s">
        <v>155</v>
      </c>
      <c r="F46" s="15"/>
      <c r="G46" s="15" t="s">
        <v>149</v>
      </c>
      <c r="H46" s="15" t="s">
        <v>148</v>
      </c>
      <c r="I46" s="15"/>
      <c r="J46" s="15"/>
      <c r="K46" s="15"/>
      <c r="L46" s="15"/>
    </row>
    <row r="47" spans="1:12" s="2" customFormat="1">
      <c r="B47" s="15" t="s">
        <v>150</v>
      </c>
      <c r="C47" s="15" t="s">
        <v>151</v>
      </c>
      <c r="D47" s="15"/>
      <c r="E47" s="16" t="s">
        <v>156</v>
      </c>
      <c r="F47" s="15"/>
      <c r="G47" s="15" t="s">
        <v>153</v>
      </c>
      <c r="H47" s="15" t="s">
        <v>152</v>
      </c>
      <c r="I47" s="15"/>
      <c r="J47" s="15"/>
      <c r="K47" s="15"/>
      <c r="L47" s="15"/>
    </row>
    <row r="50" spans="1:13" s="8" customFormat="1">
      <c r="A50" s="17"/>
      <c r="B50" s="18" t="s">
        <v>414</v>
      </c>
      <c r="C50" s="18" t="s">
        <v>432</v>
      </c>
      <c r="D50" s="17"/>
      <c r="E50" s="17"/>
      <c r="F50" s="17"/>
      <c r="G50" s="17"/>
      <c r="H50" s="17"/>
      <c r="I50" s="17"/>
      <c r="J50" s="17"/>
      <c r="K50" s="18" t="s">
        <v>450</v>
      </c>
      <c r="L50" s="17"/>
      <c r="M50" s="8" t="e">
        <f t="shared" ref="M50:M60" si="0">MAX(VALUE(MID(A50,5,1)),VALUE(MID(A50,6,1)))</f>
        <v>#VALUE!</v>
      </c>
    </row>
    <row r="51" spans="1:13" s="8" customFormat="1">
      <c r="A51" s="17"/>
      <c r="B51" s="18" t="s">
        <v>416</v>
      </c>
      <c r="C51" s="18" t="s">
        <v>434</v>
      </c>
      <c r="D51" s="17"/>
      <c r="E51" s="17"/>
      <c r="F51" s="17"/>
      <c r="G51" s="17"/>
      <c r="H51" s="17"/>
      <c r="I51" s="17"/>
      <c r="J51" s="17"/>
      <c r="K51" s="18" t="s">
        <v>452</v>
      </c>
      <c r="L51" s="17"/>
      <c r="M51" s="8" t="e">
        <f t="shared" si="0"/>
        <v>#VALUE!</v>
      </c>
    </row>
    <row r="52" spans="1:13" s="8" customFormat="1">
      <c r="A52" s="17"/>
      <c r="B52" s="18" t="s">
        <v>423</v>
      </c>
      <c r="C52" s="18" t="s">
        <v>441</v>
      </c>
      <c r="D52" s="17"/>
      <c r="E52" s="17"/>
      <c r="F52" s="17"/>
      <c r="G52" s="17"/>
      <c r="H52" s="17"/>
      <c r="I52" s="17"/>
      <c r="J52" s="17"/>
      <c r="K52" s="18" t="s">
        <v>459</v>
      </c>
      <c r="L52" s="17"/>
      <c r="M52" s="8" t="e">
        <f t="shared" si="0"/>
        <v>#VALUE!</v>
      </c>
    </row>
    <row r="53" spans="1:13" s="8" customFormat="1">
      <c r="A53" s="17"/>
      <c r="B53" s="18" t="s">
        <v>417</v>
      </c>
      <c r="C53" s="18" t="s">
        <v>435</v>
      </c>
      <c r="D53" s="17"/>
      <c r="E53" s="17"/>
      <c r="F53" s="17"/>
      <c r="G53" s="17"/>
      <c r="H53" s="17"/>
      <c r="I53" s="17"/>
      <c r="J53" s="17"/>
      <c r="K53" s="18" t="s">
        <v>453</v>
      </c>
      <c r="L53" s="17"/>
      <c r="M53" s="8" t="e">
        <f t="shared" si="0"/>
        <v>#VALUE!</v>
      </c>
    </row>
    <row r="54" spans="1:13" s="8" customFormat="1">
      <c r="A54" s="17"/>
      <c r="B54" s="18" t="s">
        <v>418</v>
      </c>
      <c r="C54" s="18" t="s">
        <v>436</v>
      </c>
      <c r="D54" s="17"/>
      <c r="E54" s="17"/>
      <c r="F54" s="17"/>
      <c r="G54" s="17"/>
      <c r="H54" s="17"/>
      <c r="I54" s="17"/>
      <c r="J54" s="17"/>
      <c r="K54" s="18" t="s">
        <v>454</v>
      </c>
      <c r="L54" s="17"/>
      <c r="M54" s="8" t="e">
        <f t="shared" si="0"/>
        <v>#VALUE!</v>
      </c>
    </row>
    <row r="55" spans="1:13" s="8" customFormat="1">
      <c r="A55" s="17"/>
      <c r="B55" s="18" t="s">
        <v>419</v>
      </c>
      <c r="C55" s="18" t="s">
        <v>437</v>
      </c>
      <c r="D55" s="17"/>
      <c r="E55" s="17"/>
      <c r="F55" s="17"/>
      <c r="G55" s="17"/>
      <c r="H55" s="17"/>
      <c r="I55" s="17"/>
      <c r="J55" s="17"/>
      <c r="K55" s="18" t="s">
        <v>455</v>
      </c>
      <c r="L55" s="17"/>
      <c r="M55" s="8" t="e">
        <f t="shared" si="0"/>
        <v>#VALUE!</v>
      </c>
    </row>
    <row r="56" spans="1:13" s="8" customFormat="1">
      <c r="A56" s="17"/>
      <c r="B56" s="18" t="s">
        <v>420</v>
      </c>
      <c r="C56" s="18" t="s">
        <v>438</v>
      </c>
      <c r="D56" s="17"/>
      <c r="E56" s="17"/>
      <c r="F56" s="17"/>
      <c r="G56" s="17"/>
      <c r="H56" s="17"/>
      <c r="I56" s="17"/>
      <c r="J56" s="17"/>
      <c r="K56" s="18" t="s">
        <v>456</v>
      </c>
      <c r="L56" s="17"/>
      <c r="M56" s="8" t="e">
        <f t="shared" si="0"/>
        <v>#VALUE!</v>
      </c>
    </row>
    <row r="57" spans="1:13" s="8" customFormat="1">
      <c r="A57" s="17"/>
      <c r="B57" s="18" t="s">
        <v>421</v>
      </c>
      <c r="C57" s="18" t="s">
        <v>439</v>
      </c>
      <c r="D57" s="17"/>
      <c r="E57" s="17"/>
      <c r="F57" s="17"/>
      <c r="G57" s="17"/>
      <c r="H57" s="17"/>
      <c r="I57" s="17"/>
      <c r="J57" s="17"/>
      <c r="K57" s="18" t="s">
        <v>457</v>
      </c>
      <c r="L57" s="17"/>
      <c r="M57" s="8" t="e">
        <f t="shared" si="0"/>
        <v>#VALUE!</v>
      </c>
    </row>
    <row r="58" spans="1:13" s="8" customFormat="1">
      <c r="A58" s="17"/>
      <c r="B58" s="17" t="s">
        <v>250</v>
      </c>
      <c r="C58" s="17" t="s">
        <v>281</v>
      </c>
      <c r="D58" s="17"/>
      <c r="E58" s="17"/>
      <c r="F58" s="17"/>
      <c r="G58" s="17"/>
      <c r="H58" s="17" t="s">
        <v>330</v>
      </c>
      <c r="I58" s="17"/>
      <c r="J58" s="17"/>
      <c r="K58" s="17"/>
      <c r="L58" s="17"/>
      <c r="M58" s="8" t="e">
        <f t="shared" si="0"/>
        <v>#VALUE!</v>
      </c>
    </row>
    <row r="59" spans="1:13" s="8" customFormat="1">
      <c r="A59" s="17"/>
      <c r="B59" s="17" t="s">
        <v>251</v>
      </c>
      <c r="C59" s="17" t="s">
        <v>282</v>
      </c>
      <c r="D59" s="17"/>
      <c r="E59" s="17"/>
      <c r="F59" s="17"/>
      <c r="G59" s="17"/>
      <c r="H59" s="17" t="s">
        <v>331</v>
      </c>
      <c r="I59" s="17"/>
      <c r="J59" s="17"/>
      <c r="K59" s="17"/>
      <c r="L59" s="17"/>
      <c r="M59" s="8" t="e">
        <f t="shared" si="0"/>
        <v>#VALUE!</v>
      </c>
    </row>
    <row r="60" spans="1:13" s="8" customFormat="1">
      <c r="A60" s="17"/>
      <c r="B60" s="17" t="s">
        <v>252</v>
      </c>
      <c r="C60" s="17" t="s">
        <v>283</v>
      </c>
      <c r="D60" s="17"/>
      <c r="E60" s="17"/>
      <c r="F60" s="17"/>
      <c r="G60" s="17"/>
      <c r="H60" s="17" t="s">
        <v>332</v>
      </c>
      <c r="I60" s="17"/>
      <c r="J60" s="17"/>
      <c r="K60" s="17"/>
      <c r="L60" s="17"/>
      <c r="M60" s="8" t="e">
        <f t="shared" si="0"/>
        <v>#VALUE!</v>
      </c>
    </row>
    <row r="61" spans="1:13" s="8" customFormat="1">
      <c r="A61" s="18" t="s">
        <v>506</v>
      </c>
      <c r="B61" s="17" t="s">
        <v>253</v>
      </c>
      <c r="C61" s="17" t="s">
        <v>284</v>
      </c>
      <c r="D61" s="17"/>
      <c r="E61" s="17"/>
      <c r="F61" s="17"/>
      <c r="G61" s="17"/>
      <c r="H61" s="17" t="s">
        <v>333</v>
      </c>
      <c r="I61" s="17"/>
      <c r="J61" s="17"/>
      <c r="K61" s="17"/>
      <c r="L61" s="17"/>
      <c r="M61" s="8">
        <v>6</v>
      </c>
    </row>
    <row r="62" spans="1:13" s="8" customFormat="1">
      <c r="A62" s="18" t="s">
        <v>522</v>
      </c>
      <c r="B62" s="17" t="s">
        <v>254</v>
      </c>
      <c r="C62" s="17" t="s">
        <v>285</v>
      </c>
      <c r="D62" s="17"/>
      <c r="E62" s="17"/>
      <c r="F62" s="17"/>
      <c r="G62" s="17"/>
      <c r="H62" s="17" t="s">
        <v>334</v>
      </c>
      <c r="I62" s="17"/>
      <c r="J62" s="17"/>
      <c r="K62" s="17"/>
      <c r="L62" s="17"/>
      <c r="M62" s="8">
        <v>1</v>
      </c>
    </row>
    <row r="63" spans="1:13" s="8" customFormat="1">
      <c r="A63" s="18" t="s">
        <v>507</v>
      </c>
      <c r="B63" s="17" t="s">
        <v>255</v>
      </c>
      <c r="C63" s="17" t="s">
        <v>286</v>
      </c>
      <c r="D63" s="17"/>
      <c r="E63" s="17"/>
      <c r="F63" s="17"/>
      <c r="G63" s="17"/>
      <c r="H63" s="17" t="s">
        <v>335</v>
      </c>
      <c r="I63" s="17"/>
      <c r="J63" s="17"/>
      <c r="K63" s="17"/>
      <c r="L63" s="17"/>
      <c r="M63" s="8">
        <v>6</v>
      </c>
    </row>
    <row r="64" spans="1:13" s="8" customFormat="1">
      <c r="A64" s="18" t="s">
        <v>465</v>
      </c>
      <c r="B64" s="17" t="s">
        <v>158</v>
      </c>
      <c r="C64" s="17" t="s">
        <v>44</v>
      </c>
      <c r="D64" s="17"/>
      <c r="E64" s="18" t="s">
        <v>338</v>
      </c>
      <c r="F64" s="17"/>
      <c r="G64" s="17"/>
      <c r="H64" s="17" t="s">
        <v>159</v>
      </c>
      <c r="I64" s="17"/>
      <c r="J64" s="17"/>
      <c r="K64" s="17"/>
      <c r="L64" s="17"/>
      <c r="M64" s="8">
        <f>MAX(VALUE(MID(A64,5,1)),VALUE(MID(A64,6,1)))</f>
        <v>9</v>
      </c>
    </row>
    <row r="65" spans="1:13" s="8" customFormat="1">
      <c r="A65" s="18" t="s">
        <v>516</v>
      </c>
      <c r="B65" s="17" t="s">
        <v>166</v>
      </c>
      <c r="C65" s="17" t="s">
        <v>187</v>
      </c>
      <c r="D65" s="17"/>
      <c r="E65" s="18" t="s">
        <v>345</v>
      </c>
      <c r="F65" s="17"/>
      <c r="G65" s="17"/>
      <c r="H65" s="17" t="s">
        <v>204</v>
      </c>
      <c r="I65" s="17"/>
      <c r="J65" s="17"/>
      <c r="K65" s="17"/>
      <c r="L65" s="17"/>
      <c r="M65" s="8">
        <f>MAX(VALUE(MID(A65,5,1)),VALUE(MID(A65,6,1)))</f>
        <v>9</v>
      </c>
    </row>
    <row r="66" spans="1:13" s="8" customFormat="1">
      <c r="A66" s="18" t="s">
        <v>480</v>
      </c>
      <c r="B66" s="17" t="s">
        <v>244</v>
      </c>
      <c r="C66" s="17" t="s">
        <v>274</v>
      </c>
      <c r="D66" s="17"/>
      <c r="E66" s="18" t="s">
        <v>391</v>
      </c>
      <c r="F66" s="17"/>
      <c r="G66" s="17" t="s">
        <v>317</v>
      </c>
      <c r="H66" s="17" t="s">
        <v>316</v>
      </c>
      <c r="I66" s="17"/>
      <c r="J66" s="17"/>
      <c r="K66" s="17"/>
      <c r="L66" s="17"/>
      <c r="M66" s="8">
        <v>3</v>
      </c>
    </row>
    <row r="67" spans="1:13" s="8" customFormat="1">
      <c r="A67" s="18" t="s">
        <v>487</v>
      </c>
      <c r="B67" s="17" t="s">
        <v>245</v>
      </c>
      <c r="C67" s="17" t="s">
        <v>275</v>
      </c>
      <c r="D67" s="17"/>
      <c r="E67" s="18" t="s">
        <v>392</v>
      </c>
      <c r="F67" s="17"/>
      <c r="G67" s="17" t="s">
        <v>319</v>
      </c>
      <c r="H67" s="17" t="s">
        <v>318</v>
      </c>
      <c r="I67" s="17"/>
      <c r="J67" s="17"/>
      <c r="K67" s="17"/>
      <c r="L67" s="17"/>
      <c r="M67" s="8">
        <v>2</v>
      </c>
    </row>
    <row r="68" spans="1:13" s="8" customFormat="1">
      <c r="A68" s="18" t="s">
        <v>488</v>
      </c>
      <c r="B68" s="18" t="s">
        <v>401</v>
      </c>
      <c r="C68" s="18" t="s">
        <v>402</v>
      </c>
      <c r="D68" s="17"/>
      <c r="E68" s="18" t="s">
        <v>403</v>
      </c>
      <c r="F68" s="17"/>
      <c r="G68" s="17"/>
      <c r="H68" s="20" t="s">
        <v>11</v>
      </c>
      <c r="I68" s="17"/>
      <c r="J68" s="17"/>
      <c r="K68" s="17"/>
      <c r="L68" s="17"/>
      <c r="M68" s="8">
        <v>2</v>
      </c>
    </row>
    <row r="69" spans="1:13" s="8" customFormat="1">
      <c r="A69" s="18" t="s">
        <v>473</v>
      </c>
      <c r="B69" s="17" t="s">
        <v>167</v>
      </c>
      <c r="C69" s="17" t="s">
        <v>186</v>
      </c>
      <c r="D69" s="17"/>
      <c r="E69" s="18" t="s">
        <v>346</v>
      </c>
      <c r="F69" s="17"/>
      <c r="G69" s="17"/>
      <c r="H69" s="17" t="s">
        <v>205</v>
      </c>
      <c r="I69" s="17"/>
      <c r="J69" s="17"/>
      <c r="K69" s="17"/>
      <c r="L69" s="17"/>
      <c r="M69" s="8">
        <f t="shared" ref="M69:M84" si="1">MAX(VALUE(MID(A69,5,1)),VALUE(MID(A69,6,1)))</f>
        <v>3</v>
      </c>
    </row>
    <row r="70" spans="1:13" s="8" customFormat="1">
      <c r="A70" s="18" t="s">
        <v>474</v>
      </c>
      <c r="B70" s="17" t="s">
        <v>168</v>
      </c>
      <c r="C70" s="17" t="s">
        <v>187</v>
      </c>
      <c r="D70" s="17"/>
      <c r="E70" s="18" t="s">
        <v>347</v>
      </c>
      <c r="F70" s="17"/>
      <c r="G70" s="17"/>
      <c r="H70" s="17" t="s">
        <v>206</v>
      </c>
      <c r="I70" s="17"/>
      <c r="J70" s="17"/>
      <c r="K70" s="17"/>
      <c r="L70" s="17"/>
      <c r="M70" s="8">
        <f t="shared" si="1"/>
        <v>3</v>
      </c>
    </row>
    <row r="71" spans="1:13" s="8" customFormat="1">
      <c r="A71" s="18" t="s">
        <v>472</v>
      </c>
      <c r="B71" s="17" t="s">
        <v>169</v>
      </c>
      <c r="C71" s="17" t="s">
        <v>187</v>
      </c>
      <c r="D71" s="17"/>
      <c r="E71" s="18" t="s">
        <v>348</v>
      </c>
      <c r="F71" s="17"/>
      <c r="G71" s="17"/>
      <c r="H71" s="17" t="s">
        <v>207</v>
      </c>
      <c r="I71" s="17"/>
      <c r="J71" s="17"/>
      <c r="K71" s="17"/>
      <c r="L71" s="17"/>
      <c r="M71" s="8">
        <f t="shared" si="1"/>
        <v>3</v>
      </c>
    </row>
    <row r="72" spans="1:13" s="8" customFormat="1">
      <c r="A72" s="18" t="s">
        <v>523</v>
      </c>
      <c r="B72" s="17" t="s">
        <v>170</v>
      </c>
      <c r="C72" s="17" t="s">
        <v>189</v>
      </c>
      <c r="D72" s="17"/>
      <c r="E72" s="18" t="s">
        <v>349</v>
      </c>
      <c r="F72" s="17"/>
      <c r="G72" s="17"/>
      <c r="H72" s="17" t="s">
        <v>208</v>
      </c>
      <c r="I72" s="17"/>
      <c r="J72" s="17"/>
      <c r="K72" s="17"/>
      <c r="L72" s="17"/>
      <c r="M72" s="8">
        <f t="shared" si="1"/>
        <v>1</v>
      </c>
    </row>
    <row r="73" spans="1:13" s="8" customFormat="1">
      <c r="A73" s="18" t="s">
        <v>521</v>
      </c>
      <c r="B73" s="17" t="s">
        <v>171</v>
      </c>
      <c r="C73" s="17" t="s">
        <v>186</v>
      </c>
      <c r="D73" s="17"/>
      <c r="E73" s="18" t="s">
        <v>350</v>
      </c>
      <c r="F73" s="17"/>
      <c r="G73" s="17"/>
      <c r="H73" s="17" t="s">
        <v>209</v>
      </c>
      <c r="I73" s="17"/>
      <c r="J73" s="17"/>
      <c r="K73" s="17"/>
      <c r="L73" s="17"/>
      <c r="M73" s="8">
        <f t="shared" si="1"/>
        <v>3</v>
      </c>
    </row>
    <row r="74" spans="1:13" s="8" customFormat="1">
      <c r="A74" s="18" t="s">
        <v>478</v>
      </c>
      <c r="B74" s="17" t="s">
        <v>172</v>
      </c>
      <c r="C74" s="17" t="s">
        <v>187</v>
      </c>
      <c r="D74" s="17"/>
      <c r="E74" s="18" t="s">
        <v>351</v>
      </c>
      <c r="F74" s="17"/>
      <c r="G74" s="17"/>
      <c r="H74" s="17" t="s">
        <v>210</v>
      </c>
      <c r="I74" s="17"/>
      <c r="J74" s="17"/>
      <c r="K74" s="17"/>
      <c r="L74" s="17"/>
      <c r="M74" s="8">
        <f t="shared" si="1"/>
        <v>3</v>
      </c>
    </row>
    <row r="75" spans="1:13" s="8" customFormat="1">
      <c r="A75" s="18" t="s">
        <v>479</v>
      </c>
      <c r="B75" s="17" t="s">
        <v>173</v>
      </c>
      <c r="C75" s="17" t="s">
        <v>190</v>
      </c>
      <c r="D75" s="17"/>
      <c r="E75" s="18" t="s">
        <v>352</v>
      </c>
      <c r="F75" s="17"/>
      <c r="G75" s="17"/>
      <c r="H75" s="17" t="s">
        <v>211</v>
      </c>
      <c r="I75" s="17"/>
      <c r="J75" s="17"/>
      <c r="K75" s="17"/>
      <c r="L75" s="17"/>
      <c r="M75" s="8">
        <f t="shared" si="1"/>
        <v>3</v>
      </c>
    </row>
    <row r="76" spans="1:13" s="8" customFormat="1">
      <c r="A76" s="18" t="s">
        <v>483</v>
      </c>
      <c r="B76" s="17" t="s">
        <v>174</v>
      </c>
      <c r="C76" s="17" t="s">
        <v>191</v>
      </c>
      <c r="D76" s="17"/>
      <c r="E76" s="18" t="s">
        <v>353</v>
      </c>
      <c r="F76" s="17"/>
      <c r="G76" s="17"/>
      <c r="H76" s="17" t="s">
        <v>212</v>
      </c>
      <c r="I76" s="17"/>
      <c r="J76" s="17"/>
      <c r="K76" s="17"/>
      <c r="L76" s="17"/>
      <c r="M76" s="8">
        <f t="shared" si="1"/>
        <v>3</v>
      </c>
    </row>
    <row r="77" spans="1:13" s="8" customFormat="1">
      <c r="A77" s="18" t="s">
        <v>477</v>
      </c>
      <c r="B77" s="17" t="s">
        <v>175</v>
      </c>
      <c r="C77" s="17" t="s">
        <v>192</v>
      </c>
      <c r="D77" s="17"/>
      <c r="E77" s="18" t="s">
        <v>354</v>
      </c>
      <c r="F77" s="17"/>
      <c r="G77" s="17"/>
      <c r="H77" s="17" t="s">
        <v>213</v>
      </c>
      <c r="I77" s="17"/>
      <c r="J77" s="17"/>
      <c r="K77" s="17"/>
      <c r="L77" s="17"/>
      <c r="M77" s="8">
        <f t="shared" si="1"/>
        <v>3</v>
      </c>
    </row>
    <row r="78" spans="1:13" s="8" customFormat="1">
      <c r="A78" s="18" t="s">
        <v>486</v>
      </c>
      <c r="B78" s="17" t="s">
        <v>176</v>
      </c>
      <c r="C78" s="17" t="s">
        <v>193</v>
      </c>
      <c r="D78" s="17"/>
      <c r="E78" s="18" t="s">
        <v>355</v>
      </c>
      <c r="F78" s="18" t="s">
        <v>356</v>
      </c>
      <c r="G78" s="17"/>
      <c r="H78" s="17" t="s">
        <v>214</v>
      </c>
      <c r="I78" s="17" t="s">
        <v>215</v>
      </c>
      <c r="J78" s="17"/>
      <c r="K78" s="17"/>
      <c r="L78" s="17"/>
      <c r="M78" s="8">
        <f t="shared" si="1"/>
        <v>2</v>
      </c>
    </row>
    <row r="79" spans="1:13" s="8" customFormat="1">
      <c r="A79" s="18" t="s">
        <v>485</v>
      </c>
      <c r="B79" s="17" t="s">
        <v>177</v>
      </c>
      <c r="C79" s="17" t="s">
        <v>187</v>
      </c>
      <c r="D79" s="17"/>
      <c r="E79" s="18" t="s">
        <v>357</v>
      </c>
      <c r="F79" s="17"/>
      <c r="G79" s="17"/>
      <c r="H79" s="17" t="s">
        <v>216</v>
      </c>
      <c r="I79" s="17"/>
      <c r="J79" s="17"/>
      <c r="K79" s="17"/>
      <c r="L79" s="17"/>
      <c r="M79" s="8">
        <f t="shared" si="1"/>
        <v>2</v>
      </c>
    </row>
    <row r="80" spans="1:13" s="8" customFormat="1">
      <c r="A80" s="18" t="s">
        <v>484</v>
      </c>
      <c r="B80" s="17" t="s">
        <v>178</v>
      </c>
      <c r="C80" s="17" t="s">
        <v>187</v>
      </c>
      <c r="D80" s="17"/>
      <c r="E80" s="18" t="s">
        <v>358</v>
      </c>
      <c r="F80" s="17"/>
      <c r="G80" s="17"/>
      <c r="H80" s="17" t="s">
        <v>217</v>
      </c>
      <c r="I80" s="17"/>
      <c r="J80" s="17"/>
      <c r="K80" s="17"/>
      <c r="L80" s="17"/>
      <c r="M80" s="8">
        <f t="shared" si="1"/>
        <v>2</v>
      </c>
    </row>
    <row r="81" spans="1:13" s="8" customFormat="1">
      <c r="A81" s="18" t="s">
        <v>492</v>
      </c>
      <c r="B81" s="17" t="s">
        <v>179</v>
      </c>
      <c r="C81" s="17" t="s">
        <v>187</v>
      </c>
      <c r="D81" s="17"/>
      <c r="E81" s="18" t="s">
        <v>359</v>
      </c>
      <c r="F81" s="17"/>
      <c r="G81" s="17"/>
      <c r="H81" s="17" t="s">
        <v>218</v>
      </c>
      <c r="I81" s="17"/>
      <c r="J81" s="17"/>
      <c r="K81" s="17"/>
      <c r="L81" s="17"/>
      <c r="M81" s="8">
        <f t="shared" si="1"/>
        <v>2</v>
      </c>
    </row>
    <row r="82" spans="1:13" s="8" customFormat="1">
      <c r="A82" s="18" t="s">
        <v>490</v>
      </c>
      <c r="B82" s="17" t="s">
        <v>180</v>
      </c>
      <c r="C82" s="17" t="s">
        <v>194</v>
      </c>
      <c r="D82" s="17"/>
      <c r="E82" s="18" t="s">
        <v>360</v>
      </c>
      <c r="F82" s="17"/>
      <c r="G82" s="17"/>
      <c r="H82" s="17" t="s">
        <v>219</v>
      </c>
      <c r="I82" s="17"/>
      <c r="J82" s="17"/>
      <c r="K82" s="17"/>
      <c r="L82" s="17"/>
      <c r="M82" s="8">
        <f t="shared" si="1"/>
        <v>2</v>
      </c>
    </row>
    <row r="83" spans="1:13" s="8" customFormat="1">
      <c r="A83" s="18" t="s">
        <v>503</v>
      </c>
      <c r="B83" s="17" t="s">
        <v>181</v>
      </c>
      <c r="C83" s="17" t="s">
        <v>195</v>
      </c>
      <c r="D83" s="17"/>
      <c r="E83" s="18" t="s">
        <v>361</v>
      </c>
      <c r="F83" s="17"/>
      <c r="G83" s="17"/>
      <c r="H83" s="17" t="s">
        <v>220</v>
      </c>
      <c r="I83" s="17"/>
      <c r="J83" s="17"/>
      <c r="K83" s="17"/>
      <c r="L83" s="17"/>
      <c r="M83" s="8">
        <f t="shared" si="1"/>
        <v>2</v>
      </c>
    </row>
    <row r="84" spans="1:13" s="8" customFormat="1">
      <c r="A84" s="18" t="s">
        <v>491</v>
      </c>
      <c r="B84" s="17" t="s">
        <v>182</v>
      </c>
      <c r="C84" s="17" t="s">
        <v>196</v>
      </c>
      <c r="D84" s="17"/>
      <c r="E84" s="18" t="s">
        <v>362</v>
      </c>
      <c r="F84" s="17"/>
      <c r="G84" s="17"/>
      <c r="H84" s="17" t="s">
        <v>221</v>
      </c>
      <c r="I84" s="17"/>
      <c r="J84" s="17"/>
      <c r="K84" s="17"/>
      <c r="L84" s="17"/>
      <c r="M84" s="8">
        <f t="shared" si="1"/>
        <v>2</v>
      </c>
    </row>
    <row r="85" spans="1:13" s="8" customFormat="1">
      <c r="A85" s="18" t="s">
        <v>476</v>
      </c>
      <c r="B85" s="17" t="s">
        <v>183</v>
      </c>
      <c r="C85" s="17" t="s">
        <v>185</v>
      </c>
      <c r="D85" s="17"/>
      <c r="E85" s="18" t="s">
        <v>363</v>
      </c>
      <c r="F85" s="17"/>
      <c r="G85" s="17"/>
      <c r="H85" s="17" t="s">
        <v>222</v>
      </c>
      <c r="I85" s="17"/>
      <c r="J85" s="17"/>
      <c r="K85" s="17"/>
      <c r="L85" s="17"/>
      <c r="M85" s="8">
        <v>1</v>
      </c>
    </row>
    <row r="86" spans="1:13" s="8" customFormat="1">
      <c r="A86" s="18" t="s">
        <v>520</v>
      </c>
      <c r="B86" s="17" t="s">
        <v>184</v>
      </c>
      <c r="C86" s="17" t="s">
        <v>197</v>
      </c>
      <c r="D86" s="17"/>
      <c r="E86" s="18" t="s">
        <v>364</v>
      </c>
      <c r="F86" s="17"/>
      <c r="G86" s="17"/>
      <c r="H86" s="17" t="s">
        <v>223</v>
      </c>
      <c r="I86" s="17"/>
      <c r="J86" s="17"/>
      <c r="K86" s="17"/>
      <c r="L86" s="17"/>
      <c r="M86" s="8">
        <v>1</v>
      </c>
    </row>
    <row r="87" spans="1:13" s="8" customFormat="1">
      <c r="A87" s="17"/>
      <c r="B87" s="18" t="s">
        <v>397</v>
      </c>
      <c r="C87" s="18" t="s">
        <v>398</v>
      </c>
      <c r="D87" s="17"/>
      <c r="E87" s="18" t="s">
        <v>399</v>
      </c>
      <c r="F87" s="17"/>
      <c r="G87" s="17"/>
      <c r="H87" s="20"/>
      <c r="I87" s="17"/>
      <c r="J87" s="17"/>
      <c r="K87" s="17"/>
      <c r="L87" s="17"/>
      <c r="M87" s="8" t="e">
        <f>MAX(VALUE(MID(A87,5,1)),VALUE(MID(A87,6,1)))</f>
        <v>#VALUE!</v>
      </c>
    </row>
    <row r="88" spans="1:13" s="8" customFormat="1">
      <c r="A88" s="17"/>
      <c r="B88" s="18" t="s">
        <v>407</v>
      </c>
      <c r="C88" s="18" t="s">
        <v>408</v>
      </c>
      <c r="D88" s="17"/>
      <c r="E88" s="18" t="s">
        <v>409</v>
      </c>
      <c r="F88" s="17"/>
      <c r="G88" s="17"/>
      <c r="H88" s="20"/>
      <c r="I88" s="17"/>
      <c r="J88" s="17"/>
      <c r="K88" s="17"/>
      <c r="L88" s="17"/>
      <c r="M88" s="8" t="e">
        <f>MAX(VALUE(MID(A88,5,1)),VALUE(MID(A88,6,1)))</f>
        <v>#VALUE!</v>
      </c>
    </row>
    <row r="89" spans="1:13" s="8" customFormat="1">
      <c r="A89" s="17"/>
      <c r="B89" s="17" t="s">
        <v>243</v>
      </c>
      <c r="C89" s="17" t="s">
        <v>273</v>
      </c>
      <c r="D89" s="17"/>
      <c r="E89" s="18" t="s">
        <v>390</v>
      </c>
      <c r="F89" s="17"/>
      <c r="G89" s="17" t="s">
        <v>315</v>
      </c>
      <c r="H89" s="17" t="s">
        <v>314</v>
      </c>
      <c r="I89" s="17"/>
      <c r="J89" s="17"/>
      <c r="K89" s="17"/>
      <c r="L89" s="17"/>
      <c r="M89" s="8" t="e">
        <f>MAX(VALUE(MID(A89,5,1)),VALUE(MID(A89,6,1)))</f>
        <v>#VALUE!</v>
      </c>
    </row>
    <row r="90" spans="1:13" s="8" customFormat="1">
      <c r="A90" s="17"/>
      <c r="B90" s="17" t="s">
        <v>246</v>
      </c>
      <c r="C90" s="17" t="s">
        <v>276</v>
      </c>
      <c r="D90" s="17"/>
      <c r="E90" s="18" t="s">
        <v>393</v>
      </c>
      <c r="F90" s="17"/>
      <c r="G90" s="17" t="s">
        <v>321</v>
      </c>
      <c r="H90" s="17" t="s">
        <v>320</v>
      </c>
      <c r="I90" s="17"/>
      <c r="J90" s="17"/>
      <c r="K90" s="17"/>
      <c r="L90" s="17"/>
      <c r="M90" s="8" t="e">
        <f>MAX(VALUE(MID(A90,5,1)),VALUE(MID(A90,6,1)))</f>
        <v>#VALUE!</v>
      </c>
    </row>
    <row r="91" spans="1:13" s="8" customFormat="1">
      <c r="A91" s="18" t="s">
        <v>519</v>
      </c>
      <c r="B91" s="18" t="s">
        <v>518</v>
      </c>
      <c r="C91" s="17"/>
      <c r="D91" s="17"/>
      <c r="E91" s="20"/>
      <c r="F91" s="20"/>
      <c r="G91" s="20"/>
      <c r="H91" s="20"/>
      <c r="I91" s="17"/>
      <c r="J91" s="17"/>
      <c r="K91" s="17"/>
      <c r="L91" s="17"/>
      <c r="M91" s="8">
        <f>MAX(VALUE(MID(A91,5,1)),VALUE(MID(A91,6,1)))</f>
        <v>1</v>
      </c>
    </row>
    <row r="92" spans="1:13" s="8" customFormat="1">
      <c r="A92" s="18" t="s">
        <v>527</v>
      </c>
      <c r="B92" s="18" t="s">
        <v>404</v>
      </c>
      <c r="C92" s="18" t="s">
        <v>405</v>
      </c>
      <c r="D92" s="17"/>
      <c r="E92" s="18" t="s">
        <v>406</v>
      </c>
      <c r="F92" s="17"/>
      <c r="G92" s="17"/>
      <c r="H92" s="20"/>
      <c r="I92" s="17"/>
      <c r="J92" s="17"/>
      <c r="K92" s="17"/>
      <c r="L92" s="17"/>
      <c r="M92" s="8">
        <v>1</v>
      </c>
    </row>
    <row r="93" spans="1:13" s="8" customFormat="1">
      <c r="A93" s="18" t="s">
        <v>526</v>
      </c>
      <c r="B93" s="17" t="s">
        <v>239</v>
      </c>
      <c r="C93" s="17" t="s">
        <v>259</v>
      </c>
      <c r="D93" s="17"/>
      <c r="E93" s="18" t="s">
        <v>385</v>
      </c>
      <c r="F93" s="17"/>
      <c r="G93" s="17"/>
      <c r="H93" s="17" t="s">
        <v>309</v>
      </c>
      <c r="I93" s="17"/>
      <c r="J93" s="17"/>
      <c r="K93" s="17"/>
      <c r="L93" s="17"/>
      <c r="M93" s="8">
        <f t="shared" ref="M93:M99" si="2">MAX(VALUE(MID(A93,5,1)),VALUE(MID(A93,6,1)))</f>
        <v>1</v>
      </c>
    </row>
    <row r="94" spans="1:13" s="8" customFormat="1">
      <c r="A94" s="18" t="s">
        <v>524</v>
      </c>
      <c r="B94" s="17" t="s">
        <v>225</v>
      </c>
      <c r="C94" s="17" t="s">
        <v>49</v>
      </c>
      <c r="D94" s="17"/>
      <c r="E94" s="18" t="s">
        <v>366</v>
      </c>
      <c r="F94" s="17"/>
      <c r="G94" s="17"/>
      <c r="H94" s="17" t="s">
        <v>290</v>
      </c>
      <c r="I94" s="17"/>
      <c r="J94" s="17"/>
      <c r="K94" s="17"/>
      <c r="L94" s="17"/>
      <c r="M94" s="8">
        <f t="shared" si="2"/>
        <v>1</v>
      </c>
    </row>
    <row r="95" spans="1:13" s="8" customFormat="1">
      <c r="A95" s="18" t="s">
        <v>528</v>
      </c>
      <c r="B95" s="17" t="s">
        <v>226</v>
      </c>
      <c r="C95" s="17" t="s">
        <v>259</v>
      </c>
      <c r="D95" s="17"/>
      <c r="E95" s="18" t="s">
        <v>367</v>
      </c>
      <c r="F95" s="17"/>
      <c r="G95" s="17"/>
      <c r="H95" s="17" t="s">
        <v>291</v>
      </c>
      <c r="I95" s="17"/>
      <c r="J95" s="17"/>
      <c r="K95" s="17"/>
      <c r="L95" s="17"/>
      <c r="M95" s="8">
        <f t="shared" si="2"/>
        <v>1</v>
      </c>
    </row>
    <row r="96" spans="1:13" s="8" customFormat="1">
      <c r="A96" s="18" t="s">
        <v>529</v>
      </c>
      <c r="B96" s="17" t="s">
        <v>227</v>
      </c>
      <c r="C96" s="17" t="s">
        <v>260</v>
      </c>
      <c r="D96" s="17"/>
      <c r="E96" s="18" t="s">
        <v>368</v>
      </c>
      <c r="F96" s="17"/>
      <c r="G96" s="17"/>
      <c r="H96" s="17" t="s">
        <v>292</v>
      </c>
      <c r="I96" s="17"/>
      <c r="J96" s="17"/>
      <c r="K96" s="17"/>
      <c r="L96" s="17"/>
      <c r="M96" s="8">
        <f t="shared" si="2"/>
        <v>1</v>
      </c>
    </row>
    <row r="97" spans="1:13" s="8" customFormat="1">
      <c r="A97" s="17"/>
      <c r="B97" s="17" t="s">
        <v>230</v>
      </c>
      <c r="C97" s="17" t="s">
        <v>277</v>
      </c>
      <c r="D97" s="17"/>
      <c r="E97" s="18" t="s">
        <v>394</v>
      </c>
      <c r="F97" s="17"/>
      <c r="G97" s="17" t="s">
        <v>323</v>
      </c>
      <c r="H97" s="17" t="s">
        <v>322</v>
      </c>
      <c r="I97" s="17"/>
      <c r="J97" s="17"/>
      <c r="K97" s="17"/>
      <c r="L97" s="17"/>
      <c r="M97" s="8" t="e">
        <f t="shared" si="2"/>
        <v>#VALUE!</v>
      </c>
    </row>
    <row r="98" spans="1:13" s="8" customFormat="1">
      <c r="A98" s="18" t="s">
        <v>470</v>
      </c>
      <c r="B98" s="18" t="s">
        <v>372</v>
      </c>
      <c r="C98" s="17" t="s">
        <v>263</v>
      </c>
      <c r="D98" s="17"/>
      <c r="E98" s="18" t="s">
        <v>373</v>
      </c>
      <c r="F98" s="17"/>
      <c r="G98" s="17"/>
      <c r="H98" s="17" t="s">
        <v>296</v>
      </c>
      <c r="I98" s="17"/>
      <c r="J98" s="17"/>
      <c r="K98" s="17"/>
      <c r="L98" s="17"/>
      <c r="M98" s="8">
        <f t="shared" si="2"/>
        <v>9</v>
      </c>
    </row>
    <row r="99" spans="1:13" s="8" customFormat="1">
      <c r="A99" s="18" t="s">
        <v>489</v>
      </c>
      <c r="B99" s="17" t="s">
        <v>160</v>
      </c>
      <c r="C99" s="17" t="s">
        <v>185</v>
      </c>
      <c r="D99" s="17"/>
      <c r="E99" s="18" t="s">
        <v>339</v>
      </c>
      <c r="F99" s="17"/>
      <c r="G99" s="17"/>
      <c r="H99" s="17" t="s">
        <v>198</v>
      </c>
      <c r="I99" s="17"/>
      <c r="J99" s="17"/>
      <c r="K99" s="17"/>
      <c r="L99" s="17"/>
      <c r="M99" s="8">
        <f t="shared" si="2"/>
        <v>6</v>
      </c>
    </row>
    <row r="100" spans="1:13" s="8" customFormat="1">
      <c r="A100" s="18" t="s">
        <v>493</v>
      </c>
      <c r="B100" s="17" t="s">
        <v>247</v>
      </c>
      <c r="C100" s="17" t="s">
        <v>278</v>
      </c>
      <c r="D100" s="17"/>
      <c r="E100" s="18" t="s">
        <v>395</v>
      </c>
      <c r="F100" s="17"/>
      <c r="G100" s="17" t="s">
        <v>325</v>
      </c>
      <c r="H100" s="17" t="s">
        <v>324</v>
      </c>
      <c r="I100" s="17"/>
      <c r="J100" s="17"/>
      <c r="K100" s="17"/>
      <c r="L100" s="17"/>
      <c r="M100" s="8">
        <v>5</v>
      </c>
    </row>
    <row r="101" spans="1:13" s="8" customFormat="1">
      <c r="A101" s="18" t="s">
        <v>496</v>
      </c>
      <c r="B101" s="17" t="s">
        <v>234</v>
      </c>
      <c r="C101" s="17" t="s">
        <v>187</v>
      </c>
      <c r="D101" s="17"/>
      <c r="E101" s="18" t="s">
        <v>380</v>
      </c>
      <c r="F101" s="17"/>
      <c r="G101" s="17"/>
      <c r="H101" s="17" t="s">
        <v>304</v>
      </c>
      <c r="I101" s="17"/>
      <c r="J101" s="17"/>
      <c r="K101" s="17"/>
      <c r="L101" s="17"/>
      <c r="M101" s="8">
        <f>MAX(VALUE(MID(A101,5,1)),VALUE(MID(A101,6,1)))</f>
        <v>5</v>
      </c>
    </row>
    <row r="102" spans="1:13" s="8" customFormat="1">
      <c r="A102" s="18" t="s">
        <v>495</v>
      </c>
      <c r="B102" s="17" t="s">
        <v>235</v>
      </c>
      <c r="C102" s="17" t="s">
        <v>302</v>
      </c>
      <c r="D102" s="17"/>
      <c r="E102" s="18" t="s">
        <v>381</v>
      </c>
      <c r="F102" s="17"/>
      <c r="G102" s="17"/>
      <c r="H102" s="17" t="s">
        <v>305</v>
      </c>
      <c r="I102" s="17"/>
      <c r="J102" s="17"/>
      <c r="K102" s="17"/>
      <c r="L102" s="17"/>
      <c r="M102" s="8">
        <f>MAX(VALUE(MID(A102,5,1)),VALUE(MID(A102,6,1)))</f>
        <v>5</v>
      </c>
    </row>
    <row r="103" spans="1:13" s="8" customFormat="1">
      <c r="A103" s="18" t="s">
        <v>494</v>
      </c>
      <c r="B103" s="17" t="s">
        <v>236</v>
      </c>
      <c r="C103" s="17" t="s">
        <v>268</v>
      </c>
      <c r="D103" s="17"/>
      <c r="E103" s="18" t="s">
        <v>382</v>
      </c>
      <c r="F103" s="17"/>
      <c r="G103" s="17"/>
      <c r="H103" s="17" t="s">
        <v>306</v>
      </c>
      <c r="I103" s="17"/>
      <c r="J103" s="17"/>
      <c r="K103" s="17"/>
      <c r="L103" s="17"/>
      <c r="M103" s="8">
        <f>MAX(VALUE(MID(A103,5,1)),VALUE(MID(A103,6,1)))</f>
        <v>5</v>
      </c>
    </row>
    <row r="104" spans="1:13" s="8" customFormat="1">
      <c r="A104" s="18" t="s">
        <v>501</v>
      </c>
      <c r="B104" s="17" t="s">
        <v>237</v>
      </c>
      <c r="C104" s="17" t="s">
        <v>269</v>
      </c>
      <c r="D104" s="17"/>
      <c r="E104" s="18" t="s">
        <v>383</v>
      </c>
      <c r="F104" s="17"/>
      <c r="G104" s="17"/>
      <c r="H104" s="17" t="s">
        <v>307</v>
      </c>
      <c r="I104" s="17"/>
      <c r="J104" s="17"/>
      <c r="K104" s="17"/>
      <c r="L104" s="17"/>
      <c r="M104" s="8">
        <v>5</v>
      </c>
    </row>
    <row r="105" spans="1:13" s="8" customFormat="1">
      <c r="A105" s="18" t="s">
        <v>475</v>
      </c>
      <c r="B105" s="17" t="s">
        <v>238</v>
      </c>
      <c r="C105" s="17" t="s">
        <v>270</v>
      </c>
      <c r="D105" s="17"/>
      <c r="E105" s="18" t="s">
        <v>384</v>
      </c>
      <c r="F105" s="17"/>
      <c r="G105" s="17"/>
      <c r="H105" s="17" t="s">
        <v>308</v>
      </c>
      <c r="I105" s="17"/>
      <c r="J105" s="17"/>
      <c r="K105" s="17"/>
      <c r="L105" s="17"/>
      <c r="M105" s="8">
        <f>MAX(VALUE(MID(A105,5,1)),VALUE(MID(A105,6,1)))</f>
        <v>3</v>
      </c>
    </row>
    <row r="106" spans="1:13" s="8" customFormat="1">
      <c r="A106" s="18" t="s">
        <v>481</v>
      </c>
      <c r="B106" s="17" t="s">
        <v>240</v>
      </c>
      <c r="C106" s="17" t="s">
        <v>258</v>
      </c>
      <c r="D106" s="17"/>
      <c r="E106" s="18" t="s">
        <v>386</v>
      </c>
      <c r="F106" s="17"/>
      <c r="G106" s="17"/>
      <c r="H106" s="17" t="s">
        <v>310</v>
      </c>
      <c r="I106" s="17"/>
      <c r="J106" s="17"/>
      <c r="K106" s="17"/>
      <c r="L106" s="17"/>
      <c r="M106" s="8">
        <f>MAX(VALUE(MID(A106,5,1)),VALUE(MID(A106,6,1)))</f>
        <v>2</v>
      </c>
    </row>
    <row r="107" spans="1:13" s="8" customFormat="1">
      <c r="A107" s="18" t="s">
        <v>469</v>
      </c>
      <c r="B107" s="17" t="s">
        <v>161</v>
      </c>
      <c r="C107" s="17" t="s">
        <v>187</v>
      </c>
      <c r="D107" s="17"/>
      <c r="E107" s="18" t="s">
        <v>340</v>
      </c>
      <c r="F107" s="17"/>
      <c r="G107" s="17"/>
      <c r="H107" s="17" t="s">
        <v>199</v>
      </c>
      <c r="I107" s="17"/>
      <c r="J107" s="17"/>
      <c r="K107" s="17"/>
      <c r="L107" s="17"/>
      <c r="M107" s="8">
        <f>MAX(VALUE(MID(A107,5,1)),VALUE(MID(A107,6,1)))</f>
        <v>9</v>
      </c>
    </row>
    <row r="108" spans="1:13" s="8" customFormat="1">
      <c r="A108" s="18" t="s">
        <v>502</v>
      </c>
      <c r="B108" s="17" t="s">
        <v>249</v>
      </c>
      <c r="C108" s="17" t="s">
        <v>280</v>
      </c>
      <c r="D108" s="17"/>
      <c r="E108" s="18" t="s">
        <v>400</v>
      </c>
      <c r="F108" s="17"/>
      <c r="G108" s="17" t="s">
        <v>329</v>
      </c>
      <c r="H108" s="17" t="s">
        <v>328</v>
      </c>
      <c r="I108" s="17"/>
      <c r="J108" s="17"/>
      <c r="K108" s="17"/>
      <c r="L108" s="17"/>
      <c r="M108" s="8">
        <v>2</v>
      </c>
    </row>
    <row r="109" spans="1:13" s="8" customFormat="1">
      <c r="A109" s="18" t="s">
        <v>482</v>
      </c>
      <c r="B109" s="17" t="s">
        <v>248</v>
      </c>
      <c r="C109" s="17" t="s">
        <v>279</v>
      </c>
      <c r="D109" s="17"/>
      <c r="E109" s="18" t="s">
        <v>396</v>
      </c>
      <c r="F109" s="17"/>
      <c r="G109" s="17" t="s">
        <v>327</v>
      </c>
      <c r="H109" s="17" t="s">
        <v>326</v>
      </c>
      <c r="I109" s="17"/>
      <c r="J109" s="17"/>
      <c r="K109" s="17"/>
      <c r="L109" s="17"/>
      <c r="M109" s="8">
        <v>3</v>
      </c>
    </row>
    <row r="110" spans="1:13" s="8" customFormat="1">
      <c r="A110" s="18" t="s">
        <v>525</v>
      </c>
      <c r="B110" s="17" t="s">
        <v>241</v>
      </c>
      <c r="C110" s="17" t="s">
        <v>271</v>
      </c>
      <c r="D110" s="17"/>
      <c r="E110" s="18" t="s">
        <v>387</v>
      </c>
      <c r="F110" s="18" t="s">
        <v>388</v>
      </c>
      <c r="G110" s="17"/>
      <c r="H110" s="17" t="s">
        <v>312</v>
      </c>
      <c r="I110" s="17" t="s">
        <v>311</v>
      </c>
      <c r="J110" s="17"/>
      <c r="K110" s="17"/>
      <c r="L110" s="17"/>
      <c r="M110" s="8">
        <f t="shared" ref="M110:M120" si="3">MAX(VALUE(MID(A110,5,1)),VALUE(MID(A110,6,1)))</f>
        <v>1</v>
      </c>
    </row>
    <row r="111" spans="1:13" s="8" customFormat="1">
      <c r="A111" s="18" t="s">
        <v>530</v>
      </c>
      <c r="B111" s="17" t="s">
        <v>242</v>
      </c>
      <c r="C111" s="17" t="s">
        <v>272</v>
      </c>
      <c r="D111" s="17"/>
      <c r="E111" s="18" t="s">
        <v>389</v>
      </c>
      <c r="F111" s="17"/>
      <c r="G111" s="17"/>
      <c r="H111" s="17" t="s">
        <v>313</v>
      </c>
      <c r="I111" s="17"/>
      <c r="J111" s="17"/>
      <c r="K111" s="17"/>
      <c r="L111" s="17"/>
      <c r="M111" s="8">
        <f t="shared" si="3"/>
        <v>1</v>
      </c>
    </row>
    <row r="112" spans="1:13" s="8" customFormat="1">
      <c r="A112" s="18" t="s">
        <v>471</v>
      </c>
      <c r="B112" s="17" t="s">
        <v>224</v>
      </c>
      <c r="C112" s="17" t="s">
        <v>258</v>
      </c>
      <c r="D112" s="17"/>
      <c r="E112" s="18" t="s">
        <v>365</v>
      </c>
      <c r="F112" s="17"/>
      <c r="G112" s="17"/>
      <c r="H112" s="17" t="s">
        <v>289</v>
      </c>
      <c r="I112" s="17"/>
      <c r="J112" s="17"/>
      <c r="K112" s="17"/>
      <c r="L112" s="17"/>
      <c r="M112" s="8">
        <f t="shared" si="3"/>
        <v>9</v>
      </c>
    </row>
    <row r="113" spans="1:13" s="8" customFormat="1">
      <c r="A113" s="17"/>
      <c r="B113" s="17" t="s">
        <v>231</v>
      </c>
      <c r="C113" s="17" t="s">
        <v>264</v>
      </c>
      <c r="D113" s="17"/>
      <c r="E113" s="18" t="s">
        <v>374</v>
      </c>
      <c r="F113" s="17"/>
      <c r="G113" s="17"/>
      <c r="H113" s="17" t="s">
        <v>297</v>
      </c>
      <c r="I113" s="17"/>
      <c r="J113" s="17"/>
      <c r="K113" s="17"/>
      <c r="L113" s="17"/>
      <c r="M113" s="8" t="e">
        <f t="shared" si="3"/>
        <v>#VALUE!</v>
      </c>
    </row>
    <row r="114" spans="1:13" s="8" customFormat="1">
      <c r="A114" s="18" t="s">
        <v>468</v>
      </c>
      <c r="B114" s="17" t="s">
        <v>162</v>
      </c>
      <c r="C114" s="17" t="s">
        <v>186</v>
      </c>
      <c r="D114" s="17"/>
      <c r="E114" s="18" t="s">
        <v>341</v>
      </c>
      <c r="F114" s="17"/>
      <c r="G114" s="17"/>
      <c r="H114" s="17" t="s">
        <v>200</v>
      </c>
      <c r="I114" s="17"/>
      <c r="J114" s="17"/>
      <c r="K114" s="17"/>
      <c r="L114" s="17"/>
      <c r="M114" s="8">
        <f t="shared" si="3"/>
        <v>9</v>
      </c>
    </row>
    <row r="115" spans="1:13" s="8" customFormat="1">
      <c r="A115" s="18" t="s">
        <v>513</v>
      </c>
      <c r="B115" s="18" t="s">
        <v>512</v>
      </c>
      <c r="C115" s="17"/>
      <c r="D115" s="17"/>
      <c r="E115" s="18"/>
      <c r="F115" s="17"/>
      <c r="G115" s="17"/>
      <c r="H115" s="20"/>
      <c r="I115" s="17"/>
      <c r="J115" s="17"/>
      <c r="K115" s="17"/>
      <c r="L115" s="17"/>
      <c r="M115" s="8">
        <f t="shared" si="3"/>
        <v>4</v>
      </c>
    </row>
    <row r="116" spans="1:13" s="8" customFormat="1">
      <c r="A116" s="18" t="s">
        <v>515</v>
      </c>
      <c r="B116" s="18" t="s">
        <v>514</v>
      </c>
      <c r="C116" s="17"/>
      <c r="D116" s="17"/>
      <c r="E116" s="18"/>
      <c r="F116" s="17"/>
      <c r="G116" s="17"/>
      <c r="H116" s="20"/>
      <c r="I116" s="17"/>
      <c r="J116" s="17"/>
      <c r="K116" s="17"/>
      <c r="L116" s="17"/>
      <c r="M116" s="8">
        <f t="shared" si="3"/>
        <v>4</v>
      </c>
    </row>
    <row r="117" spans="1:13" s="8" customFormat="1">
      <c r="A117" s="18" t="s">
        <v>505</v>
      </c>
      <c r="B117" s="18" t="s">
        <v>504</v>
      </c>
      <c r="C117" s="17"/>
      <c r="D117" s="17"/>
      <c r="E117" s="18"/>
      <c r="F117" s="17"/>
      <c r="G117" s="17"/>
      <c r="H117" s="20"/>
      <c r="I117" s="17"/>
      <c r="J117" s="17"/>
      <c r="K117" s="17"/>
      <c r="L117" s="17"/>
      <c r="M117" s="8">
        <f t="shared" si="3"/>
        <v>1</v>
      </c>
    </row>
    <row r="118" spans="1:13" s="8" customFormat="1">
      <c r="A118" s="18" t="s">
        <v>467</v>
      </c>
      <c r="B118" s="17" t="s">
        <v>163</v>
      </c>
      <c r="C118" s="17" t="s">
        <v>186</v>
      </c>
      <c r="D118" s="17"/>
      <c r="E118" s="18" t="s">
        <v>342</v>
      </c>
      <c r="F118" s="17"/>
      <c r="G118" s="17"/>
      <c r="H118" s="17" t="s">
        <v>201</v>
      </c>
      <c r="I118" s="17"/>
      <c r="J118" s="17"/>
      <c r="K118" s="17"/>
      <c r="L118" s="17"/>
      <c r="M118" s="8">
        <f t="shared" si="3"/>
        <v>9</v>
      </c>
    </row>
    <row r="119" spans="1:13" s="8" customFormat="1">
      <c r="A119" s="18" t="s">
        <v>466</v>
      </c>
      <c r="B119" s="17" t="s">
        <v>164</v>
      </c>
      <c r="C119" s="17" t="s">
        <v>188</v>
      </c>
      <c r="D119" s="17"/>
      <c r="E119" s="18" t="s">
        <v>343</v>
      </c>
      <c r="F119" s="17"/>
      <c r="G119" s="17"/>
      <c r="H119" s="17" t="s">
        <v>202</v>
      </c>
      <c r="I119" s="17"/>
      <c r="J119" s="17"/>
      <c r="K119" s="17"/>
      <c r="L119" s="17"/>
      <c r="M119" s="8">
        <f t="shared" si="3"/>
        <v>9</v>
      </c>
    </row>
    <row r="120" spans="1:13" s="8" customFormat="1">
      <c r="A120" s="18" t="s">
        <v>517</v>
      </c>
      <c r="B120" s="17" t="s">
        <v>165</v>
      </c>
      <c r="C120" s="17" t="s">
        <v>187</v>
      </c>
      <c r="D120" s="17"/>
      <c r="E120" s="18" t="s">
        <v>344</v>
      </c>
      <c r="F120" s="17"/>
      <c r="G120" s="17"/>
      <c r="H120" s="17" t="s">
        <v>203</v>
      </c>
      <c r="I120" s="17"/>
      <c r="J120" s="17"/>
      <c r="K120" s="17"/>
      <c r="L120" s="17"/>
      <c r="M120" s="8">
        <f t="shared" si="3"/>
        <v>9</v>
      </c>
    </row>
    <row r="121" spans="1:13" s="8" customFormat="1">
      <c r="A121" s="18" t="s">
        <v>499</v>
      </c>
      <c r="B121" s="18" t="s">
        <v>497</v>
      </c>
      <c r="C121" s="17"/>
      <c r="D121" s="17"/>
      <c r="E121" s="17"/>
      <c r="F121" s="17"/>
      <c r="G121" s="17"/>
      <c r="H121" s="20"/>
      <c r="I121" s="17"/>
      <c r="J121" s="17"/>
      <c r="K121" s="17"/>
      <c r="L121" s="17"/>
      <c r="M121" s="8">
        <v>3</v>
      </c>
    </row>
    <row r="122" spans="1:13" s="8" customFormat="1">
      <c r="A122" s="18" t="s">
        <v>500</v>
      </c>
      <c r="B122" s="18" t="s">
        <v>498</v>
      </c>
      <c r="C122" s="17"/>
      <c r="D122" s="17"/>
      <c r="E122" s="17"/>
      <c r="F122" s="17"/>
      <c r="G122" s="17"/>
      <c r="H122" s="20"/>
      <c r="I122" s="17"/>
      <c r="J122" s="17"/>
      <c r="K122" s="17"/>
      <c r="L122" s="17"/>
      <c r="M122" s="8">
        <v>3</v>
      </c>
    </row>
    <row r="123" spans="1:13" s="8" customFormat="1">
      <c r="A123" s="18" t="s">
        <v>510</v>
      </c>
      <c r="B123" s="18" t="s">
        <v>508</v>
      </c>
      <c r="C123" s="17"/>
      <c r="D123" s="17"/>
      <c r="E123" s="17"/>
      <c r="F123" s="17"/>
      <c r="G123" s="17"/>
      <c r="H123" s="20"/>
      <c r="I123" s="17"/>
      <c r="J123" s="17"/>
      <c r="K123" s="17"/>
      <c r="L123" s="17"/>
      <c r="M123" s="8">
        <v>9</v>
      </c>
    </row>
    <row r="124" spans="1:13">
      <c r="A124" s="18" t="s">
        <v>511</v>
      </c>
      <c r="B124" s="18" t="s">
        <v>509</v>
      </c>
      <c r="C124" s="17"/>
      <c r="D124" s="17"/>
      <c r="E124" s="17"/>
      <c r="F124" s="17"/>
      <c r="G124" s="17"/>
      <c r="H124" s="20"/>
      <c r="I124" s="17"/>
      <c r="J124" s="17"/>
      <c r="K124" s="17"/>
      <c r="L124" s="17"/>
      <c r="M124" s="8">
        <v>9</v>
      </c>
    </row>
    <row r="125" spans="1:13" s="8" customFormat="1">
      <c r="A125" s="17"/>
      <c r="B125" s="17" t="s">
        <v>232</v>
      </c>
      <c r="C125" s="17" t="s">
        <v>265</v>
      </c>
      <c r="D125" s="17"/>
      <c r="E125" s="18" t="s">
        <v>375</v>
      </c>
      <c r="F125" s="17"/>
      <c r="G125" s="17"/>
      <c r="H125" s="17" t="s">
        <v>298</v>
      </c>
      <c r="I125" s="17"/>
      <c r="J125" s="17"/>
      <c r="K125" s="17"/>
      <c r="L125" s="17"/>
      <c r="M125" s="8" t="e">
        <f t="shared" ref="M125:M141" si="4">MAX(VALUE(MID(A125,5,1)),VALUE(MID(A125,6,1)))</f>
        <v>#VALUE!</v>
      </c>
    </row>
    <row r="126" spans="1:13" s="8" customFormat="1">
      <c r="A126" s="17"/>
      <c r="B126" s="17" t="s">
        <v>233</v>
      </c>
      <c r="C126" s="17" t="s">
        <v>266</v>
      </c>
      <c r="D126" s="18" t="s">
        <v>378</v>
      </c>
      <c r="E126" s="18" t="s">
        <v>376</v>
      </c>
      <c r="F126" s="17"/>
      <c r="G126" s="17" t="s">
        <v>300</v>
      </c>
      <c r="H126" s="17" t="s">
        <v>299</v>
      </c>
      <c r="I126" s="17"/>
      <c r="J126" s="17"/>
      <c r="K126" s="17"/>
      <c r="L126" s="17"/>
      <c r="M126" s="8" t="e">
        <f t="shared" si="4"/>
        <v>#VALUE!</v>
      </c>
    </row>
    <row r="127" spans="1:13" s="8" customFormat="1">
      <c r="A127" s="17"/>
      <c r="B127" s="17" t="s">
        <v>301</v>
      </c>
      <c r="C127" s="17" t="s">
        <v>267</v>
      </c>
      <c r="D127" s="17"/>
      <c r="E127" s="18" t="s">
        <v>379</v>
      </c>
      <c r="F127" s="17"/>
      <c r="G127" s="17"/>
      <c r="H127" s="17" t="s">
        <v>303</v>
      </c>
      <c r="I127" s="17"/>
      <c r="J127" s="17"/>
      <c r="K127" s="17"/>
      <c r="L127" s="17"/>
      <c r="M127" s="8" t="e">
        <f t="shared" si="4"/>
        <v>#VALUE!</v>
      </c>
    </row>
    <row r="128" spans="1:13" s="8" customFormat="1">
      <c r="A128" s="17"/>
      <c r="B128" s="17" t="s">
        <v>228</v>
      </c>
      <c r="C128" s="17" t="s">
        <v>261</v>
      </c>
      <c r="D128" s="17"/>
      <c r="E128" s="18" t="s">
        <v>370</v>
      </c>
      <c r="F128" s="18" t="s">
        <v>369</v>
      </c>
      <c r="G128" s="17"/>
      <c r="H128" s="17" t="s">
        <v>294</v>
      </c>
      <c r="I128" s="17" t="s">
        <v>293</v>
      </c>
      <c r="J128" s="17"/>
      <c r="K128" s="17"/>
      <c r="L128" s="17"/>
      <c r="M128" s="8" t="e">
        <f t="shared" si="4"/>
        <v>#VALUE!</v>
      </c>
    </row>
    <row r="129" spans="1:13" s="8" customFormat="1">
      <c r="A129" s="17"/>
      <c r="B129" s="17" t="s">
        <v>229</v>
      </c>
      <c r="C129" s="17" t="s">
        <v>262</v>
      </c>
      <c r="D129" s="17"/>
      <c r="E129" s="18" t="s">
        <v>371</v>
      </c>
      <c r="F129" s="17"/>
      <c r="G129" s="17"/>
      <c r="H129" s="17" t="s">
        <v>295</v>
      </c>
      <c r="I129" s="17"/>
      <c r="J129" s="17"/>
      <c r="K129" s="17"/>
      <c r="L129" s="17"/>
      <c r="M129" s="8" t="e">
        <f t="shared" si="4"/>
        <v>#VALUE!</v>
      </c>
    </row>
    <row r="130" spans="1:13" s="8" customFormat="1">
      <c r="A130" s="17"/>
      <c r="B130" s="18" t="s">
        <v>424</v>
      </c>
      <c r="C130" s="18" t="s">
        <v>442</v>
      </c>
      <c r="D130" s="17"/>
      <c r="E130" s="17"/>
      <c r="F130" s="17"/>
      <c r="G130" s="17"/>
      <c r="H130" s="17"/>
      <c r="I130" s="17"/>
      <c r="J130" s="17"/>
      <c r="K130" s="18" t="s">
        <v>460</v>
      </c>
      <c r="L130" s="17"/>
      <c r="M130" s="8" t="e">
        <f t="shared" si="4"/>
        <v>#VALUE!</v>
      </c>
    </row>
    <row r="131" spans="1:13" s="8" customFormat="1">
      <c r="A131" s="17"/>
      <c r="B131" s="18" t="s">
        <v>425</v>
      </c>
      <c r="C131" s="18" t="s">
        <v>443</v>
      </c>
      <c r="D131" s="17"/>
      <c r="E131" s="17"/>
      <c r="F131" s="17"/>
      <c r="G131" s="17"/>
      <c r="H131" s="17"/>
      <c r="I131" s="17"/>
      <c r="J131" s="17"/>
      <c r="K131" s="18" t="s">
        <v>461</v>
      </c>
      <c r="L131" s="17"/>
      <c r="M131" s="8" t="e">
        <f t="shared" si="4"/>
        <v>#VALUE!</v>
      </c>
    </row>
    <row r="132" spans="1:13" s="8" customFormat="1">
      <c r="A132" s="17"/>
      <c r="B132" s="18" t="s">
        <v>415</v>
      </c>
      <c r="C132" s="18" t="s">
        <v>433</v>
      </c>
      <c r="D132" s="17"/>
      <c r="E132" s="17"/>
      <c r="F132" s="17"/>
      <c r="G132" s="17"/>
      <c r="H132" s="17"/>
      <c r="I132" s="17"/>
      <c r="J132" s="17"/>
      <c r="K132" s="18" t="s">
        <v>451</v>
      </c>
      <c r="L132" s="17"/>
      <c r="M132" s="8" t="e">
        <f t="shared" si="4"/>
        <v>#VALUE!</v>
      </c>
    </row>
    <row r="133" spans="1:13" s="8" customFormat="1">
      <c r="A133" s="17"/>
      <c r="B133" s="18" t="s">
        <v>426</v>
      </c>
      <c r="C133" s="18" t="s">
        <v>444</v>
      </c>
      <c r="D133" s="17"/>
      <c r="E133" s="17"/>
      <c r="F133" s="17"/>
      <c r="G133" s="17"/>
      <c r="H133" s="17"/>
      <c r="I133" s="17"/>
      <c r="J133" s="17"/>
      <c r="K133" s="18" t="s">
        <v>462</v>
      </c>
      <c r="L133" s="17"/>
      <c r="M133" s="8" t="e">
        <f t="shared" si="4"/>
        <v>#VALUE!</v>
      </c>
    </row>
    <row r="134" spans="1:13" s="8" customFormat="1">
      <c r="A134" s="17"/>
      <c r="B134" s="18" t="s">
        <v>427</v>
      </c>
      <c r="C134" s="18" t="s">
        <v>445</v>
      </c>
      <c r="D134" s="17"/>
      <c r="E134" s="17"/>
      <c r="F134" s="17"/>
      <c r="G134" s="17"/>
      <c r="H134" s="17"/>
      <c r="I134" s="17"/>
      <c r="J134" s="17"/>
      <c r="K134" s="18" t="s">
        <v>463</v>
      </c>
      <c r="L134" s="17"/>
      <c r="M134" s="8" t="e">
        <f t="shared" si="4"/>
        <v>#VALUE!</v>
      </c>
    </row>
    <row r="135" spans="1:13" s="8" customFormat="1">
      <c r="A135" s="17"/>
      <c r="B135" s="18" t="s">
        <v>410</v>
      </c>
      <c r="C135" s="18" t="s">
        <v>428</v>
      </c>
      <c r="D135" s="17"/>
      <c r="E135" s="17"/>
      <c r="F135" s="17"/>
      <c r="G135" s="17"/>
      <c r="H135" s="17"/>
      <c r="I135" s="17"/>
      <c r="J135" s="17"/>
      <c r="K135" s="18" t="s">
        <v>446</v>
      </c>
      <c r="L135" s="17"/>
      <c r="M135" s="8" t="e">
        <f t="shared" si="4"/>
        <v>#VALUE!</v>
      </c>
    </row>
    <row r="136" spans="1:13" s="8" customFormat="1">
      <c r="A136" s="17"/>
      <c r="B136" s="18" t="s">
        <v>411</v>
      </c>
      <c r="C136" s="18" t="s">
        <v>429</v>
      </c>
      <c r="D136" s="17"/>
      <c r="E136" s="17"/>
      <c r="F136" s="17"/>
      <c r="G136" s="17"/>
      <c r="H136" s="17"/>
      <c r="I136" s="17"/>
      <c r="J136" s="17"/>
      <c r="K136" s="18" t="s">
        <v>447</v>
      </c>
      <c r="L136" s="17"/>
      <c r="M136" s="8" t="e">
        <f t="shared" si="4"/>
        <v>#VALUE!</v>
      </c>
    </row>
    <row r="137" spans="1:13" s="8" customFormat="1">
      <c r="A137" s="17"/>
      <c r="B137" s="18" t="s">
        <v>412</v>
      </c>
      <c r="C137" s="18" t="s">
        <v>430</v>
      </c>
      <c r="D137" s="17"/>
      <c r="E137" s="17"/>
      <c r="F137" s="17"/>
      <c r="G137" s="17"/>
      <c r="H137" s="17"/>
      <c r="I137" s="17"/>
      <c r="J137" s="17"/>
      <c r="K137" s="18" t="s">
        <v>448</v>
      </c>
      <c r="L137" s="17"/>
      <c r="M137" s="8" t="e">
        <f t="shared" si="4"/>
        <v>#VALUE!</v>
      </c>
    </row>
    <row r="138" spans="1:13" s="8" customFormat="1">
      <c r="A138" s="17"/>
      <c r="B138" s="18" t="s">
        <v>422</v>
      </c>
      <c r="C138" s="18" t="s">
        <v>440</v>
      </c>
      <c r="D138" s="17"/>
      <c r="E138" s="17"/>
      <c r="F138" s="17"/>
      <c r="G138" s="17"/>
      <c r="H138" s="17"/>
      <c r="I138" s="17"/>
      <c r="J138" s="17"/>
      <c r="K138" s="18" t="s">
        <v>458</v>
      </c>
      <c r="L138" s="17"/>
      <c r="M138" s="8" t="e">
        <f t="shared" si="4"/>
        <v>#VALUE!</v>
      </c>
    </row>
    <row r="139" spans="1:13" s="8" customFormat="1">
      <c r="A139" s="17"/>
      <c r="B139" s="17" t="s">
        <v>256</v>
      </c>
      <c r="C139" s="17" t="s">
        <v>287</v>
      </c>
      <c r="D139" s="17"/>
      <c r="E139" s="17"/>
      <c r="F139" s="17"/>
      <c r="G139" s="17"/>
      <c r="H139" s="17" t="s">
        <v>336</v>
      </c>
      <c r="I139" s="17"/>
      <c r="J139" s="17"/>
      <c r="K139" s="17"/>
      <c r="L139" s="17"/>
      <c r="M139" s="8" t="e">
        <f t="shared" si="4"/>
        <v>#VALUE!</v>
      </c>
    </row>
    <row r="140" spans="1:13" s="8" customFormat="1">
      <c r="A140" s="17"/>
      <c r="B140" s="17" t="s">
        <v>257</v>
      </c>
      <c r="C140" s="17" t="s">
        <v>288</v>
      </c>
      <c r="D140" s="17"/>
      <c r="E140" s="17"/>
      <c r="F140" s="17"/>
      <c r="G140" s="17"/>
      <c r="H140" s="17" t="s">
        <v>337</v>
      </c>
      <c r="I140" s="17"/>
      <c r="J140" s="17"/>
      <c r="K140" s="17"/>
      <c r="L140" s="17"/>
      <c r="M140" s="8" t="e">
        <f t="shared" si="4"/>
        <v>#VALUE!</v>
      </c>
    </row>
    <row r="141" spans="1:13" s="8" customFormat="1">
      <c r="A141" s="17"/>
      <c r="B141" s="18" t="s">
        <v>413</v>
      </c>
      <c r="C141" s="18" t="s">
        <v>431</v>
      </c>
      <c r="D141" s="17"/>
      <c r="E141" s="17"/>
      <c r="F141" s="17"/>
      <c r="G141" s="17"/>
      <c r="H141" s="17"/>
      <c r="I141" s="17"/>
      <c r="J141" s="17"/>
      <c r="K141" s="18" t="s">
        <v>449</v>
      </c>
      <c r="L141" s="17"/>
      <c r="M141" s="8" t="e">
        <f t="shared" si="4"/>
        <v>#VALUE!</v>
      </c>
    </row>
    <row r="142" spans="1:13" s="8" customForma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</row>
    <row r="143" spans="1:13" s="8" customFormat="1">
      <c r="A143" s="17"/>
      <c r="B143" s="18"/>
      <c r="C143" s="18"/>
      <c r="D143" s="17"/>
      <c r="E143" s="17"/>
      <c r="F143" s="17"/>
      <c r="G143" s="17"/>
      <c r="H143" s="17"/>
      <c r="I143" s="17"/>
      <c r="J143" s="17"/>
      <c r="K143" s="18"/>
      <c r="L143" s="17"/>
    </row>
  </sheetData>
  <sortState ref="A50:M141">
    <sortCondition ref="B50:B141"/>
    <sortCondition ref="A50:A141"/>
  </sortState>
  <printOptions gridLines="1"/>
  <pageMargins left="0.23622047244094491" right="0.23622047244094491" top="0.74803149606299213" bottom="0.74803149606299213" header="0.31496062992125984" footer="0.31496062992125984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cp:lastPrinted>2013-03-21T15:05:47Z</cp:lastPrinted>
  <dcterms:created xsi:type="dcterms:W3CDTF">2012-12-06T12:37:54Z</dcterms:created>
  <dcterms:modified xsi:type="dcterms:W3CDTF">2013-03-27T14:53:30Z</dcterms:modified>
</cp:coreProperties>
</file>