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l\AppData\Local\Temp\OneNote\15.0\NT\1\"/>
    </mc:Choice>
  </mc:AlternateContent>
  <bookViews>
    <workbookView xWindow="0" yWindow="0" windowWidth="27870" windowHeight="16950" activeTab="1"/>
  </bookViews>
  <sheets>
    <sheet name="Sheet1" sheetId="1" r:id="rId1"/>
    <sheet name="Tank beurte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4" i="2" l="1"/>
  <c r="N88" i="2"/>
  <c r="K38" i="2"/>
  <c r="M38" i="2"/>
  <c r="N38" i="2" s="1"/>
  <c r="K39" i="2"/>
  <c r="M39" i="2"/>
  <c r="N39" i="2"/>
  <c r="K40" i="2"/>
  <c r="M40" i="2"/>
  <c r="N40" i="2" s="1"/>
  <c r="K41" i="2"/>
  <c r="M41" i="2"/>
  <c r="N41" i="2" s="1"/>
  <c r="K42" i="2"/>
  <c r="M42" i="2"/>
  <c r="N42" i="2" s="1"/>
  <c r="K43" i="2"/>
  <c r="M43" i="2"/>
  <c r="N43" i="2"/>
  <c r="K44" i="2"/>
  <c r="M44" i="2"/>
  <c r="N44" i="2"/>
  <c r="K45" i="2"/>
  <c r="M45" i="2"/>
  <c r="N45" i="2"/>
  <c r="K46" i="2"/>
  <c r="M46" i="2"/>
  <c r="N46" i="2" s="1"/>
  <c r="K47" i="2"/>
  <c r="M47" i="2"/>
  <c r="N47" i="2"/>
  <c r="K48" i="2"/>
  <c r="M48" i="2"/>
  <c r="N48" i="2" s="1"/>
  <c r="K49" i="2"/>
  <c r="M49" i="2"/>
  <c r="N49" i="2"/>
  <c r="K50" i="2"/>
  <c r="M50" i="2"/>
  <c r="N50" i="2" s="1"/>
  <c r="K51" i="2"/>
  <c r="M51" i="2"/>
  <c r="N51" i="2"/>
  <c r="K52" i="2"/>
  <c r="M52" i="2"/>
  <c r="N52" i="2"/>
  <c r="K53" i="2"/>
  <c r="M53" i="2"/>
  <c r="N53" i="2"/>
  <c r="K54" i="2"/>
  <c r="M54" i="2"/>
  <c r="N54" i="2" s="1"/>
  <c r="K55" i="2"/>
  <c r="M55" i="2"/>
  <c r="N55" i="2"/>
  <c r="K56" i="2"/>
  <c r="M56" i="2"/>
  <c r="N56" i="2" s="1"/>
  <c r="K57" i="2"/>
  <c r="M57" i="2"/>
  <c r="N57" i="2" s="1"/>
  <c r="K58" i="2"/>
  <c r="M58" i="2"/>
  <c r="N58" i="2" s="1"/>
  <c r="K59" i="2"/>
  <c r="M59" i="2"/>
  <c r="N59" i="2"/>
  <c r="K60" i="2"/>
  <c r="M60" i="2"/>
  <c r="N60" i="2"/>
  <c r="K61" i="2"/>
  <c r="M61" i="2"/>
  <c r="N61" i="2"/>
  <c r="K62" i="2"/>
  <c r="M62" i="2"/>
  <c r="N62" i="2" s="1"/>
  <c r="K63" i="2"/>
  <c r="M63" i="2"/>
  <c r="N63" i="2"/>
  <c r="K64" i="2"/>
  <c r="M64" i="2"/>
  <c r="N64" i="2" s="1"/>
  <c r="K65" i="2"/>
  <c r="M65" i="2"/>
  <c r="N65" i="2" s="1"/>
  <c r="K66" i="2"/>
  <c r="M66" i="2"/>
  <c r="N66" i="2" s="1"/>
  <c r="K67" i="2"/>
  <c r="M67" i="2"/>
  <c r="N67" i="2"/>
  <c r="K68" i="2"/>
  <c r="M68" i="2"/>
  <c r="N68" i="2"/>
  <c r="K69" i="2"/>
  <c r="M69" i="2"/>
  <c r="N69" i="2"/>
  <c r="K70" i="2"/>
  <c r="M70" i="2"/>
  <c r="N70" i="2" s="1"/>
  <c r="K71" i="2"/>
  <c r="M71" i="2"/>
  <c r="N71" i="2"/>
  <c r="K72" i="2"/>
  <c r="M72" i="2"/>
  <c r="N72" i="2" s="1"/>
  <c r="K73" i="2"/>
  <c r="M73" i="2"/>
  <c r="N73" i="2" s="1"/>
  <c r="K74" i="2"/>
  <c r="M74" i="2"/>
  <c r="N74" i="2" s="1"/>
  <c r="K75" i="2"/>
  <c r="M75" i="2"/>
  <c r="N75" i="2"/>
  <c r="K76" i="2"/>
  <c r="M76" i="2"/>
  <c r="N76" i="2"/>
  <c r="K77" i="2"/>
  <c r="M77" i="2"/>
  <c r="N77" i="2"/>
  <c r="K78" i="2"/>
  <c r="M78" i="2"/>
  <c r="N78" i="2" s="1"/>
  <c r="K79" i="2"/>
  <c r="M79" i="2"/>
  <c r="N79" i="2"/>
  <c r="K80" i="2"/>
  <c r="M80" i="2"/>
  <c r="N80" i="2" s="1"/>
  <c r="K81" i="2"/>
  <c r="M81" i="2"/>
  <c r="N81" i="2" s="1"/>
  <c r="K82" i="2"/>
  <c r="M82" i="2"/>
  <c r="N82" i="2"/>
  <c r="K83" i="2"/>
  <c r="M83" i="2"/>
  <c r="N83" i="2"/>
  <c r="K84" i="2"/>
  <c r="M84" i="2"/>
  <c r="N84" i="2"/>
  <c r="K85" i="2"/>
  <c r="M85" i="2"/>
  <c r="N85" i="2"/>
  <c r="K86" i="2"/>
  <c r="M86" i="2"/>
  <c r="N86" i="2" s="1"/>
  <c r="K87" i="2"/>
  <c r="M87" i="2"/>
  <c r="N87" i="2"/>
  <c r="K88" i="2"/>
  <c r="M88" i="2"/>
  <c r="K89" i="2"/>
  <c r="M89" i="2"/>
  <c r="N89" i="2" s="1"/>
  <c r="K90" i="2"/>
  <c r="M90" i="2"/>
  <c r="N90" i="2"/>
  <c r="K91" i="2"/>
  <c r="M91" i="2"/>
  <c r="N91" i="2"/>
  <c r="K92" i="2"/>
  <c r="M92" i="2"/>
  <c r="N92" i="2"/>
  <c r="M37" i="2"/>
  <c r="N37" i="2" s="1"/>
  <c r="K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37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7" i="2"/>
  <c r="E58" i="2"/>
  <c r="E59" i="2"/>
  <c r="E60" i="2"/>
  <c r="E61" i="2"/>
  <c r="E62" i="2"/>
  <c r="E63" i="2"/>
  <c r="E64" i="2"/>
  <c r="E66" i="2"/>
  <c r="E67" i="2"/>
  <c r="E68" i="2"/>
  <c r="E70" i="2"/>
  <c r="E71" i="2"/>
  <c r="E72" i="2"/>
  <c r="E73" i="2"/>
  <c r="E74" i="2"/>
  <c r="E75" i="2"/>
  <c r="E77" i="2"/>
  <c r="E79" i="2"/>
  <c r="E80" i="2"/>
  <c r="E81" i="2"/>
  <c r="E82" i="2"/>
  <c r="E83" i="2"/>
  <c r="E85" i="2"/>
  <c r="E86" i="2"/>
  <c r="E87" i="2"/>
  <c r="E88" i="2"/>
  <c r="N3" i="2" l="1"/>
  <c r="N5" i="2"/>
  <c r="N6" i="2"/>
  <c r="N7" i="2"/>
  <c r="N9" i="2"/>
  <c r="N10" i="2"/>
  <c r="N11" i="2"/>
  <c r="N13" i="2"/>
  <c r="N14" i="2"/>
  <c r="N15" i="2"/>
  <c r="N16" i="2"/>
  <c r="N18" i="2"/>
  <c r="N19" i="2"/>
  <c r="N20" i="2"/>
  <c r="N2" i="2"/>
  <c r="M3" i="2"/>
  <c r="M5" i="2"/>
  <c r="M6" i="2"/>
  <c r="M7" i="2"/>
  <c r="M9" i="2"/>
  <c r="M10" i="2"/>
  <c r="M13" i="2"/>
  <c r="M14" i="2"/>
  <c r="M15" i="2"/>
  <c r="M16" i="2"/>
  <c r="M18" i="2"/>
  <c r="M19" i="2"/>
  <c r="M20" i="2"/>
  <c r="M21" i="2"/>
  <c r="M22" i="2"/>
  <c r="M23" i="2"/>
  <c r="M24" i="2"/>
  <c r="M26" i="2"/>
  <c r="M27" i="2"/>
  <c r="M28" i="2"/>
  <c r="M29" i="2"/>
  <c r="M30" i="2"/>
  <c r="M31" i="2"/>
  <c r="M32" i="2"/>
  <c r="M33" i="2"/>
  <c r="M34" i="2"/>
  <c r="M35" i="2"/>
  <c r="M2" i="2"/>
  <c r="K3" i="2"/>
  <c r="K10" i="2"/>
  <c r="K20" i="2"/>
  <c r="K2" i="2"/>
  <c r="J3" i="2"/>
  <c r="J13" i="2"/>
  <c r="J19" i="2"/>
  <c r="H11" i="2"/>
  <c r="M11" i="2" s="1"/>
  <c r="E4" i="2"/>
  <c r="E5" i="2"/>
  <c r="J5" i="2" s="1"/>
  <c r="E6" i="2"/>
  <c r="J6" i="2" s="1"/>
  <c r="E7" i="2"/>
  <c r="J7" i="2" s="1"/>
  <c r="E8" i="2"/>
  <c r="E9" i="2"/>
  <c r="J9" i="2" s="1"/>
  <c r="E10" i="2"/>
  <c r="J10" i="2" s="1"/>
  <c r="E11" i="2"/>
  <c r="J11" i="2" s="1"/>
  <c r="E13" i="2"/>
  <c r="K13" i="2" s="1"/>
  <c r="E14" i="2"/>
  <c r="K14" i="2" s="1"/>
  <c r="E15" i="2"/>
  <c r="J15" i="2" s="1"/>
  <c r="E16" i="2"/>
  <c r="J16" i="2" s="1"/>
  <c r="E17" i="2"/>
  <c r="J17" i="2" s="1"/>
  <c r="E18" i="2"/>
  <c r="J18" i="2" s="1"/>
  <c r="E20" i="2"/>
  <c r="J20" i="2" s="1"/>
  <c r="E21" i="2"/>
  <c r="J21" i="2" s="1"/>
  <c r="E22" i="2"/>
  <c r="K22" i="2" s="1"/>
  <c r="E23" i="2"/>
  <c r="J23" i="2" s="1"/>
  <c r="E24" i="2"/>
  <c r="J24" i="2" s="1"/>
  <c r="E25" i="2"/>
  <c r="E26" i="2"/>
  <c r="J26" i="2" s="1"/>
  <c r="E27" i="2"/>
  <c r="J27" i="2" s="1"/>
  <c r="E28" i="2"/>
  <c r="J28" i="2" s="1"/>
  <c r="E29" i="2"/>
  <c r="J29" i="2" s="1"/>
  <c r="E30" i="2"/>
  <c r="K30" i="2" s="1"/>
  <c r="E31" i="2"/>
  <c r="J31" i="2" s="1"/>
  <c r="E32" i="2"/>
  <c r="J32" i="2" s="1"/>
  <c r="E33" i="2"/>
  <c r="J33" i="2" s="1"/>
  <c r="E34" i="2"/>
  <c r="J34" i="2" s="1"/>
  <c r="E35" i="2"/>
  <c r="J35" i="2" s="1"/>
  <c r="E2" i="2"/>
  <c r="J2" i="2" s="1"/>
  <c r="N21" i="2" l="1"/>
  <c r="N22" i="2"/>
  <c r="N31" i="2"/>
  <c r="N30" i="2"/>
  <c r="N29" i="2"/>
  <c r="K28" i="2"/>
  <c r="N28" i="2"/>
  <c r="N35" i="2"/>
  <c r="N27" i="2"/>
  <c r="N34" i="2"/>
  <c r="N26" i="2"/>
  <c r="N33" i="2"/>
  <c r="N24" i="2"/>
  <c r="N32" i="2"/>
  <c r="N23" i="2"/>
  <c r="J30" i="2"/>
  <c r="J22" i="2"/>
  <c r="J14" i="2"/>
  <c r="K29" i="2"/>
  <c r="K21" i="2"/>
  <c r="K11" i="2"/>
  <c r="K35" i="2"/>
  <c r="K27" i="2"/>
  <c r="K18" i="2"/>
  <c r="K9" i="2"/>
  <c r="K34" i="2"/>
  <c r="K26" i="2"/>
  <c r="K17" i="2"/>
  <c r="K7" i="2"/>
  <c r="K33" i="2"/>
  <c r="K16" i="2"/>
  <c r="K6" i="2"/>
  <c r="K32" i="2"/>
  <c r="K24" i="2"/>
  <c r="K15" i="2"/>
  <c r="K5" i="2"/>
  <c r="K31" i="2"/>
  <c r="K23" i="2"/>
  <c r="D5" i="1"/>
  <c r="B4" i="1"/>
  <c r="D4" i="1" s="1"/>
  <c r="D3" i="1"/>
</calcChain>
</file>

<file path=xl/comments1.xml><?xml version="1.0" encoding="utf-8"?>
<comments xmlns="http://schemas.openxmlformats.org/spreadsheetml/2006/main">
  <authors>
    <author>Tonny Lemmens</author>
  </authors>
  <commentList>
    <comment ref="B4" authorId="0" shapeId="0">
      <text>
        <r>
          <rPr>
            <b/>
            <sz val="9"/>
            <color indexed="81"/>
            <rFont val="Tahoma"/>
            <charset val="1"/>
          </rPr>
          <t>Tonny Lemmens:</t>
        </r>
        <r>
          <rPr>
            <sz val="9"/>
            <color indexed="81"/>
            <rFont val="Tahoma"/>
            <charset val="1"/>
          </rPr>
          <t xml:space="preserve">
2 x 5000l getakt.
Op 23/04/2014 en 8/5/2014
</t>
        </r>
      </text>
    </comment>
  </commentList>
</comments>
</file>

<file path=xl/sharedStrings.xml><?xml version="1.0" encoding="utf-8"?>
<sst xmlns="http://schemas.openxmlformats.org/spreadsheetml/2006/main" count="179" uniqueCount="43">
  <si>
    <t>VOL GETANKT</t>
  </si>
  <si>
    <t>Aantal l vol getankt</t>
  </si>
  <si>
    <t>Metingen</t>
  </si>
  <si>
    <t>Verschil</t>
  </si>
  <si>
    <t>Datum</t>
  </si>
  <si>
    <t>liter</t>
  </si>
  <si>
    <t>Naam</t>
  </si>
  <si>
    <t>Wouter Geypen</t>
  </si>
  <si>
    <t>Robin Gebroers</t>
  </si>
  <si>
    <t>Marc Dierckx</t>
  </si>
  <si>
    <t>Filip Minnen</t>
  </si>
  <si>
    <t>Mike Swinnen</t>
  </si>
  <si>
    <t>John Mollen</t>
  </si>
  <si>
    <t>Nico</t>
  </si>
  <si>
    <t>Roger + Filip</t>
  </si>
  <si>
    <t>Filip</t>
  </si>
  <si>
    <t>Mike</t>
  </si>
  <si>
    <t>John</t>
  </si>
  <si>
    <t>Eindstand</t>
  </si>
  <si>
    <t xml:space="preserve">John Mollen         </t>
  </si>
  <si>
    <t xml:space="preserve">Filip Minnen        </t>
  </si>
  <si>
    <t xml:space="preserve">Roger Cools         </t>
  </si>
  <si>
    <t xml:space="preserve">Mike Swinnen        </t>
  </si>
  <si>
    <t xml:space="preserve">Wouter Geypen       </t>
  </si>
  <si>
    <t xml:space="preserve">Nico Hus            </t>
  </si>
  <si>
    <t xml:space="preserve">Marc Dierckx        </t>
  </si>
  <si>
    <t xml:space="preserve">Robin Gebruers      </t>
  </si>
  <si>
    <t>Roger Cools</t>
  </si>
  <si>
    <t>Liter</t>
  </si>
  <si>
    <t>begin</t>
  </si>
  <si>
    <t>Verschil l</t>
  </si>
  <si>
    <t>Nieuwe l</t>
  </si>
  <si>
    <t>verhouding</t>
  </si>
  <si>
    <t>nieuw verschil</t>
  </si>
  <si>
    <t>Wouter</t>
  </si>
  <si>
    <t>Robin</t>
  </si>
  <si>
    <t>Roger</t>
  </si>
  <si>
    <t>Marc</t>
  </si>
  <si>
    <t>Roel</t>
  </si>
  <si>
    <t>Buldozer</t>
  </si>
  <si>
    <t>Kraan</t>
  </si>
  <si>
    <t xml:space="preserve">Alex Segers         </t>
  </si>
  <si>
    <t xml:space="preserve">Jan Wilms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</si>
</sst>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10813]ddd\ dd/mm/yy\ hh:mm"/>
  </numFmts>
  <fonts count="9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5"/>
      <color theme="3"/>
      <name val="Calibri"/>
      <family val="2"/>
      <scheme val="minor"/>
    </font>
    <font>
      <sz val="10"/>
      <color rgb="FF4D4D4D"/>
      <name val="Tahoma"/>
    </font>
    <font>
      <strike/>
      <sz val="10"/>
      <color rgb="FF4D4D4D"/>
      <name val="Tahoma"/>
      <family val="2"/>
    </font>
    <font>
      <strike/>
      <sz val="11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2">
    <xf numFmtId="0" fontId="0" fillId="0" borderId="0"/>
    <xf numFmtId="0" fontId="3" fillId="0" borderId="1" applyNumberFormat="0" applyFill="0" applyAlignment="0" applyProtection="0"/>
  </cellStyleXfs>
  <cellXfs count="19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4" fillId="0" borderId="2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vertical="top" wrapText="1" readingOrder="1"/>
    </xf>
    <xf numFmtId="165" fontId="5" fillId="0" borderId="2" xfId="0" applyNumberFormat="1" applyFont="1" applyFill="1" applyBorder="1" applyAlignment="1">
      <alignment horizontal="left" vertical="top" wrapText="1" readingOrder="1"/>
    </xf>
    <xf numFmtId="0" fontId="5" fillId="0" borderId="2" xfId="0" applyNumberFormat="1" applyFont="1" applyFill="1" applyBorder="1" applyAlignment="1">
      <alignment vertical="top" wrapText="1" readingOrder="1"/>
    </xf>
    <xf numFmtId="10" fontId="0" fillId="0" borderId="0" xfId="0" applyNumberFormat="1"/>
    <xf numFmtId="14" fontId="6" fillId="0" borderId="0" xfId="0" applyNumberFormat="1" applyFont="1"/>
    <xf numFmtId="0" fontId="6" fillId="0" borderId="0" xfId="0" applyFont="1"/>
    <xf numFmtId="0" fontId="7" fillId="0" borderId="1" xfId="1" applyFont="1"/>
    <xf numFmtId="10" fontId="7" fillId="0" borderId="1" xfId="1" applyNumberFormat="1" applyFont="1"/>
    <xf numFmtId="14" fontId="8" fillId="0" borderId="0" xfId="0" applyNumberFormat="1" applyFont="1" applyFill="1" applyBorder="1"/>
    <xf numFmtId="0" fontId="8" fillId="0" borderId="0" xfId="0" applyFont="1" applyFill="1" applyBorder="1"/>
    <xf numFmtId="0" fontId="7" fillId="0" borderId="1" xfId="1" applyFont="1" applyAlignment="1">
      <alignment horizontal="center"/>
    </xf>
    <xf numFmtId="0" fontId="4" fillId="0" borderId="2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5" fillId="0" borderId="2" xfId="0" applyNumberFormat="1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center"/>
    </xf>
  </cellXfs>
  <cellStyles count="2">
    <cellStyle name="Heading 1" xfId="1" builtinId="16"/>
    <cellStyle name="Normal" xfId="0" builtinId="0"/>
  </cellStyles>
  <dxfs count="2">
    <dxf>
      <numFmt numFmtId="164" formatCode="0.0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D5" totalsRowShown="0">
  <autoFilter ref="A1:D5"/>
  <tableColumns count="4">
    <tableColumn id="1" name="VOL GETANKT" dataDxfId="1"/>
    <tableColumn id="2" name="Aantal l vol getankt"/>
    <tableColumn id="3" name="Metingen"/>
    <tableColumn id="4" name="Verschil" dataDxfId="0">
      <calculatedColumnFormula>C2-B2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5"/>
  <sheetViews>
    <sheetView workbookViewId="0">
      <selection activeCell="A22" sqref="A22"/>
    </sheetView>
  </sheetViews>
  <sheetFormatPr defaultRowHeight="15" x14ac:dyDescent="0.25"/>
  <cols>
    <col min="1" max="1" width="16.5703125" customWidth="1"/>
    <col min="2" max="2" width="21.140625" customWidth="1"/>
    <col min="3" max="3" width="15" customWidth="1"/>
    <col min="4" max="4" width="12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41585</v>
      </c>
    </row>
    <row r="3" spans="1:4" x14ac:dyDescent="0.25">
      <c r="A3" s="1">
        <v>41675</v>
      </c>
      <c r="B3">
        <v>6891</v>
      </c>
      <c r="C3" s="2">
        <v>9036</v>
      </c>
      <c r="D3" s="2">
        <f>C3-B3</f>
        <v>2145</v>
      </c>
    </row>
    <row r="4" spans="1:4" x14ac:dyDescent="0.25">
      <c r="A4" s="1">
        <v>41828</v>
      </c>
      <c r="B4">
        <f>5000+5000+5196</f>
        <v>15196</v>
      </c>
      <c r="C4">
        <v>14493.5</v>
      </c>
      <c r="D4" s="2">
        <f t="shared" ref="D4:D5" si="0">C4-B4</f>
        <v>-702.5</v>
      </c>
    </row>
    <row r="5" spans="1:4" x14ac:dyDescent="0.25">
      <c r="A5" s="1">
        <v>41894</v>
      </c>
      <c r="B5">
        <v>7985</v>
      </c>
      <c r="C5">
        <v>4231.8</v>
      </c>
      <c r="D5" s="2">
        <f t="shared" si="0"/>
        <v>-3753.2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4"/>
  <sheetViews>
    <sheetView tabSelected="1" topLeftCell="A4" workbookViewId="0">
      <selection activeCell="N88" sqref="A37:N88"/>
    </sheetView>
  </sheetViews>
  <sheetFormatPr defaultRowHeight="15" x14ac:dyDescent="0.25"/>
  <cols>
    <col min="1" max="1" width="10.7109375" bestFit="1" customWidth="1"/>
    <col min="2" max="2" width="0" hidden="1" customWidth="1"/>
    <col min="3" max="3" width="15.140625" bestFit="1" customWidth="1"/>
    <col min="4" max="4" width="13.42578125" customWidth="1"/>
    <col min="5" max="5" width="6.5703125" customWidth="1"/>
    <col min="6" max="6" width="5.42578125" customWidth="1"/>
    <col min="7" max="7" width="17" bestFit="1" customWidth="1"/>
    <col min="8" max="8" width="9.140625" style="16"/>
    <col min="9" max="9" width="22.7109375" customWidth="1"/>
    <col min="10" max="10" width="13.5703125" customWidth="1"/>
    <col min="11" max="11" width="9.7109375" style="7" customWidth="1"/>
  </cols>
  <sheetData>
    <row r="1" spans="1:14" s="10" customFormat="1" ht="16.5" thickBot="1" x14ac:dyDescent="0.3">
      <c r="A1" s="10" t="s">
        <v>4</v>
      </c>
      <c r="B1" s="10" t="s">
        <v>29</v>
      </c>
      <c r="C1" s="10" t="s">
        <v>6</v>
      </c>
      <c r="D1" s="10" t="s">
        <v>18</v>
      </c>
      <c r="E1" s="10" t="s">
        <v>5</v>
      </c>
      <c r="G1" s="10" t="s">
        <v>4</v>
      </c>
      <c r="H1" s="14" t="s">
        <v>28</v>
      </c>
      <c r="I1" s="10" t="s">
        <v>6</v>
      </c>
      <c r="J1" s="10" t="s">
        <v>30</v>
      </c>
      <c r="K1" s="11" t="s">
        <v>32</v>
      </c>
      <c r="M1" s="10" t="s">
        <v>31</v>
      </c>
      <c r="N1" s="10" t="s">
        <v>33</v>
      </c>
    </row>
    <row r="2" spans="1:14" ht="15.75" thickTop="1" x14ac:dyDescent="0.25">
      <c r="A2" s="1">
        <v>41922</v>
      </c>
      <c r="B2">
        <v>94814</v>
      </c>
      <c r="C2" t="s">
        <v>7</v>
      </c>
      <c r="D2">
        <v>94836</v>
      </c>
      <c r="E2">
        <f>D2-B2</f>
        <v>22</v>
      </c>
      <c r="G2" s="3">
        <v>41922.368994710603</v>
      </c>
      <c r="H2" s="15">
        <v>16.600000000000001</v>
      </c>
      <c r="I2" s="4" t="s">
        <v>23</v>
      </c>
      <c r="J2">
        <f>E2-H2</f>
        <v>5.3999999999999986</v>
      </c>
      <c r="K2" s="7">
        <f>H2/E2</f>
        <v>0.75454545454545463</v>
      </c>
      <c r="M2">
        <f>H2*1.5</f>
        <v>24.900000000000002</v>
      </c>
      <c r="N2">
        <f>E2-M2</f>
        <v>-2.9000000000000021</v>
      </c>
    </row>
    <row r="3" spans="1:14" x14ac:dyDescent="0.25">
      <c r="A3" s="1">
        <v>41922</v>
      </c>
      <c r="B3">
        <v>94836</v>
      </c>
      <c r="C3" t="s">
        <v>9</v>
      </c>
      <c r="D3">
        <v>94850</v>
      </c>
      <c r="E3">
        <v>54</v>
      </c>
      <c r="G3" s="3">
        <v>41922.434264085598</v>
      </c>
      <c r="H3" s="15">
        <v>37.5</v>
      </c>
      <c r="I3" s="4" t="s">
        <v>25</v>
      </c>
      <c r="J3">
        <f>E3-H3</f>
        <v>16.5</v>
      </c>
      <c r="K3" s="7">
        <f>H3/E3</f>
        <v>0.69444444444444442</v>
      </c>
      <c r="M3">
        <f t="shared" ref="M3:M35" si="0">H3*1.5</f>
        <v>56.25</v>
      </c>
      <c r="N3">
        <f t="shared" ref="N3:N35" si="1">E3-M3</f>
        <v>-2.25</v>
      </c>
    </row>
    <row r="4" spans="1:14" x14ac:dyDescent="0.25">
      <c r="A4" s="8">
        <v>41922</v>
      </c>
      <c r="B4" s="9">
        <v>94850</v>
      </c>
      <c r="C4" s="9" t="s">
        <v>9</v>
      </c>
      <c r="D4" s="9">
        <v>94890</v>
      </c>
      <c r="E4" s="9">
        <f t="shared" ref="E4:E18" si="2">D4-D3</f>
        <v>40</v>
      </c>
    </row>
    <row r="5" spans="1:14" x14ac:dyDescent="0.25">
      <c r="A5" s="1">
        <v>41922</v>
      </c>
      <c r="B5">
        <v>94890</v>
      </c>
      <c r="C5" t="s">
        <v>10</v>
      </c>
      <c r="D5">
        <v>94916</v>
      </c>
      <c r="E5">
        <f t="shared" si="2"/>
        <v>26</v>
      </c>
      <c r="G5" s="3">
        <v>41922.6113505787</v>
      </c>
      <c r="H5" s="15">
        <v>15.9</v>
      </c>
      <c r="I5" s="4" t="s">
        <v>20</v>
      </c>
      <c r="J5">
        <f>E5-H5</f>
        <v>10.1</v>
      </c>
      <c r="K5" s="7">
        <f>H5/E5</f>
        <v>0.61153846153846159</v>
      </c>
      <c r="M5">
        <f t="shared" si="0"/>
        <v>23.85</v>
      </c>
      <c r="N5">
        <f t="shared" si="1"/>
        <v>2.1499999999999986</v>
      </c>
    </row>
    <row r="6" spans="1:14" x14ac:dyDescent="0.25">
      <c r="A6" s="1">
        <v>41925</v>
      </c>
      <c r="B6">
        <v>94916</v>
      </c>
      <c r="C6" t="s">
        <v>27</v>
      </c>
      <c r="D6">
        <v>94930</v>
      </c>
      <c r="E6">
        <f t="shared" si="2"/>
        <v>14</v>
      </c>
      <c r="G6" s="3">
        <v>41927.355215775497</v>
      </c>
      <c r="H6" s="15">
        <v>15.9</v>
      </c>
      <c r="I6" s="4" t="s">
        <v>21</v>
      </c>
      <c r="J6">
        <f>E6-H6</f>
        <v>-1.9000000000000004</v>
      </c>
      <c r="K6" s="7">
        <f>H6/E6</f>
        <v>1.1357142857142857</v>
      </c>
      <c r="M6">
        <f t="shared" si="0"/>
        <v>23.85</v>
      </c>
      <c r="N6">
        <f t="shared" si="1"/>
        <v>-9.8500000000000014</v>
      </c>
    </row>
    <row r="7" spans="1:14" x14ac:dyDescent="0.25">
      <c r="A7" s="1">
        <v>41926</v>
      </c>
      <c r="B7">
        <v>94930</v>
      </c>
      <c r="C7" t="s">
        <v>10</v>
      </c>
      <c r="D7">
        <v>94992</v>
      </c>
      <c r="E7">
        <f t="shared" si="2"/>
        <v>62</v>
      </c>
      <c r="G7" s="3">
        <v>41926.405556597201</v>
      </c>
      <c r="H7" s="15">
        <v>35.799999999999997</v>
      </c>
      <c r="I7" s="4" t="s">
        <v>20</v>
      </c>
      <c r="J7">
        <f>E7-H7</f>
        <v>26.200000000000003</v>
      </c>
      <c r="K7" s="7">
        <f>H7/E7</f>
        <v>0.57741935483870965</v>
      </c>
      <c r="M7">
        <f t="shared" si="0"/>
        <v>53.699999999999996</v>
      </c>
      <c r="N7">
        <f t="shared" si="1"/>
        <v>8.3000000000000043</v>
      </c>
    </row>
    <row r="8" spans="1:14" x14ac:dyDescent="0.25">
      <c r="A8" s="1">
        <v>41927</v>
      </c>
      <c r="B8">
        <v>94992</v>
      </c>
      <c r="C8" t="s">
        <v>27</v>
      </c>
      <c r="D8">
        <v>95015</v>
      </c>
      <c r="E8">
        <f t="shared" si="2"/>
        <v>23</v>
      </c>
    </row>
    <row r="9" spans="1:14" x14ac:dyDescent="0.25">
      <c r="A9" s="1">
        <v>41927</v>
      </c>
      <c r="B9">
        <v>95015</v>
      </c>
      <c r="C9" t="s">
        <v>10</v>
      </c>
      <c r="D9">
        <v>95045</v>
      </c>
      <c r="E9">
        <f t="shared" si="2"/>
        <v>30</v>
      </c>
      <c r="G9" s="3">
        <v>41927.537013969901</v>
      </c>
      <c r="H9" s="15">
        <v>19.5</v>
      </c>
      <c r="I9" s="4" t="s">
        <v>20</v>
      </c>
      <c r="J9">
        <f>E9-H9</f>
        <v>10.5</v>
      </c>
      <c r="K9" s="7">
        <f>H9/E9</f>
        <v>0.65</v>
      </c>
      <c r="M9">
        <f t="shared" si="0"/>
        <v>29.25</v>
      </c>
      <c r="N9">
        <f t="shared" si="1"/>
        <v>0.75</v>
      </c>
    </row>
    <row r="10" spans="1:14" x14ac:dyDescent="0.25">
      <c r="A10" s="1">
        <v>41928</v>
      </c>
      <c r="C10" t="s">
        <v>8</v>
      </c>
      <c r="D10">
        <v>95074</v>
      </c>
      <c r="E10">
        <f t="shared" si="2"/>
        <v>29</v>
      </c>
      <c r="G10" s="3">
        <v>41928.493659375003</v>
      </c>
      <c r="H10" s="15">
        <v>20.7</v>
      </c>
      <c r="I10" s="4" t="s">
        <v>26</v>
      </c>
      <c r="J10">
        <f>E10-H10</f>
        <v>8.3000000000000007</v>
      </c>
      <c r="K10" s="7">
        <f>H10/E10</f>
        <v>0.71379310344827585</v>
      </c>
      <c r="M10">
        <f t="shared" si="0"/>
        <v>31.049999999999997</v>
      </c>
      <c r="N10">
        <f t="shared" si="1"/>
        <v>-2.0499999999999972</v>
      </c>
    </row>
    <row r="11" spans="1:14" x14ac:dyDescent="0.25">
      <c r="A11" s="1">
        <v>41928</v>
      </c>
      <c r="C11" t="s">
        <v>11</v>
      </c>
      <c r="D11">
        <v>95370</v>
      </c>
      <c r="E11">
        <f t="shared" si="2"/>
        <v>296</v>
      </c>
      <c r="G11" s="3">
        <v>41928.537443553199</v>
      </c>
      <c r="H11" s="15">
        <f>84.7+110.9</f>
        <v>195.60000000000002</v>
      </c>
      <c r="I11" s="4" t="s">
        <v>22</v>
      </c>
      <c r="J11">
        <f>E11-H11</f>
        <v>100.39999999999998</v>
      </c>
      <c r="K11" s="7">
        <f>H11/E11</f>
        <v>0.66081081081081083</v>
      </c>
      <c r="M11">
        <f t="shared" si="0"/>
        <v>293.40000000000003</v>
      </c>
      <c r="N11">
        <f t="shared" si="1"/>
        <v>2.5999999999999659</v>
      </c>
    </row>
    <row r="12" spans="1:14" x14ac:dyDescent="0.25">
      <c r="A12" s="1"/>
      <c r="G12" s="5">
        <v>41928.532979780102</v>
      </c>
      <c r="H12" s="17">
        <v>110.9</v>
      </c>
      <c r="I12" s="6" t="s">
        <v>22</v>
      </c>
    </row>
    <row r="13" spans="1:14" x14ac:dyDescent="0.25">
      <c r="A13" s="1">
        <v>41928</v>
      </c>
      <c r="C13" t="s">
        <v>10</v>
      </c>
      <c r="D13">
        <v>95394</v>
      </c>
      <c r="E13">
        <f>D13-D11</f>
        <v>24</v>
      </c>
      <c r="G13" s="3">
        <v>41928.545564583299</v>
      </c>
      <c r="H13" s="15">
        <v>16.7</v>
      </c>
      <c r="I13" s="4" t="s">
        <v>20</v>
      </c>
      <c r="J13">
        <f t="shared" ref="J13:J24" si="3">E13-H13</f>
        <v>7.3000000000000007</v>
      </c>
      <c r="K13" s="7">
        <f t="shared" ref="K13:K18" si="4">H13/E13</f>
        <v>0.6958333333333333</v>
      </c>
      <c r="M13">
        <f t="shared" si="0"/>
        <v>25.049999999999997</v>
      </c>
      <c r="N13">
        <f t="shared" si="1"/>
        <v>-1.0499999999999972</v>
      </c>
    </row>
    <row r="14" spans="1:14" x14ac:dyDescent="0.25">
      <c r="A14" s="1">
        <v>41929</v>
      </c>
      <c r="C14" t="s">
        <v>10</v>
      </c>
      <c r="D14">
        <v>95424</v>
      </c>
      <c r="E14">
        <f t="shared" si="2"/>
        <v>30</v>
      </c>
      <c r="G14" s="3">
        <v>41929.554265358798</v>
      </c>
      <c r="H14" s="15">
        <v>21.5</v>
      </c>
      <c r="I14" s="4" t="s">
        <v>20</v>
      </c>
      <c r="J14">
        <f t="shared" si="3"/>
        <v>8.5</v>
      </c>
      <c r="K14" s="7">
        <f t="shared" si="4"/>
        <v>0.71666666666666667</v>
      </c>
      <c r="M14">
        <f t="shared" si="0"/>
        <v>32.25</v>
      </c>
      <c r="N14">
        <f t="shared" si="1"/>
        <v>-2.25</v>
      </c>
    </row>
    <row r="15" spans="1:14" x14ac:dyDescent="0.25">
      <c r="A15" s="1">
        <v>41929</v>
      </c>
      <c r="C15" t="s">
        <v>9</v>
      </c>
      <c r="D15">
        <v>95455</v>
      </c>
      <c r="E15">
        <f t="shared" si="2"/>
        <v>31</v>
      </c>
      <c r="G15" s="3">
        <v>41929.590292708301</v>
      </c>
      <c r="H15" s="15">
        <v>21.2</v>
      </c>
      <c r="I15" s="4" t="s">
        <v>25</v>
      </c>
      <c r="J15">
        <f t="shared" si="3"/>
        <v>9.8000000000000007</v>
      </c>
      <c r="K15" s="7">
        <f t="shared" si="4"/>
        <v>0.68387096774193545</v>
      </c>
      <c r="M15">
        <f t="shared" si="0"/>
        <v>31.799999999999997</v>
      </c>
      <c r="N15">
        <f t="shared" si="1"/>
        <v>-0.79999999999999716</v>
      </c>
    </row>
    <row r="16" spans="1:14" x14ac:dyDescent="0.25">
      <c r="A16" s="1">
        <v>41929</v>
      </c>
      <c r="C16" t="s">
        <v>11</v>
      </c>
      <c r="D16">
        <v>95487</v>
      </c>
      <c r="E16">
        <f t="shared" si="2"/>
        <v>32</v>
      </c>
      <c r="G16" s="3">
        <v>41932.339768715297</v>
      </c>
      <c r="H16" s="15">
        <v>20.7</v>
      </c>
      <c r="I16" s="4" t="s">
        <v>22</v>
      </c>
      <c r="J16">
        <f t="shared" si="3"/>
        <v>11.3</v>
      </c>
      <c r="K16" s="7">
        <f t="shared" si="4"/>
        <v>0.64687499999999998</v>
      </c>
      <c r="M16">
        <f t="shared" si="0"/>
        <v>31.049999999999997</v>
      </c>
      <c r="N16">
        <f t="shared" si="1"/>
        <v>0.95000000000000284</v>
      </c>
    </row>
    <row r="17" spans="1:14" x14ac:dyDescent="0.25">
      <c r="A17" s="1">
        <v>41929</v>
      </c>
      <c r="C17" t="s">
        <v>12</v>
      </c>
      <c r="D17">
        <v>95540</v>
      </c>
      <c r="E17">
        <f t="shared" si="2"/>
        <v>53</v>
      </c>
      <c r="J17">
        <f t="shared" si="3"/>
        <v>53</v>
      </c>
      <c r="K17" s="7">
        <f t="shared" si="4"/>
        <v>0</v>
      </c>
    </row>
    <row r="18" spans="1:14" x14ac:dyDescent="0.25">
      <c r="A18" s="1">
        <v>41932</v>
      </c>
      <c r="C18" t="s">
        <v>9</v>
      </c>
      <c r="D18">
        <v>95581</v>
      </c>
      <c r="E18">
        <f t="shared" si="2"/>
        <v>41</v>
      </c>
      <c r="G18" s="3">
        <v>41932.475899074103</v>
      </c>
      <c r="H18" s="15">
        <v>36.200000000000003</v>
      </c>
      <c r="I18" s="4" t="s">
        <v>25</v>
      </c>
      <c r="J18">
        <f t="shared" si="3"/>
        <v>4.7999999999999972</v>
      </c>
      <c r="K18" s="7">
        <f t="shared" si="4"/>
        <v>0.8829268292682928</v>
      </c>
      <c r="M18">
        <f t="shared" si="0"/>
        <v>54.300000000000004</v>
      </c>
      <c r="N18">
        <f t="shared" si="1"/>
        <v>-13.300000000000004</v>
      </c>
    </row>
    <row r="19" spans="1:14" x14ac:dyDescent="0.25">
      <c r="G19" s="3">
        <v>41933.356523460701</v>
      </c>
      <c r="H19" s="15">
        <v>27.8</v>
      </c>
      <c r="I19" s="4" t="s">
        <v>25</v>
      </c>
      <c r="J19">
        <f t="shared" si="3"/>
        <v>-27.8</v>
      </c>
      <c r="M19">
        <f t="shared" si="0"/>
        <v>41.7</v>
      </c>
      <c r="N19">
        <f t="shared" si="1"/>
        <v>-41.7</v>
      </c>
    </row>
    <row r="20" spans="1:14" x14ac:dyDescent="0.25">
      <c r="A20" s="1">
        <v>41933</v>
      </c>
      <c r="C20" t="s">
        <v>12</v>
      </c>
      <c r="D20">
        <v>95614</v>
      </c>
      <c r="E20">
        <f>D20-D18</f>
        <v>33</v>
      </c>
      <c r="G20" s="3">
        <v>41934.3535730324</v>
      </c>
      <c r="H20" s="15">
        <v>50.7</v>
      </c>
      <c r="I20" s="4" t="s">
        <v>19</v>
      </c>
      <c r="J20">
        <f t="shared" si="3"/>
        <v>-17.700000000000003</v>
      </c>
      <c r="K20" s="7">
        <f>H20/E20</f>
        <v>1.5363636363636364</v>
      </c>
      <c r="M20">
        <f t="shared" si="0"/>
        <v>76.050000000000011</v>
      </c>
      <c r="N20">
        <f t="shared" si="1"/>
        <v>-43.050000000000011</v>
      </c>
    </row>
    <row r="21" spans="1:14" x14ac:dyDescent="0.25">
      <c r="A21" s="1">
        <v>41933</v>
      </c>
      <c r="C21" t="s">
        <v>12</v>
      </c>
      <c r="D21">
        <v>95690</v>
      </c>
      <c r="E21">
        <f t="shared" ref="E21:E82" si="5">D21-D20</f>
        <v>76</v>
      </c>
      <c r="G21" s="3">
        <v>41933.482350613398</v>
      </c>
      <c r="H21" s="15">
        <v>23</v>
      </c>
      <c r="I21" s="4" t="s">
        <v>19</v>
      </c>
      <c r="J21">
        <f t="shared" si="3"/>
        <v>53</v>
      </c>
      <c r="K21" s="7">
        <f>H21/E21</f>
        <v>0.30263157894736842</v>
      </c>
      <c r="M21">
        <f t="shared" si="0"/>
        <v>34.5</v>
      </c>
      <c r="N21">
        <f t="shared" si="1"/>
        <v>41.5</v>
      </c>
    </row>
    <row r="22" spans="1:14" x14ac:dyDescent="0.25">
      <c r="A22" s="1">
        <v>41934</v>
      </c>
      <c r="C22" t="s">
        <v>27</v>
      </c>
      <c r="D22">
        <v>95704</v>
      </c>
      <c r="E22">
        <f t="shared" si="5"/>
        <v>14</v>
      </c>
      <c r="G22" s="3">
        <v>41934.589486030098</v>
      </c>
      <c r="H22" s="15">
        <v>8.3000000000000007</v>
      </c>
      <c r="I22" s="4" t="s">
        <v>21</v>
      </c>
      <c r="J22">
        <f t="shared" si="3"/>
        <v>5.6999999999999993</v>
      </c>
      <c r="K22" s="7">
        <f>H22/E22</f>
        <v>0.59285714285714286</v>
      </c>
      <c r="M22">
        <f t="shared" si="0"/>
        <v>12.450000000000001</v>
      </c>
      <c r="N22">
        <f t="shared" si="1"/>
        <v>1.5499999999999989</v>
      </c>
    </row>
    <row r="23" spans="1:14" x14ac:dyDescent="0.25">
      <c r="A23" s="1">
        <v>41935</v>
      </c>
      <c r="C23" t="s">
        <v>12</v>
      </c>
      <c r="D23">
        <v>95772</v>
      </c>
      <c r="E23">
        <f t="shared" si="5"/>
        <v>68</v>
      </c>
      <c r="G23" s="3">
        <v>41935.325218749997</v>
      </c>
      <c r="H23" s="15">
        <v>47.3</v>
      </c>
      <c r="I23" s="4" t="s">
        <v>19</v>
      </c>
      <c r="J23">
        <f t="shared" si="3"/>
        <v>20.700000000000003</v>
      </c>
      <c r="K23" s="7">
        <f>H23/E23</f>
        <v>0.69558823529411762</v>
      </c>
      <c r="M23">
        <f t="shared" si="0"/>
        <v>70.949999999999989</v>
      </c>
      <c r="N23">
        <f t="shared" si="1"/>
        <v>-2.9499999999999886</v>
      </c>
    </row>
    <row r="24" spans="1:14" x14ac:dyDescent="0.25">
      <c r="A24" s="1">
        <v>41936</v>
      </c>
      <c r="C24" t="s">
        <v>13</v>
      </c>
      <c r="D24">
        <v>95817</v>
      </c>
      <c r="E24">
        <f t="shared" si="5"/>
        <v>45</v>
      </c>
      <c r="G24" s="3">
        <v>41936.212438969902</v>
      </c>
      <c r="H24" s="15">
        <v>30.6</v>
      </c>
      <c r="I24" s="4" t="s">
        <v>24</v>
      </c>
      <c r="J24">
        <f t="shared" si="3"/>
        <v>14.399999999999999</v>
      </c>
      <c r="K24" s="7">
        <f>H24/E24</f>
        <v>0.68</v>
      </c>
      <c r="M24">
        <f t="shared" si="0"/>
        <v>45.900000000000006</v>
      </c>
      <c r="N24">
        <f t="shared" si="1"/>
        <v>-0.90000000000000568</v>
      </c>
    </row>
    <row r="25" spans="1:14" x14ac:dyDescent="0.25">
      <c r="A25" s="1">
        <v>41939</v>
      </c>
      <c r="C25" t="s">
        <v>14</v>
      </c>
      <c r="D25">
        <v>95882</v>
      </c>
      <c r="E25">
        <f t="shared" si="5"/>
        <v>65</v>
      </c>
    </row>
    <row r="26" spans="1:14" x14ac:dyDescent="0.25">
      <c r="A26" s="1">
        <v>41940</v>
      </c>
      <c r="C26" t="s">
        <v>7</v>
      </c>
      <c r="D26">
        <v>96010</v>
      </c>
      <c r="E26">
        <f t="shared" si="5"/>
        <v>128</v>
      </c>
      <c r="G26" s="3">
        <v>41940.330504710597</v>
      </c>
      <c r="H26" s="15">
        <v>86.6</v>
      </c>
      <c r="I26" s="4" t="s">
        <v>23</v>
      </c>
      <c r="J26">
        <f t="shared" ref="J26:J89" si="6">E26-H26</f>
        <v>41.400000000000006</v>
      </c>
      <c r="K26" s="7">
        <f t="shared" ref="K26:K35" si="7">H26/E26</f>
        <v>0.67656249999999996</v>
      </c>
      <c r="M26">
        <f t="shared" si="0"/>
        <v>129.89999999999998</v>
      </c>
      <c r="N26">
        <f t="shared" si="1"/>
        <v>-1.8999999999999773</v>
      </c>
    </row>
    <row r="27" spans="1:14" x14ac:dyDescent="0.25">
      <c r="A27" s="1">
        <v>41940</v>
      </c>
      <c r="C27" t="s">
        <v>27</v>
      </c>
      <c r="D27">
        <v>96042</v>
      </c>
      <c r="E27">
        <f t="shared" si="5"/>
        <v>32</v>
      </c>
      <c r="G27" s="3">
        <v>41940.4498079861</v>
      </c>
      <c r="H27" s="15">
        <v>21.9</v>
      </c>
      <c r="I27" s="4" t="s">
        <v>21</v>
      </c>
      <c r="J27">
        <f t="shared" si="6"/>
        <v>10.100000000000001</v>
      </c>
      <c r="K27" s="7">
        <f t="shared" si="7"/>
        <v>0.68437499999999996</v>
      </c>
      <c r="M27">
        <f t="shared" si="0"/>
        <v>32.849999999999994</v>
      </c>
      <c r="N27">
        <f t="shared" si="1"/>
        <v>-0.84999999999999432</v>
      </c>
    </row>
    <row r="28" spans="1:14" x14ac:dyDescent="0.25">
      <c r="A28" s="1">
        <v>41940</v>
      </c>
      <c r="C28" t="s">
        <v>15</v>
      </c>
      <c r="D28">
        <v>96071</v>
      </c>
      <c r="E28">
        <f t="shared" si="5"/>
        <v>29</v>
      </c>
      <c r="G28" s="3">
        <v>41940.541678240697</v>
      </c>
      <c r="H28" s="15">
        <v>18.7</v>
      </c>
      <c r="I28" s="4" t="s">
        <v>20</v>
      </c>
      <c r="J28">
        <f t="shared" si="6"/>
        <v>10.3</v>
      </c>
      <c r="K28" s="7">
        <f t="shared" si="7"/>
        <v>0.64482758620689651</v>
      </c>
      <c r="M28">
        <f t="shared" si="0"/>
        <v>28.049999999999997</v>
      </c>
      <c r="N28">
        <f t="shared" si="1"/>
        <v>0.95000000000000284</v>
      </c>
    </row>
    <row r="29" spans="1:14" x14ac:dyDescent="0.25">
      <c r="A29" s="1">
        <v>41941</v>
      </c>
      <c r="C29" t="s">
        <v>16</v>
      </c>
      <c r="D29">
        <v>96343</v>
      </c>
      <c r="E29">
        <f t="shared" si="5"/>
        <v>272</v>
      </c>
      <c r="G29" s="3">
        <v>41941.337155173598</v>
      </c>
      <c r="H29" s="15">
        <v>186.7</v>
      </c>
      <c r="I29" s="4" t="s">
        <v>22</v>
      </c>
      <c r="J29">
        <f t="shared" si="6"/>
        <v>85.300000000000011</v>
      </c>
      <c r="K29" s="7">
        <f t="shared" si="7"/>
        <v>0.68639705882352942</v>
      </c>
      <c r="M29">
        <f t="shared" si="0"/>
        <v>280.04999999999995</v>
      </c>
      <c r="N29">
        <f t="shared" si="1"/>
        <v>-8.0499999999999545</v>
      </c>
    </row>
    <row r="30" spans="1:14" x14ac:dyDescent="0.25">
      <c r="A30" s="1">
        <v>41941</v>
      </c>
      <c r="C30" t="s">
        <v>27</v>
      </c>
      <c r="D30">
        <v>96376</v>
      </c>
      <c r="E30">
        <f t="shared" si="5"/>
        <v>33</v>
      </c>
      <c r="G30" s="3">
        <v>41941.394834409701</v>
      </c>
      <c r="H30" s="15">
        <v>21.9</v>
      </c>
      <c r="I30" s="4" t="s">
        <v>21</v>
      </c>
      <c r="J30">
        <f t="shared" si="6"/>
        <v>11.100000000000001</v>
      </c>
      <c r="K30" s="7">
        <f t="shared" si="7"/>
        <v>0.66363636363636358</v>
      </c>
      <c r="M30">
        <f t="shared" si="0"/>
        <v>32.849999999999994</v>
      </c>
      <c r="N30">
        <f t="shared" si="1"/>
        <v>0.15000000000000568</v>
      </c>
    </row>
    <row r="31" spans="1:14" x14ac:dyDescent="0.25">
      <c r="A31" s="1">
        <v>41941</v>
      </c>
      <c r="C31" t="s">
        <v>15</v>
      </c>
      <c r="D31">
        <v>96407</v>
      </c>
      <c r="E31">
        <f t="shared" si="5"/>
        <v>31</v>
      </c>
      <c r="G31" s="3">
        <v>41941.544868252298</v>
      </c>
      <c r="H31" s="15">
        <v>21</v>
      </c>
      <c r="I31" s="4" t="s">
        <v>20</v>
      </c>
      <c r="J31">
        <f t="shared" si="6"/>
        <v>10</v>
      </c>
      <c r="K31" s="7">
        <f t="shared" si="7"/>
        <v>0.67741935483870963</v>
      </c>
      <c r="M31">
        <f t="shared" si="0"/>
        <v>31.5</v>
      </c>
      <c r="N31">
        <f t="shared" si="1"/>
        <v>-0.5</v>
      </c>
    </row>
    <row r="32" spans="1:14" x14ac:dyDescent="0.25">
      <c r="A32" s="1">
        <v>41942</v>
      </c>
      <c r="C32" t="s">
        <v>27</v>
      </c>
      <c r="D32">
        <v>96429</v>
      </c>
      <c r="E32">
        <f t="shared" si="5"/>
        <v>22</v>
      </c>
      <c r="G32" s="3">
        <v>41942.406952118101</v>
      </c>
      <c r="H32" s="15">
        <v>15.2</v>
      </c>
      <c r="I32" s="4" t="s">
        <v>21</v>
      </c>
      <c r="J32">
        <f t="shared" si="6"/>
        <v>6.8000000000000007</v>
      </c>
      <c r="K32" s="7">
        <f t="shared" si="7"/>
        <v>0.69090909090909092</v>
      </c>
      <c r="M32">
        <f t="shared" si="0"/>
        <v>22.799999999999997</v>
      </c>
      <c r="N32">
        <f t="shared" si="1"/>
        <v>-0.79999999999999716</v>
      </c>
    </row>
    <row r="33" spans="1:14" x14ac:dyDescent="0.25">
      <c r="A33" s="1">
        <v>41942</v>
      </c>
      <c r="C33" t="s">
        <v>15</v>
      </c>
      <c r="D33">
        <v>96456</v>
      </c>
      <c r="E33">
        <f t="shared" si="5"/>
        <v>27</v>
      </c>
      <c r="G33" s="3">
        <v>41942.531064618102</v>
      </c>
      <c r="H33" s="15">
        <v>18</v>
      </c>
      <c r="I33" s="4" t="s">
        <v>20</v>
      </c>
      <c r="J33">
        <f t="shared" si="6"/>
        <v>9</v>
      </c>
      <c r="K33" s="7">
        <f t="shared" si="7"/>
        <v>0.66666666666666663</v>
      </c>
      <c r="M33">
        <f t="shared" si="0"/>
        <v>27</v>
      </c>
      <c r="N33">
        <f t="shared" si="1"/>
        <v>0</v>
      </c>
    </row>
    <row r="34" spans="1:14" x14ac:dyDescent="0.25">
      <c r="A34" s="1">
        <v>41943</v>
      </c>
      <c r="C34" t="s">
        <v>15</v>
      </c>
      <c r="D34">
        <v>96520</v>
      </c>
      <c r="E34">
        <f t="shared" si="5"/>
        <v>64</v>
      </c>
      <c r="G34" s="3">
        <v>41943.539336192101</v>
      </c>
      <c r="H34" s="15">
        <v>42.3</v>
      </c>
      <c r="I34" s="4" t="s">
        <v>20</v>
      </c>
      <c r="J34">
        <f t="shared" si="6"/>
        <v>21.700000000000003</v>
      </c>
      <c r="K34" s="7">
        <f t="shared" si="7"/>
        <v>0.66093749999999996</v>
      </c>
      <c r="M34">
        <f t="shared" si="0"/>
        <v>63.449999999999996</v>
      </c>
      <c r="N34">
        <f t="shared" si="1"/>
        <v>0.55000000000000426</v>
      </c>
    </row>
    <row r="35" spans="1:14" x14ac:dyDescent="0.25">
      <c r="A35" s="1">
        <v>41946</v>
      </c>
      <c r="C35" t="s">
        <v>17</v>
      </c>
      <c r="D35">
        <v>96563</v>
      </c>
      <c r="E35">
        <f t="shared" si="5"/>
        <v>43</v>
      </c>
      <c r="G35" s="3">
        <v>41946.543345023201</v>
      </c>
      <c r="H35" s="15">
        <v>26.9</v>
      </c>
      <c r="I35" s="4" t="s">
        <v>19</v>
      </c>
      <c r="J35">
        <f t="shared" si="6"/>
        <v>16.100000000000001</v>
      </c>
      <c r="K35" s="7">
        <f t="shared" si="7"/>
        <v>0.62558139534883717</v>
      </c>
      <c r="M35">
        <f t="shared" si="0"/>
        <v>40.349999999999994</v>
      </c>
      <c r="N35">
        <f t="shared" si="1"/>
        <v>2.6500000000000057</v>
      </c>
    </row>
    <row r="37" spans="1:14" x14ac:dyDescent="0.25">
      <c r="A37" s="1">
        <v>41947</v>
      </c>
      <c r="C37" t="s">
        <v>17</v>
      </c>
      <c r="D37">
        <v>96630</v>
      </c>
      <c r="E37">
        <f>D37-96563</f>
        <v>67</v>
      </c>
      <c r="G37" s="12">
        <v>41947.377761226897</v>
      </c>
      <c r="H37" s="18">
        <v>46.5</v>
      </c>
      <c r="I37" s="13" t="s">
        <v>19</v>
      </c>
      <c r="J37">
        <f t="shared" si="6"/>
        <v>20.5</v>
      </c>
      <c r="K37" s="7">
        <f t="shared" ref="K37" si="8">H37/E37</f>
        <v>0.69402985074626866</v>
      </c>
      <c r="M37">
        <f t="shared" ref="M37" si="9">H37*1.5</f>
        <v>69.75</v>
      </c>
      <c r="N37">
        <f t="shared" ref="N37" si="10">E37-M37</f>
        <v>-2.75</v>
      </c>
    </row>
    <row r="38" spans="1:14" x14ac:dyDescent="0.25">
      <c r="A38" s="1">
        <v>41948</v>
      </c>
      <c r="C38" t="s">
        <v>17</v>
      </c>
      <c r="D38">
        <v>96725</v>
      </c>
      <c r="E38">
        <f>D38-D37</f>
        <v>95</v>
      </c>
      <c r="G38" s="12">
        <v>41948.3372592245</v>
      </c>
      <c r="H38" s="18">
        <v>63.8</v>
      </c>
      <c r="I38" s="13" t="s">
        <v>25</v>
      </c>
      <c r="J38">
        <f t="shared" si="6"/>
        <v>31.200000000000003</v>
      </c>
      <c r="K38" s="7">
        <f t="shared" ref="K38:K92" si="11">H38/E38</f>
        <v>0.67157894736842105</v>
      </c>
      <c r="M38">
        <f t="shared" ref="M38:M92" si="12">H38*1.5</f>
        <v>95.699999999999989</v>
      </c>
      <c r="N38">
        <f t="shared" ref="N38:N92" si="13">E38-M38</f>
        <v>-0.69999999999998863</v>
      </c>
    </row>
    <row r="39" spans="1:14" x14ac:dyDescent="0.25">
      <c r="A39" s="1">
        <v>41948</v>
      </c>
      <c r="C39" t="s">
        <v>16</v>
      </c>
      <c r="D39">
        <v>96787</v>
      </c>
      <c r="E39">
        <f>D39-D38</f>
        <v>62</v>
      </c>
      <c r="J39">
        <f t="shared" si="6"/>
        <v>62</v>
      </c>
      <c r="K39" s="7">
        <f t="shared" si="11"/>
        <v>0</v>
      </c>
      <c r="M39">
        <f t="shared" si="12"/>
        <v>0</v>
      </c>
      <c r="N39">
        <f t="shared" si="13"/>
        <v>62</v>
      </c>
    </row>
    <row r="40" spans="1:14" x14ac:dyDescent="0.25">
      <c r="A40" s="1">
        <v>41949</v>
      </c>
      <c r="C40" t="s">
        <v>17</v>
      </c>
      <c r="D40">
        <v>96824</v>
      </c>
      <c r="E40">
        <f>D40-D39</f>
        <v>37</v>
      </c>
      <c r="G40" s="12">
        <v>41949.3166583333</v>
      </c>
      <c r="H40" s="18">
        <v>25.1</v>
      </c>
      <c r="I40" s="13" t="s">
        <v>19</v>
      </c>
      <c r="J40">
        <f t="shared" si="6"/>
        <v>11.899999999999999</v>
      </c>
      <c r="K40" s="7">
        <f t="shared" si="11"/>
        <v>0.67837837837837844</v>
      </c>
      <c r="M40">
        <f t="shared" si="12"/>
        <v>37.650000000000006</v>
      </c>
      <c r="N40">
        <f t="shared" si="13"/>
        <v>-0.65000000000000568</v>
      </c>
    </row>
    <row r="41" spans="1:14" x14ac:dyDescent="0.25">
      <c r="A41" s="1">
        <v>41949</v>
      </c>
      <c r="C41" t="s">
        <v>34</v>
      </c>
      <c r="D41">
        <v>97095</v>
      </c>
      <c r="E41">
        <f>D41-D40</f>
        <v>271</v>
      </c>
      <c r="G41" s="12">
        <v>41949.468350613402</v>
      </c>
      <c r="H41" s="18">
        <v>181.1</v>
      </c>
      <c r="I41" s="13" t="s">
        <v>23</v>
      </c>
      <c r="J41">
        <f t="shared" si="6"/>
        <v>89.9</v>
      </c>
      <c r="K41" s="7">
        <f t="shared" si="11"/>
        <v>0.66826568265682651</v>
      </c>
      <c r="M41">
        <f t="shared" si="12"/>
        <v>271.64999999999998</v>
      </c>
      <c r="N41">
        <f t="shared" si="13"/>
        <v>-0.64999999999997726</v>
      </c>
    </row>
    <row r="42" spans="1:14" x14ac:dyDescent="0.25">
      <c r="A42" s="1">
        <v>41949</v>
      </c>
      <c r="C42" t="s">
        <v>35</v>
      </c>
      <c r="D42">
        <v>97130</v>
      </c>
      <c r="E42">
        <f>D42-D41</f>
        <v>35</v>
      </c>
      <c r="G42" s="12">
        <v>41949.596309108798</v>
      </c>
      <c r="H42" s="18">
        <v>23.5</v>
      </c>
      <c r="I42" s="13" t="s">
        <v>21</v>
      </c>
      <c r="J42">
        <f t="shared" si="6"/>
        <v>11.5</v>
      </c>
      <c r="K42" s="7">
        <f t="shared" si="11"/>
        <v>0.67142857142857137</v>
      </c>
      <c r="M42">
        <f t="shared" si="12"/>
        <v>35.25</v>
      </c>
      <c r="N42">
        <f t="shared" si="13"/>
        <v>-0.25</v>
      </c>
    </row>
    <row r="43" spans="1:14" x14ac:dyDescent="0.25">
      <c r="A43" s="1">
        <v>41949</v>
      </c>
      <c r="C43" t="s">
        <v>35</v>
      </c>
      <c r="D43">
        <v>97182</v>
      </c>
      <c r="E43">
        <f>D43-D42</f>
        <v>52</v>
      </c>
      <c r="G43" s="12">
        <v>41949.6364980324</v>
      </c>
      <c r="H43" s="18">
        <v>33.799999999999997</v>
      </c>
      <c r="I43" s="13" t="s">
        <v>26</v>
      </c>
      <c r="J43">
        <f t="shared" si="6"/>
        <v>18.200000000000003</v>
      </c>
      <c r="K43" s="7">
        <f t="shared" si="11"/>
        <v>0.64999999999999991</v>
      </c>
      <c r="M43">
        <f t="shared" si="12"/>
        <v>50.699999999999996</v>
      </c>
      <c r="N43">
        <f t="shared" si="13"/>
        <v>1.3000000000000043</v>
      </c>
    </row>
    <row r="44" spans="1:14" x14ac:dyDescent="0.25">
      <c r="A44" s="1">
        <v>41950</v>
      </c>
      <c r="C44" t="s">
        <v>17</v>
      </c>
      <c r="D44">
        <v>97239</v>
      </c>
      <c r="E44">
        <f>D44-D43</f>
        <v>57</v>
      </c>
      <c r="G44" s="12">
        <v>41950.535097071799</v>
      </c>
      <c r="H44" s="18">
        <v>37</v>
      </c>
      <c r="I44" s="13" t="s">
        <v>25</v>
      </c>
      <c r="J44">
        <f t="shared" si="6"/>
        <v>20</v>
      </c>
      <c r="K44" s="7">
        <f t="shared" si="11"/>
        <v>0.64912280701754388</v>
      </c>
      <c r="M44">
        <f t="shared" si="12"/>
        <v>55.5</v>
      </c>
      <c r="N44">
        <f t="shared" si="13"/>
        <v>1.5</v>
      </c>
    </row>
    <row r="45" spans="1:14" x14ac:dyDescent="0.25">
      <c r="A45" s="1">
        <v>41950</v>
      </c>
      <c r="C45" t="s">
        <v>34</v>
      </c>
      <c r="D45">
        <v>97383</v>
      </c>
      <c r="E45">
        <f>D45-D44</f>
        <v>144</v>
      </c>
      <c r="G45" s="12">
        <v>41950.562630405097</v>
      </c>
      <c r="H45" s="18">
        <v>94.7</v>
      </c>
      <c r="I45" s="13" t="s">
        <v>23</v>
      </c>
      <c r="J45">
        <f t="shared" si="6"/>
        <v>49.3</v>
      </c>
      <c r="K45" s="7">
        <f t="shared" si="11"/>
        <v>0.65763888888888888</v>
      </c>
      <c r="M45">
        <f t="shared" si="12"/>
        <v>142.05000000000001</v>
      </c>
      <c r="N45">
        <f t="shared" si="13"/>
        <v>1.9499999999999886</v>
      </c>
    </row>
    <row r="46" spans="1:14" x14ac:dyDescent="0.25">
      <c r="A46" s="1">
        <v>41953</v>
      </c>
      <c r="C46" t="s">
        <v>36</v>
      </c>
      <c r="D46">
        <v>97413</v>
      </c>
      <c r="E46">
        <f>D46-D45</f>
        <v>30</v>
      </c>
      <c r="G46" s="12">
        <v>41953.452299386598</v>
      </c>
      <c r="H46" s="18">
        <v>20.3</v>
      </c>
      <c r="I46" s="13" t="s">
        <v>21</v>
      </c>
      <c r="J46">
        <f t="shared" si="6"/>
        <v>9.6999999999999993</v>
      </c>
      <c r="K46" s="7">
        <f t="shared" si="11"/>
        <v>0.67666666666666664</v>
      </c>
      <c r="M46">
        <f t="shared" si="12"/>
        <v>30.450000000000003</v>
      </c>
      <c r="N46">
        <f t="shared" si="13"/>
        <v>-0.45000000000000284</v>
      </c>
    </row>
    <row r="47" spans="1:14" x14ac:dyDescent="0.25">
      <c r="A47" s="1">
        <v>41953</v>
      </c>
      <c r="C47" t="s">
        <v>15</v>
      </c>
      <c r="D47">
        <v>97447</v>
      </c>
      <c r="E47">
        <f>D47-D46</f>
        <v>34</v>
      </c>
      <c r="G47" s="12">
        <v>41953.542683182903</v>
      </c>
      <c r="H47" s="18">
        <v>24</v>
      </c>
      <c r="I47" s="13" t="s">
        <v>20</v>
      </c>
      <c r="J47">
        <f t="shared" si="6"/>
        <v>10</v>
      </c>
      <c r="K47" s="7">
        <f t="shared" si="11"/>
        <v>0.70588235294117652</v>
      </c>
      <c r="M47">
        <f t="shared" si="12"/>
        <v>36</v>
      </c>
      <c r="N47">
        <f t="shared" si="13"/>
        <v>-2</v>
      </c>
    </row>
    <row r="48" spans="1:14" x14ac:dyDescent="0.25">
      <c r="A48" s="1">
        <v>41955</v>
      </c>
      <c r="C48" t="s">
        <v>15</v>
      </c>
      <c r="D48">
        <v>97495</v>
      </c>
      <c r="E48">
        <f>D48-D47</f>
        <v>48</v>
      </c>
      <c r="G48" s="12">
        <v>41955.551157060203</v>
      </c>
      <c r="H48" s="18">
        <v>31.4</v>
      </c>
      <c r="I48" s="13" t="s">
        <v>20</v>
      </c>
      <c r="J48">
        <f t="shared" si="6"/>
        <v>16.600000000000001</v>
      </c>
      <c r="K48" s="7">
        <f t="shared" si="11"/>
        <v>0.65416666666666667</v>
      </c>
      <c r="M48">
        <f t="shared" si="12"/>
        <v>47.099999999999994</v>
      </c>
      <c r="N48">
        <f t="shared" si="13"/>
        <v>0.90000000000000568</v>
      </c>
    </row>
    <row r="49" spans="1:14" x14ac:dyDescent="0.25">
      <c r="A49" s="1">
        <v>41956</v>
      </c>
      <c r="C49" t="s">
        <v>15</v>
      </c>
      <c r="D49">
        <v>97536</v>
      </c>
      <c r="E49">
        <f>D49-D48</f>
        <v>41</v>
      </c>
      <c r="G49" s="12">
        <v>41956.466701736099</v>
      </c>
      <c r="H49" s="18">
        <v>26.7</v>
      </c>
      <c r="I49" s="13" t="s">
        <v>20</v>
      </c>
      <c r="J49">
        <f t="shared" si="6"/>
        <v>14.3</v>
      </c>
      <c r="K49" s="7">
        <f t="shared" si="11"/>
        <v>0.65121951219512197</v>
      </c>
      <c r="M49">
        <f t="shared" si="12"/>
        <v>40.049999999999997</v>
      </c>
      <c r="N49">
        <f t="shared" si="13"/>
        <v>0.95000000000000284</v>
      </c>
    </row>
    <row r="50" spans="1:14" x14ac:dyDescent="0.25">
      <c r="A50" s="1">
        <v>41956</v>
      </c>
      <c r="C50" t="s">
        <v>36</v>
      </c>
      <c r="D50">
        <v>97550</v>
      </c>
      <c r="E50">
        <f>D50-D49</f>
        <v>14</v>
      </c>
      <c r="G50" s="12">
        <v>41956.511836655103</v>
      </c>
      <c r="H50" s="18">
        <v>12.7</v>
      </c>
      <c r="I50" s="13" t="s">
        <v>21</v>
      </c>
      <c r="J50">
        <f t="shared" si="6"/>
        <v>1.3000000000000007</v>
      </c>
      <c r="K50" s="7">
        <f t="shared" si="11"/>
        <v>0.90714285714285714</v>
      </c>
      <c r="M50">
        <f t="shared" si="12"/>
        <v>19.049999999999997</v>
      </c>
      <c r="N50">
        <f t="shared" si="13"/>
        <v>-5.0499999999999972</v>
      </c>
    </row>
    <row r="51" spans="1:14" x14ac:dyDescent="0.25">
      <c r="A51" s="1">
        <v>41956</v>
      </c>
      <c r="C51" t="s">
        <v>37</v>
      </c>
      <c r="D51">
        <v>97600</v>
      </c>
      <c r="E51">
        <f>D51-D50</f>
        <v>50</v>
      </c>
      <c r="G51" s="12">
        <v>41956.809458067102</v>
      </c>
      <c r="H51" s="18">
        <v>31</v>
      </c>
      <c r="I51" s="13" t="s">
        <v>25</v>
      </c>
      <c r="J51">
        <f t="shared" si="6"/>
        <v>19</v>
      </c>
      <c r="K51" s="7">
        <f t="shared" si="11"/>
        <v>0.62</v>
      </c>
      <c r="M51">
        <f t="shared" si="12"/>
        <v>46.5</v>
      </c>
      <c r="N51">
        <f t="shared" si="13"/>
        <v>3.5</v>
      </c>
    </row>
    <row r="52" spans="1:14" x14ac:dyDescent="0.25">
      <c r="A52" s="1">
        <v>41956</v>
      </c>
      <c r="C52" t="s">
        <v>35</v>
      </c>
      <c r="D52">
        <v>97627</v>
      </c>
      <c r="E52">
        <f>D52-D51</f>
        <v>27</v>
      </c>
      <c r="G52" s="12">
        <v>41957.166131134298</v>
      </c>
      <c r="H52" s="18">
        <v>15.8</v>
      </c>
      <c r="I52" s="13" t="s">
        <v>26</v>
      </c>
      <c r="J52">
        <f t="shared" si="6"/>
        <v>11.2</v>
      </c>
      <c r="K52" s="7">
        <f t="shared" si="11"/>
        <v>0.58518518518518525</v>
      </c>
      <c r="M52">
        <f t="shared" si="12"/>
        <v>23.700000000000003</v>
      </c>
      <c r="N52">
        <f t="shared" si="13"/>
        <v>3.2999999999999972</v>
      </c>
    </row>
    <row r="53" spans="1:14" x14ac:dyDescent="0.25">
      <c r="A53" s="1">
        <v>41957</v>
      </c>
      <c r="C53" t="s">
        <v>15</v>
      </c>
      <c r="D53">
        <v>97652</v>
      </c>
      <c r="E53">
        <f>D53-D52</f>
        <v>25</v>
      </c>
      <c r="G53" s="12">
        <v>41957.538657175901</v>
      </c>
      <c r="H53" s="18">
        <v>17.7</v>
      </c>
      <c r="I53" s="13" t="s">
        <v>20</v>
      </c>
      <c r="J53">
        <f t="shared" si="6"/>
        <v>7.3000000000000007</v>
      </c>
      <c r="K53" s="7">
        <f t="shared" si="11"/>
        <v>0.70799999999999996</v>
      </c>
      <c r="M53">
        <f t="shared" si="12"/>
        <v>26.549999999999997</v>
      </c>
      <c r="N53">
        <f t="shared" si="13"/>
        <v>-1.5499999999999972</v>
      </c>
    </row>
    <row r="54" spans="1:14" x14ac:dyDescent="0.25">
      <c r="A54" s="1">
        <v>41957</v>
      </c>
      <c r="C54" t="s">
        <v>16</v>
      </c>
      <c r="D54">
        <v>97898</v>
      </c>
      <c r="E54">
        <f>D54-D53</f>
        <v>246</v>
      </c>
      <c r="G54" s="12">
        <v>41957.633473576403</v>
      </c>
      <c r="H54" s="18">
        <v>168.2</v>
      </c>
      <c r="I54" s="13" t="s">
        <v>22</v>
      </c>
      <c r="J54">
        <f t="shared" si="6"/>
        <v>77.800000000000011</v>
      </c>
      <c r="K54" s="7">
        <f t="shared" si="11"/>
        <v>0.68373983739837396</v>
      </c>
      <c r="M54">
        <f t="shared" si="12"/>
        <v>252.29999999999998</v>
      </c>
      <c r="N54">
        <f t="shared" si="13"/>
        <v>-6.2999999999999829</v>
      </c>
    </row>
    <row r="55" spans="1:14" x14ac:dyDescent="0.25">
      <c r="A55" s="1">
        <v>41959</v>
      </c>
      <c r="C55" t="s">
        <v>13</v>
      </c>
      <c r="D55">
        <v>97965</v>
      </c>
      <c r="E55">
        <f>D55-D54</f>
        <v>67</v>
      </c>
      <c r="G55" s="12">
        <v>41960.048611574101</v>
      </c>
      <c r="H55" s="18">
        <v>44.3</v>
      </c>
      <c r="I55" s="13" t="s">
        <v>24</v>
      </c>
      <c r="J55">
        <f t="shared" si="6"/>
        <v>22.700000000000003</v>
      </c>
      <c r="K55" s="7">
        <f t="shared" si="11"/>
        <v>0.66119402985074627</v>
      </c>
      <c r="M55">
        <f t="shared" si="12"/>
        <v>66.449999999999989</v>
      </c>
      <c r="N55">
        <f t="shared" si="13"/>
        <v>0.55000000000001137</v>
      </c>
    </row>
    <row r="56" spans="1:14" x14ac:dyDescent="0.25">
      <c r="G56" s="12">
        <v>41960.660858368101</v>
      </c>
      <c r="H56" s="18">
        <v>43.2</v>
      </c>
      <c r="I56" s="13" t="s">
        <v>22</v>
      </c>
      <c r="J56">
        <f t="shared" si="6"/>
        <v>-43.2</v>
      </c>
      <c r="K56" s="7" t="e">
        <f t="shared" si="11"/>
        <v>#DIV/0!</v>
      </c>
      <c r="M56">
        <f t="shared" si="12"/>
        <v>64.800000000000011</v>
      </c>
      <c r="N56">
        <f t="shared" si="13"/>
        <v>-64.800000000000011</v>
      </c>
    </row>
    <row r="57" spans="1:14" x14ac:dyDescent="0.25">
      <c r="A57" s="1">
        <v>41959</v>
      </c>
      <c r="C57" t="s">
        <v>36</v>
      </c>
      <c r="D57">
        <v>98064</v>
      </c>
      <c r="E57">
        <f>D57-D55</f>
        <v>99</v>
      </c>
      <c r="G57" s="12">
        <v>41960.748713692097</v>
      </c>
      <c r="H57" s="18">
        <v>21</v>
      </c>
      <c r="I57" s="13" t="s">
        <v>21</v>
      </c>
      <c r="J57">
        <f t="shared" si="6"/>
        <v>78</v>
      </c>
      <c r="K57" s="7">
        <f t="shared" si="11"/>
        <v>0.21212121212121213</v>
      </c>
      <c r="M57">
        <f t="shared" si="12"/>
        <v>31.5</v>
      </c>
      <c r="N57">
        <f t="shared" si="13"/>
        <v>67.5</v>
      </c>
    </row>
    <row r="58" spans="1:14" x14ac:dyDescent="0.25">
      <c r="A58" s="1">
        <v>41960</v>
      </c>
      <c r="C58" t="s">
        <v>15</v>
      </c>
      <c r="D58">
        <v>98094</v>
      </c>
      <c r="E58">
        <f>D58-D57</f>
        <v>30</v>
      </c>
      <c r="G58" s="12">
        <v>41960.863418090303</v>
      </c>
      <c r="H58" s="18">
        <v>20.5</v>
      </c>
      <c r="I58" s="13" t="s">
        <v>20</v>
      </c>
      <c r="J58">
        <f t="shared" si="6"/>
        <v>9.5</v>
      </c>
      <c r="K58" s="7">
        <f t="shared" si="11"/>
        <v>0.68333333333333335</v>
      </c>
      <c r="M58">
        <f t="shared" si="12"/>
        <v>30.75</v>
      </c>
      <c r="N58">
        <f t="shared" si="13"/>
        <v>-0.75</v>
      </c>
    </row>
    <row r="59" spans="1:14" x14ac:dyDescent="0.25">
      <c r="A59" s="1">
        <v>41961</v>
      </c>
      <c r="C59" t="s">
        <v>13</v>
      </c>
      <c r="D59">
        <v>98119</v>
      </c>
      <c r="E59">
        <f>D59-D58</f>
        <v>25</v>
      </c>
      <c r="G59" s="12">
        <v>41961.150784872698</v>
      </c>
      <c r="H59" s="18">
        <v>18.100000000000001</v>
      </c>
      <c r="I59" s="13" t="s">
        <v>24</v>
      </c>
      <c r="J59">
        <f t="shared" si="6"/>
        <v>6.8999999999999986</v>
      </c>
      <c r="K59" s="7">
        <f t="shared" si="11"/>
        <v>0.72400000000000009</v>
      </c>
      <c r="M59">
        <f t="shared" si="12"/>
        <v>27.150000000000002</v>
      </c>
      <c r="N59">
        <f t="shared" si="13"/>
        <v>-2.1500000000000021</v>
      </c>
    </row>
    <row r="60" spans="1:14" x14ac:dyDescent="0.25">
      <c r="A60" s="1">
        <v>41961</v>
      </c>
      <c r="C60" t="s">
        <v>36</v>
      </c>
      <c r="D60">
        <v>98149</v>
      </c>
      <c r="E60">
        <f>D60-D59</f>
        <v>30</v>
      </c>
      <c r="G60" s="12">
        <v>41961.730212419003</v>
      </c>
      <c r="H60" s="18">
        <v>20.7</v>
      </c>
      <c r="I60" s="13" t="s">
        <v>21</v>
      </c>
      <c r="J60">
        <f t="shared" si="6"/>
        <v>9.3000000000000007</v>
      </c>
      <c r="K60" s="7">
        <f t="shared" si="11"/>
        <v>0.69</v>
      </c>
      <c r="M60">
        <f t="shared" si="12"/>
        <v>31.049999999999997</v>
      </c>
      <c r="N60">
        <f t="shared" si="13"/>
        <v>-1.0499999999999972</v>
      </c>
    </row>
    <row r="61" spans="1:14" x14ac:dyDescent="0.25">
      <c r="A61" s="1">
        <v>41961</v>
      </c>
      <c r="C61" t="s">
        <v>15</v>
      </c>
      <c r="D61">
        <v>98184</v>
      </c>
      <c r="E61">
        <f>D61-D60</f>
        <v>35</v>
      </c>
      <c r="G61" s="12">
        <v>41961.852590358802</v>
      </c>
      <c r="H61" s="18">
        <v>22.2</v>
      </c>
      <c r="I61" s="13" t="s">
        <v>20</v>
      </c>
      <c r="J61">
        <f t="shared" si="6"/>
        <v>12.8</v>
      </c>
      <c r="K61" s="7">
        <f t="shared" si="11"/>
        <v>0.63428571428571423</v>
      </c>
      <c r="M61">
        <f t="shared" si="12"/>
        <v>33.299999999999997</v>
      </c>
      <c r="N61">
        <f t="shared" si="13"/>
        <v>1.7000000000000028</v>
      </c>
    </row>
    <row r="62" spans="1:14" x14ac:dyDescent="0.25">
      <c r="A62" s="1">
        <v>41962</v>
      </c>
      <c r="C62" t="s">
        <v>13</v>
      </c>
      <c r="D62">
        <v>98200</v>
      </c>
      <c r="E62">
        <f>D62-D61</f>
        <v>16</v>
      </c>
      <c r="G62" s="12">
        <v>41962.145300115699</v>
      </c>
      <c r="H62" s="18">
        <v>15.9</v>
      </c>
      <c r="I62" s="13" t="s">
        <v>24</v>
      </c>
      <c r="J62">
        <f t="shared" si="6"/>
        <v>9.9999999999999645E-2</v>
      </c>
      <c r="K62" s="7">
        <f t="shared" si="11"/>
        <v>0.99375000000000002</v>
      </c>
      <c r="M62">
        <f t="shared" si="12"/>
        <v>23.85</v>
      </c>
      <c r="N62">
        <f t="shared" si="13"/>
        <v>-7.8500000000000014</v>
      </c>
    </row>
    <row r="63" spans="1:14" x14ac:dyDescent="0.25">
      <c r="A63" s="1">
        <v>41962</v>
      </c>
      <c r="C63" t="s">
        <v>36</v>
      </c>
      <c r="D63">
        <v>98239</v>
      </c>
      <c r="E63">
        <f>D63-D62</f>
        <v>39</v>
      </c>
      <c r="G63" s="12">
        <v>41962.739995601798</v>
      </c>
      <c r="H63" s="18">
        <v>22.3</v>
      </c>
      <c r="I63" s="13" t="s">
        <v>21</v>
      </c>
      <c r="J63">
        <f t="shared" si="6"/>
        <v>16.7</v>
      </c>
      <c r="K63" s="7">
        <f t="shared" si="11"/>
        <v>0.57179487179487176</v>
      </c>
      <c r="M63">
        <f t="shared" si="12"/>
        <v>33.450000000000003</v>
      </c>
      <c r="N63">
        <f t="shared" si="13"/>
        <v>5.5499999999999972</v>
      </c>
    </row>
    <row r="64" spans="1:14" x14ac:dyDescent="0.25">
      <c r="A64" s="1">
        <v>41962</v>
      </c>
      <c r="C64" t="s">
        <v>35</v>
      </c>
      <c r="D64">
        <v>98271</v>
      </c>
      <c r="E64">
        <f>D64-D63</f>
        <v>32</v>
      </c>
      <c r="G64" s="12">
        <v>41962.786297141203</v>
      </c>
      <c r="H64" s="18">
        <v>21.2</v>
      </c>
      <c r="I64" s="13" t="s">
        <v>26</v>
      </c>
      <c r="J64">
        <f t="shared" si="6"/>
        <v>10.8</v>
      </c>
      <c r="K64" s="7">
        <f t="shared" si="11"/>
        <v>0.66249999999999998</v>
      </c>
      <c r="M64">
        <f t="shared" si="12"/>
        <v>31.799999999999997</v>
      </c>
      <c r="N64">
        <f t="shared" si="13"/>
        <v>0.20000000000000284</v>
      </c>
    </row>
    <row r="65" spans="1:14" x14ac:dyDescent="0.25">
      <c r="G65" s="12">
        <v>41963.210845370399</v>
      </c>
      <c r="H65" s="18">
        <v>13.5</v>
      </c>
      <c r="I65" s="13" t="s">
        <v>24</v>
      </c>
      <c r="J65">
        <f t="shared" si="6"/>
        <v>-13.5</v>
      </c>
      <c r="K65" s="7" t="e">
        <f t="shared" si="11"/>
        <v>#DIV/0!</v>
      </c>
      <c r="M65">
        <f t="shared" si="12"/>
        <v>20.25</v>
      </c>
      <c r="N65">
        <f t="shared" si="13"/>
        <v>-20.25</v>
      </c>
    </row>
    <row r="66" spans="1:14" x14ac:dyDescent="0.25">
      <c r="A66" s="1">
        <v>41963</v>
      </c>
      <c r="C66" t="s">
        <v>35</v>
      </c>
      <c r="D66">
        <v>98322</v>
      </c>
      <c r="E66">
        <f>D66-D64</f>
        <v>51</v>
      </c>
      <c r="G66" s="12">
        <v>41963.704663738397</v>
      </c>
      <c r="H66" s="18">
        <v>21.1</v>
      </c>
      <c r="I66" s="13" t="s">
        <v>26</v>
      </c>
      <c r="J66">
        <f t="shared" si="6"/>
        <v>29.9</v>
      </c>
      <c r="K66" s="7">
        <f t="shared" si="11"/>
        <v>0.41372549019607846</v>
      </c>
      <c r="M66">
        <f t="shared" si="12"/>
        <v>31.650000000000002</v>
      </c>
      <c r="N66">
        <f t="shared" si="13"/>
        <v>19.349999999999998</v>
      </c>
    </row>
    <row r="67" spans="1:14" x14ac:dyDescent="0.25">
      <c r="A67" s="1">
        <v>41963</v>
      </c>
      <c r="C67" t="s">
        <v>36</v>
      </c>
      <c r="D67">
        <v>98355</v>
      </c>
      <c r="E67">
        <f>D67-D66</f>
        <v>33</v>
      </c>
      <c r="G67" s="12">
        <v>41963.860529201404</v>
      </c>
      <c r="H67" s="18">
        <v>21.5</v>
      </c>
      <c r="I67" s="13" t="s">
        <v>21</v>
      </c>
      <c r="J67">
        <f t="shared" si="6"/>
        <v>11.5</v>
      </c>
      <c r="K67" s="7">
        <f t="shared" si="11"/>
        <v>0.65151515151515149</v>
      </c>
      <c r="M67">
        <f t="shared" si="12"/>
        <v>32.25</v>
      </c>
      <c r="N67">
        <f t="shared" si="13"/>
        <v>0.75</v>
      </c>
    </row>
    <row r="68" spans="1:14" x14ac:dyDescent="0.25">
      <c r="A68" s="1">
        <v>41964</v>
      </c>
      <c r="C68" t="s">
        <v>35</v>
      </c>
      <c r="D68">
        <v>98391</v>
      </c>
      <c r="E68">
        <f>D68-D67</f>
        <v>36</v>
      </c>
      <c r="G68" s="12">
        <v>41964.716209259299</v>
      </c>
      <c r="H68" s="18">
        <v>22.2</v>
      </c>
      <c r="I68" s="13" t="s">
        <v>26</v>
      </c>
      <c r="J68">
        <f t="shared" si="6"/>
        <v>13.8</v>
      </c>
      <c r="K68" s="7">
        <f t="shared" si="11"/>
        <v>0.6166666666666667</v>
      </c>
      <c r="M68">
        <f t="shared" si="12"/>
        <v>33.299999999999997</v>
      </c>
      <c r="N68">
        <f t="shared" si="13"/>
        <v>2.7000000000000028</v>
      </c>
    </row>
    <row r="69" spans="1:14" x14ac:dyDescent="0.25">
      <c r="G69" s="12">
        <v>41966.913284525501</v>
      </c>
      <c r="H69" s="18">
        <v>34.299999999999997</v>
      </c>
      <c r="I69" s="13" t="s">
        <v>24</v>
      </c>
      <c r="J69">
        <f t="shared" si="6"/>
        <v>-34.299999999999997</v>
      </c>
      <c r="K69" s="7" t="e">
        <f t="shared" si="11"/>
        <v>#DIV/0!</v>
      </c>
      <c r="M69">
        <f t="shared" si="12"/>
        <v>51.449999999999996</v>
      </c>
      <c r="N69">
        <f t="shared" si="13"/>
        <v>-51.449999999999996</v>
      </c>
    </row>
    <row r="70" spans="1:14" x14ac:dyDescent="0.25">
      <c r="A70" s="1">
        <v>41967</v>
      </c>
      <c r="C70" t="s">
        <v>36</v>
      </c>
      <c r="D70">
        <v>98463</v>
      </c>
      <c r="E70">
        <f>D70-D68</f>
        <v>72</v>
      </c>
      <c r="G70" s="12">
        <v>41967.293555555603</v>
      </c>
      <c r="H70" s="18">
        <v>13.8</v>
      </c>
      <c r="I70" s="13" t="s">
        <v>21</v>
      </c>
      <c r="J70">
        <f t="shared" si="6"/>
        <v>58.2</v>
      </c>
      <c r="K70" s="7">
        <f t="shared" si="11"/>
        <v>0.19166666666666668</v>
      </c>
      <c r="M70">
        <f t="shared" si="12"/>
        <v>20.700000000000003</v>
      </c>
      <c r="N70">
        <f t="shared" si="13"/>
        <v>51.3</v>
      </c>
    </row>
    <row r="71" spans="1:14" x14ac:dyDescent="0.25">
      <c r="A71" s="1">
        <v>41967</v>
      </c>
      <c r="C71" t="s">
        <v>34</v>
      </c>
      <c r="D71">
        <v>98613</v>
      </c>
      <c r="E71">
        <f>D71-D70</f>
        <v>150</v>
      </c>
      <c r="G71" s="12">
        <v>41967.3599145486</v>
      </c>
      <c r="H71" s="18">
        <v>99.3</v>
      </c>
      <c r="I71" s="13" t="s">
        <v>23</v>
      </c>
      <c r="J71">
        <f t="shared" si="6"/>
        <v>50.7</v>
      </c>
      <c r="K71" s="7">
        <f t="shared" si="11"/>
        <v>0.66200000000000003</v>
      </c>
      <c r="M71">
        <f t="shared" si="12"/>
        <v>148.94999999999999</v>
      </c>
      <c r="N71">
        <f t="shared" si="13"/>
        <v>1.0500000000000114</v>
      </c>
    </row>
    <row r="72" spans="1:14" x14ac:dyDescent="0.25">
      <c r="A72" s="1">
        <v>41967</v>
      </c>
      <c r="C72" t="s">
        <v>17</v>
      </c>
      <c r="D72">
        <v>98645</v>
      </c>
      <c r="E72">
        <f>D72-D71</f>
        <v>32</v>
      </c>
      <c r="G72" s="12">
        <v>41967.590627164398</v>
      </c>
      <c r="H72" s="18">
        <v>20.100000000000001</v>
      </c>
      <c r="I72" s="13" t="s">
        <v>19</v>
      </c>
      <c r="J72">
        <f t="shared" si="6"/>
        <v>11.899999999999999</v>
      </c>
      <c r="K72" s="7">
        <f t="shared" si="11"/>
        <v>0.62812500000000004</v>
      </c>
      <c r="M72">
        <f t="shared" si="12"/>
        <v>30.150000000000002</v>
      </c>
      <c r="N72">
        <f t="shared" si="13"/>
        <v>1.8499999999999979</v>
      </c>
    </row>
    <row r="73" spans="1:14" x14ac:dyDescent="0.25">
      <c r="A73" s="1">
        <v>41968</v>
      </c>
      <c r="C73" t="s">
        <v>13</v>
      </c>
      <c r="D73">
        <v>98690</v>
      </c>
      <c r="E73">
        <f>D73-D72</f>
        <v>45</v>
      </c>
      <c r="G73" s="12">
        <v>41968.185713344901</v>
      </c>
      <c r="H73" s="18">
        <v>28.8</v>
      </c>
      <c r="I73" s="13" t="s">
        <v>24</v>
      </c>
      <c r="J73">
        <f t="shared" si="6"/>
        <v>16.2</v>
      </c>
      <c r="K73" s="7">
        <f t="shared" si="11"/>
        <v>0.64</v>
      </c>
      <c r="M73">
        <f t="shared" si="12"/>
        <v>43.2</v>
      </c>
      <c r="N73">
        <f t="shared" si="13"/>
        <v>1.7999999999999972</v>
      </c>
    </row>
    <row r="74" spans="1:14" x14ac:dyDescent="0.25">
      <c r="A74" s="1">
        <v>41968</v>
      </c>
      <c r="C74" t="s">
        <v>37</v>
      </c>
      <c r="D74">
        <v>98772</v>
      </c>
      <c r="E74">
        <f>D74-D73</f>
        <v>82</v>
      </c>
      <c r="G74" s="12">
        <v>41968.294048229203</v>
      </c>
      <c r="H74" s="18">
        <v>31.1</v>
      </c>
      <c r="I74" s="13" t="s">
        <v>41</v>
      </c>
      <c r="J74">
        <f t="shared" si="6"/>
        <v>50.9</v>
      </c>
      <c r="K74" s="7">
        <f t="shared" si="11"/>
        <v>0.37926829268292683</v>
      </c>
      <c r="M74">
        <f t="shared" si="12"/>
        <v>46.650000000000006</v>
      </c>
      <c r="N74">
        <f t="shared" si="13"/>
        <v>35.349999999999994</v>
      </c>
    </row>
    <row r="75" spans="1:14" x14ac:dyDescent="0.25">
      <c r="A75" s="1">
        <v>41968</v>
      </c>
      <c r="C75" t="s">
        <v>17</v>
      </c>
      <c r="D75">
        <v>98808</v>
      </c>
      <c r="E75">
        <f>D75-D74</f>
        <v>36</v>
      </c>
      <c r="G75" s="12">
        <v>41968.803599537001</v>
      </c>
      <c r="H75" s="18">
        <v>23.4</v>
      </c>
      <c r="I75" s="13" t="s">
        <v>25</v>
      </c>
      <c r="J75">
        <f t="shared" si="6"/>
        <v>12.600000000000001</v>
      </c>
      <c r="K75" s="7">
        <f t="shared" si="11"/>
        <v>0.64999999999999991</v>
      </c>
      <c r="M75">
        <f t="shared" si="12"/>
        <v>35.099999999999994</v>
      </c>
      <c r="N75">
        <f t="shared" si="13"/>
        <v>0.90000000000000568</v>
      </c>
    </row>
    <row r="76" spans="1:14" x14ac:dyDescent="0.25">
      <c r="G76" s="12">
        <v>41968.820273692101</v>
      </c>
      <c r="H76" s="18">
        <v>24.5</v>
      </c>
      <c r="I76" s="13" t="s">
        <v>19</v>
      </c>
      <c r="J76">
        <f t="shared" si="6"/>
        <v>-24.5</v>
      </c>
      <c r="K76" s="7" t="e">
        <f t="shared" si="11"/>
        <v>#DIV/0!</v>
      </c>
      <c r="M76">
        <f t="shared" si="12"/>
        <v>36.75</v>
      </c>
      <c r="N76">
        <f t="shared" si="13"/>
        <v>-36.75</v>
      </c>
    </row>
    <row r="77" spans="1:14" x14ac:dyDescent="0.25">
      <c r="A77" s="1">
        <v>41969</v>
      </c>
      <c r="C77" t="s">
        <v>36</v>
      </c>
      <c r="D77">
        <v>98840</v>
      </c>
      <c r="E77">
        <f>D77-D75</f>
        <v>32</v>
      </c>
      <c r="G77" s="12">
        <v>41969.320617557903</v>
      </c>
      <c r="H77" s="18">
        <v>14.1</v>
      </c>
      <c r="I77" s="13" t="s">
        <v>21</v>
      </c>
      <c r="J77">
        <f t="shared" si="6"/>
        <v>17.899999999999999</v>
      </c>
      <c r="K77" s="7">
        <f t="shared" si="11"/>
        <v>0.44062499999999999</v>
      </c>
      <c r="M77">
        <f t="shared" si="12"/>
        <v>21.15</v>
      </c>
      <c r="N77">
        <f t="shared" si="13"/>
        <v>10.850000000000001</v>
      </c>
    </row>
    <row r="78" spans="1:14" x14ac:dyDescent="0.25">
      <c r="G78" s="12">
        <v>41969.855378043998</v>
      </c>
      <c r="H78" s="18">
        <v>18.2</v>
      </c>
      <c r="I78" s="13" t="s">
        <v>25</v>
      </c>
      <c r="J78">
        <f t="shared" si="6"/>
        <v>-18.2</v>
      </c>
      <c r="K78" s="7" t="e">
        <f t="shared" si="11"/>
        <v>#DIV/0!</v>
      </c>
      <c r="M78">
        <f t="shared" si="12"/>
        <v>27.299999999999997</v>
      </c>
      <c r="N78">
        <f t="shared" si="13"/>
        <v>-27.299999999999997</v>
      </c>
    </row>
    <row r="79" spans="1:14" x14ac:dyDescent="0.25">
      <c r="A79" s="1">
        <v>41970</v>
      </c>
      <c r="C79" t="s">
        <v>36</v>
      </c>
      <c r="D79">
        <v>98877</v>
      </c>
      <c r="E79">
        <f>D79-D77</f>
        <v>37</v>
      </c>
      <c r="G79" s="12">
        <v>41970.382567210603</v>
      </c>
      <c r="H79" s="18">
        <v>14.8</v>
      </c>
      <c r="I79" s="13" t="s">
        <v>21</v>
      </c>
      <c r="J79">
        <f t="shared" si="6"/>
        <v>22.2</v>
      </c>
      <c r="K79" s="7">
        <f t="shared" si="11"/>
        <v>0.4</v>
      </c>
      <c r="M79">
        <f t="shared" si="12"/>
        <v>22.200000000000003</v>
      </c>
      <c r="N79">
        <f t="shared" si="13"/>
        <v>14.799999999999997</v>
      </c>
    </row>
    <row r="80" spans="1:14" x14ac:dyDescent="0.25">
      <c r="A80" s="1">
        <v>41970</v>
      </c>
      <c r="C80" t="s">
        <v>15</v>
      </c>
      <c r="D80">
        <v>98914</v>
      </c>
      <c r="E80">
        <f>D80-D79</f>
        <v>37</v>
      </c>
      <c r="G80" s="12">
        <v>41970.474002199102</v>
      </c>
      <c r="H80" s="18">
        <v>25.1</v>
      </c>
      <c r="I80" s="13" t="s">
        <v>20</v>
      </c>
      <c r="J80">
        <f t="shared" si="6"/>
        <v>11.899999999999999</v>
      </c>
      <c r="K80" s="7">
        <f t="shared" si="11"/>
        <v>0.67837837837837844</v>
      </c>
      <c r="M80">
        <f t="shared" si="12"/>
        <v>37.650000000000006</v>
      </c>
      <c r="N80">
        <f t="shared" si="13"/>
        <v>-0.65000000000000568</v>
      </c>
    </row>
    <row r="81" spans="1:14" x14ac:dyDescent="0.25">
      <c r="A81" s="1">
        <v>41971</v>
      </c>
      <c r="C81" t="s">
        <v>13</v>
      </c>
      <c r="D81">
        <v>98963</v>
      </c>
      <c r="E81">
        <f>D81-D80</f>
        <v>49</v>
      </c>
      <c r="G81" s="12">
        <v>41971.165654085598</v>
      </c>
      <c r="H81" s="18">
        <v>30.7</v>
      </c>
      <c r="I81" s="13" t="s">
        <v>24</v>
      </c>
      <c r="J81">
        <f t="shared" si="6"/>
        <v>18.3</v>
      </c>
      <c r="K81" s="7">
        <f t="shared" si="11"/>
        <v>0.62653061224489792</v>
      </c>
      <c r="M81">
        <f t="shared" si="12"/>
        <v>46.05</v>
      </c>
      <c r="N81">
        <f t="shared" si="13"/>
        <v>2.9500000000000028</v>
      </c>
    </row>
    <row r="82" spans="1:14" x14ac:dyDescent="0.25">
      <c r="A82" s="1">
        <v>41971</v>
      </c>
      <c r="C82" t="s">
        <v>15</v>
      </c>
      <c r="D82">
        <v>98975</v>
      </c>
      <c r="E82">
        <f>D82-D81</f>
        <v>12</v>
      </c>
      <c r="G82" s="12">
        <v>41971.5406582176</v>
      </c>
      <c r="H82" s="18">
        <v>8.1</v>
      </c>
      <c r="I82" s="13" t="s">
        <v>20</v>
      </c>
      <c r="J82">
        <f t="shared" si="6"/>
        <v>3.9000000000000004</v>
      </c>
      <c r="K82" s="7">
        <f t="shared" si="11"/>
        <v>0.67499999999999993</v>
      </c>
      <c r="M82">
        <f t="shared" si="12"/>
        <v>12.149999999999999</v>
      </c>
      <c r="N82">
        <f t="shared" si="13"/>
        <v>-0.14999999999999858</v>
      </c>
    </row>
    <row r="83" spans="1:14" x14ac:dyDescent="0.25">
      <c r="A83" s="1">
        <v>41974</v>
      </c>
      <c r="C83" t="s">
        <v>17</v>
      </c>
      <c r="D83">
        <v>99004</v>
      </c>
      <c r="E83">
        <f>D83-D82</f>
        <v>29</v>
      </c>
      <c r="G83" s="12">
        <v>41974.472790161999</v>
      </c>
      <c r="H83" s="18">
        <v>17.600000000000001</v>
      </c>
      <c r="I83" s="13" t="s">
        <v>25</v>
      </c>
      <c r="J83">
        <f t="shared" si="6"/>
        <v>11.399999999999999</v>
      </c>
      <c r="K83" s="7">
        <f t="shared" si="11"/>
        <v>0.60689655172413803</v>
      </c>
      <c r="M83">
        <f t="shared" si="12"/>
        <v>26.400000000000002</v>
      </c>
      <c r="N83">
        <f t="shared" si="13"/>
        <v>2.5999999999999979</v>
      </c>
    </row>
    <row r="84" spans="1:14" x14ac:dyDescent="0.25">
      <c r="G84" s="12">
        <v>41975.391090625002</v>
      </c>
      <c r="H84" s="18">
        <v>21</v>
      </c>
      <c r="I84" s="13" t="s">
        <v>42</v>
      </c>
      <c r="J84">
        <f t="shared" si="6"/>
        <v>-21</v>
      </c>
      <c r="K84" s="7" t="e">
        <f t="shared" si="11"/>
        <v>#DIV/0!</v>
      </c>
      <c r="M84">
        <f t="shared" si="12"/>
        <v>31.5</v>
      </c>
      <c r="N84">
        <f t="shared" si="13"/>
        <v>-31.5</v>
      </c>
    </row>
    <row r="85" spans="1:14" x14ac:dyDescent="0.25">
      <c r="A85" s="1">
        <v>41975</v>
      </c>
      <c r="C85" t="s">
        <v>38</v>
      </c>
      <c r="D85">
        <v>99097</v>
      </c>
      <c r="E85">
        <f>D85-D83</f>
        <v>93</v>
      </c>
      <c r="G85" s="12">
        <v>41975.427922256902</v>
      </c>
      <c r="H85" s="18">
        <v>22.2</v>
      </c>
      <c r="I85" s="13" t="s">
        <v>19</v>
      </c>
      <c r="J85">
        <f t="shared" si="6"/>
        <v>70.8</v>
      </c>
      <c r="K85" s="7">
        <f t="shared" si="11"/>
        <v>0.23870967741935484</v>
      </c>
      <c r="M85">
        <f t="shared" si="12"/>
        <v>33.299999999999997</v>
      </c>
      <c r="N85">
        <f t="shared" si="13"/>
        <v>59.7</v>
      </c>
    </row>
    <row r="86" spans="1:14" x14ac:dyDescent="0.25">
      <c r="A86" s="1">
        <v>41975</v>
      </c>
      <c r="C86" t="s">
        <v>17</v>
      </c>
      <c r="D86">
        <v>99097</v>
      </c>
      <c r="E86">
        <f>D86-D85</f>
        <v>0</v>
      </c>
      <c r="G86" s="12">
        <v>41975.469575115698</v>
      </c>
      <c r="H86" s="18">
        <v>23.2</v>
      </c>
      <c r="I86" s="13" t="s">
        <v>25</v>
      </c>
      <c r="J86">
        <f t="shared" si="6"/>
        <v>-23.2</v>
      </c>
      <c r="K86" s="7" t="e">
        <f t="shared" si="11"/>
        <v>#DIV/0!</v>
      </c>
      <c r="M86">
        <f t="shared" si="12"/>
        <v>34.799999999999997</v>
      </c>
      <c r="N86">
        <f t="shared" si="13"/>
        <v>-34.799999999999997</v>
      </c>
    </row>
    <row r="87" spans="1:14" x14ac:dyDescent="0.25">
      <c r="A87" s="1">
        <v>41975</v>
      </c>
      <c r="C87" t="s">
        <v>39</v>
      </c>
      <c r="D87">
        <v>99297</v>
      </c>
      <c r="E87">
        <f>D87-D86</f>
        <v>200</v>
      </c>
      <c r="G87" s="12">
        <v>41975.6034071412</v>
      </c>
      <c r="H87" s="18">
        <v>103.6</v>
      </c>
      <c r="I87" s="13" t="s">
        <v>23</v>
      </c>
      <c r="J87">
        <f t="shared" si="6"/>
        <v>96.4</v>
      </c>
      <c r="K87" s="7">
        <f t="shared" si="11"/>
        <v>0.51800000000000002</v>
      </c>
      <c r="M87">
        <f t="shared" si="12"/>
        <v>155.39999999999998</v>
      </c>
      <c r="N87">
        <f t="shared" si="13"/>
        <v>44.600000000000023</v>
      </c>
    </row>
    <row r="88" spans="1:14" x14ac:dyDescent="0.25">
      <c r="A88" s="1">
        <v>41975</v>
      </c>
      <c r="C88" t="s">
        <v>40</v>
      </c>
      <c r="D88">
        <v>99567</v>
      </c>
      <c r="E88">
        <f>D88-D87</f>
        <v>270</v>
      </c>
      <c r="G88" s="12">
        <v>41975.6089128819</v>
      </c>
      <c r="H88" s="18">
        <v>173.7</v>
      </c>
      <c r="I88" s="13" t="s">
        <v>22</v>
      </c>
      <c r="J88">
        <f t="shared" si="6"/>
        <v>96.300000000000011</v>
      </c>
      <c r="K88" s="7">
        <f t="shared" si="11"/>
        <v>0.64333333333333331</v>
      </c>
      <c r="M88">
        <f t="shared" si="12"/>
        <v>260.54999999999995</v>
      </c>
      <c r="N88">
        <f t="shared" si="13"/>
        <v>9.4500000000000455</v>
      </c>
    </row>
    <row r="89" spans="1:14" x14ac:dyDescent="0.25">
      <c r="G89" s="12">
        <v>41976.428181018498</v>
      </c>
      <c r="H89" s="18">
        <v>20.8</v>
      </c>
      <c r="I89" s="13" t="s">
        <v>19</v>
      </c>
      <c r="J89">
        <f t="shared" si="6"/>
        <v>-20.8</v>
      </c>
      <c r="K89" s="7" t="e">
        <f t="shared" si="11"/>
        <v>#DIV/0!</v>
      </c>
      <c r="M89">
        <f t="shared" si="12"/>
        <v>31.200000000000003</v>
      </c>
      <c r="N89">
        <f t="shared" si="13"/>
        <v>-31.200000000000003</v>
      </c>
    </row>
    <row r="90" spans="1:14" x14ac:dyDescent="0.25">
      <c r="G90" s="12">
        <v>41976.526754166698</v>
      </c>
      <c r="H90" s="18">
        <v>24.4</v>
      </c>
      <c r="I90" s="13" t="s">
        <v>25</v>
      </c>
      <c r="J90">
        <f t="shared" ref="J90:J92" si="14">E90-H90</f>
        <v>-24.4</v>
      </c>
      <c r="K90" s="7" t="e">
        <f t="shared" si="11"/>
        <v>#DIV/0!</v>
      </c>
      <c r="M90">
        <f t="shared" si="12"/>
        <v>36.599999999999994</v>
      </c>
      <c r="N90">
        <f t="shared" si="13"/>
        <v>-36.599999999999994</v>
      </c>
    </row>
    <row r="91" spans="1:14" x14ac:dyDescent="0.25">
      <c r="G91" s="12">
        <v>41976.583324421299</v>
      </c>
      <c r="H91" s="18">
        <v>0.2</v>
      </c>
      <c r="I91" s="13" t="s">
        <v>23</v>
      </c>
      <c r="J91">
        <f t="shared" si="14"/>
        <v>-0.2</v>
      </c>
      <c r="K91" s="7" t="e">
        <f t="shared" si="11"/>
        <v>#DIV/0!</v>
      </c>
      <c r="M91">
        <f t="shared" si="12"/>
        <v>0.30000000000000004</v>
      </c>
      <c r="N91">
        <f t="shared" si="13"/>
        <v>-0.30000000000000004</v>
      </c>
    </row>
    <row r="92" spans="1:14" x14ac:dyDescent="0.25">
      <c r="G92" s="12">
        <v>41976.584089814802</v>
      </c>
      <c r="H92" s="18">
        <v>12.7</v>
      </c>
      <c r="I92" s="13" t="s">
        <v>23</v>
      </c>
      <c r="J92">
        <f t="shared" si="14"/>
        <v>-12.7</v>
      </c>
      <c r="K92" s="7" t="e">
        <f t="shared" si="11"/>
        <v>#DIV/0!</v>
      </c>
      <c r="M92">
        <f t="shared" si="12"/>
        <v>19.049999999999997</v>
      </c>
      <c r="N92">
        <f t="shared" si="13"/>
        <v>-19.049999999999997</v>
      </c>
    </row>
    <row r="94" spans="1:14" x14ac:dyDescent="0.25">
      <c r="N94">
        <f>SUM(N37:N92)</f>
        <v>23.950000000000145</v>
      </c>
    </row>
  </sheetData>
  <sortState ref="G2:I31">
    <sortCondition descending="1" ref="G2:G31"/>
  </sortState>
  <printOptions gridLines="1"/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Tank beurten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cp:lastPrinted>2014-12-03T14:16:19Z</cp:lastPrinted>
  <dcterms:created xsi:type="dcterms:W3CDTF">2014-09-23T13:31:05Z</dcterms:created>
  <dcterms:modified xsi:type="dcterms:W3CDTF">2014-12-03T16:01:40Z</dcterms:modified>
</cp:coreProperties>
</file>