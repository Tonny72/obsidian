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belco-my.sharepoint.com/personal/harry_stienen_sibelco_com/Documents/Project 2019/DES Floating PV/"/>
    </mc:Choice>
  </mc:AlternateContent>
  <xr:revisionPtr revIDLastSave="403" documentId="8_{A8F8751E-478C-4796-BF6F-DA263907708D}" xr6:coauthVersionLast="36" xr6:coauthVersionMax="36" xr10:uidLastSave="{33C1B47C-2E31-4B09-B0BF-6B4BEE93C494}"/>
  <bookViews>
    <workbookView xWindow="0" yWindow="0" windowWidth="14376" windowHeight="4068" activeTab="1" xr2:uid="{CD1950BD-40A4-4408-B053-53105F33C364}"/>
  </bookViews>
  <sheets>
    <sheet name="Vector diagram" sheetId="1" r:id="rId1"/>
    <sheet name="Simulatie" sheetId="4" r:id="rId2"/>
    <sheet name="Vrag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8" i="4" l="1"/>
  <c r="K16" i="4"/>
  <c r="G11" i="4"/>
  <c r="G23" i="4" l="1"/>
  <c r="P40" i="4"/>
  <c r="P38" i="4"/>
  <c r="H11" i="4"/>
  <c r="P46" i="4" l="1"/>
  <c r="O46" i="4"/>
  <c r="E23" i="4"/>
  <c r="H23" i="4" s="1"/>
  <c r="N44" i="4" s="1"/>
  <c r="P44" i="4"/>
  <c r="N42" i="4"/>
  <c r="N38" i="4"/>
  <c r="M46" i="4" s="1"/>
  <c r="P48" i="4" l="1"/>
  <c r="O48" i="4"/>
  <c r="H15" i="4"/>
  <c r="F23" i="4"/>
  <c r="H20" i="4"/>
  <c r="J23" i="4" l="1"/>
  <c r="N46" i="4"/>
  <c r="N48" i="4" s="1"/>
  <c r="M48" i="4" l="1"/>
</calcChain>
</file>

<file path=xl/sharedStrings.xml><?xml version="1.0" encoding="utf-8"?>
<sst xmlns="http://schemas.openxmlformats.org/spreadsheetml/2006/main" count="53" uniqueCount="41">
  <si>
    <t>Uact</t>
  </si>
  <si>
    <t>&lt; 16,4 kV</t>
  </si>
  <si>
    <t>&gt;16,4 kV</t>
  </si>
  <si>
    <t>Cos-phi = 0,995</t>
  </si>
  <si>
    <t>Cos-phi = 0,952</t>
  </si>
  <si>
    <t>Cos-phi = 1</t>
  </si>
  <si>
    <t>Pact_wm &lt;= 100kW</t>
  </si>
  <si>
    <t>Pact_fpv &lt;= 100kW</t>
  </si>
  <si>
    <t>kVar</t>
  </si>
  <si>
    <t>kW</t>
  </si>
  <si>
    <t>Injectie</t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</si>
  <si>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set_FPV </t>
    </r>
    <r>
      <rPr>
        <sz val="9"/>
        <color theme="1"/>
        <rFont val="Courier New"/>
        <family val="3"/>
      </rPr>
      <t xml:space="preserve">= </t>
    </r>
    <r>
      <rPr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act_SIB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</si>
  <si>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set_FPV </t>
    </r>
    <r>
      <rPr>
        <sz val="11"/>
        <color theme="1"/>
        <rFont val="Calibri"/>
        <family val="2"/>
        <scheme val="minor"/>
      </rPr>
      <t xml:space="preserve"> Max 32% van P</t>
    </r>
    <r>
      <rPr>
        <vertAlign val="subscript"/>
        <sz val="11"/>
        <color theme="1"/>
        <rFont val="Calibri"/>
        <family val="2"/>
        <scheme val="minor"/>
      </rPr>
      <t xml:space="preserve">act_FPV  </t>
    </r>
  </si>
  <si>
    <t>Opname Sibelco</t>
  </si>
  <si>
    <t>P</t>
  </si>
  <si>
    <t>cos-phi</t>
  </si>
  <si>
    <t>S</t>
  </si>
  <si>
    <t>Q</t>
  </si>
  <si>
    <t>S ( kVA )</t>
  </si>
  <si>
    <t>P ( kW )</t>
  </si>
  <si>
    <t>Q ( kVa )</t>
  </si>
  <si>
    <t>Setpunt DNB</t>
  </si>
  <si>
    <t>EDF-WM</t>
  </si>
  <si>
    <t>FPV</t>
  </si>
  <si>
    <t>Q req</t>
  </si>
  <si>
    <t>Q_pos</t>
  </si>
  <si>
    <t>Q pos</t>
  </si>
  <si>
    <t>Opname aan Fluvius meetpunt</t>
  </si>
  <si>
    <t>Invullen</t>
  </si>
  <si>
    <t>%WM</t>
  </si>
  <si>
    <t>%FPV</t>
  </si>
  <si>
    <t>Verdeling</t>
  </si>
  <si>
    <t>check</t>
  </si>
  <si>
    <t>S sib-act</t>
  </si>
  <si>
    <t>x</t>
  </si>
  <si>
    <t>y</t>
  </si>
  <si>
    <t>P sib_act</t>
  </si>
  <si>
    <t>Q sib_act</t>
  </si>
  <si>
    <t>S net</t>
  </si>
  <si>
    <t>S fpv</t>
  </si>
  <si>
    <t>S 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</si>
</sst>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hadow/>
      <sz val="11"/>
      <color rgb="FF70AD47"/>
      <name val="Calibri"/>
      <family val="2"/>
      <scheme val="minor"/>
    </font>
    <font>
      <shadow/>
      <sz val="11"/>
      <color rgb="FF7030A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2" borderId="0" xfId="0" applyFill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vertical="center"/>
    </xf>
    <xf numFmtId="165" fontId="0" fillId="2" borderId="1" xfId="0" applyNumberFormat="1" applyFill="1" applyBorder="1"/>
    <xf numFmtId="2" fontId="0" fillId="3" borderId="0" xfId="0" applyNumberFormat="1" applyFill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vertical="center"/>
    </xf>
    <xf numFmtId="2" fontId="0" fillId="2" borderId="2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0" xfId="0" applyBorder="1" applyAlignment="1">
      <alignment vertical="center"/>
    </xf>
    <xf numFmtId="2" fontId="0" fillId="2" borderId="0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" fontId="0" fillId="0" borderId="0" xfId="0" applyNumberFormat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Vector</a:t>
            </a:r>
            <a:r>
              <a:rPr lang="nl-NL" baseline="0"/>
              <a:t> diagram</a:t>
            </a:r>
            <a:endParaRPr lang="nl-N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v>S sib-act</c:v>
          </c:tx>
          <c:spPr>
            <a:ln w="31750">
              <a:solidFill>
                <a:srgbClr val="FFC000"/>
              </a:solidFill>
              <a:tailEnd type="triangle" w="lg" len="lg"/>
            </a:ln>
          </c:spPr>
          <c:marker>
            <c:symbol val="none"/>
          </c:marker>
          <c:xVal>
            <c:numRef>
              <c:f>Simulatie!$M$38:$N$38</c:f>
              <c:numCache>
                <c:formatCode>0</c:formatCode>
                <c:ptCount val="2"/>
                <c:pt idx="0">
                  <c:v>0</c:v>
                </c:pt>
                <c:pt idx="1">
                  <c:v>1215.5245781143219</c:v>
                </c:pt>
              </c:numCache>
            </c:numRef>
          </c:xVal>
          <c:yVal>
            <c:numRef>
              <c:f>Simulatie!$O$38:$P$38</c:f>
              <c:numCache>
                <c:formatCode>0</c:formatCode>
                <c:ptCount val="2"/>
                <c:pt idx="0">
                  <c:v>0</c:v>
                </c:pt>
                <c:pt idx="1">
                  <c:v>4850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83-45A2-8A1E-46F31EE26C0F}"/>
            </c:ext>
          </c:extLst>
        </c:ser>
        <c:ser>
          <c:idx val="2"/>
          <c:order val="3"/>
          <c:tx>
            <c:strRef>
              <c:f>Simulatie!$M$43</c:f>
              <c:strCache>
                <c:ptCount val="1"/>
                <c:pt idx="0">
                  <c:v>S net</c:v>
                </c:pt>
              </c:strCache>
            </c:strRef>
          </c:tx>
          <c:spPr>
            <a:ln w="25400">
              <a:solidFill>
                <a:srgbClr val="FFFF00"/>
              </a:solidFill>
              <a:tailEnd type="triangle" w="lg" len="lg"/>
            </a:ln>
          </c:spPr>
          <c:marker>
            <c:symbol val="none"/>
          </c:marker>
          <c:xVal>
            <c:numRef>
              <c:f>Simulatie!$M$44:$N$44</c:f>
              <c:numCache>
                <c:formatCode>0</c:formatCode>
                <c:ptCount val="2"/>
                <c:pt idx="0">
                  <c:v>0</c:v>
                </c:pt>
                <c:pt idx="1">
                  <c:v>115.4333266771557</c:v>
                </c:pt>
              </c:numCache>
            </c:numRef>
          </c:xVal>
          <c:yVal>
            <c:numRef>
              <c:f>Simulatie!$O$44:$P$44</c:f>
              <c:numCache>
                <c:formatCode>0</c:formatCode>
                <c:ptCount val="2"/>
                <c:pt idx="0">
                  <c:v>0</c:v>
                </c:pt>
                <c:pt idx="1">
                  <c:v>-1150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283-45A2-8A1E-46F31EE26C0F}"/>
            </c:ext>
          </c:extLst>
        </c:ser>
        <c:ser>
          <c:idx val="3"/>
          <c:order val="4"/>
          <c:tx>
            <c:strRef>
              <c:f>Simulatie!$M$45</c:f>
              <c:strCache>
                <c:ptCount val="1"/>
                <c:pt idx="0">
                  <c:v>S wm</c:v>
                </c:pt>
              </c:strCache>
            </c:strRef>
          </c:tx>
          <c:spPr>
            <a:ln w="25400">
              <a:solidFill>
                <a:srgbClr val="0070C0"/>
              </a:solidFill>
              <a:tailEnd type="triangle" w="lg" len="lg"/>
            </a:ln>
          </c:spPr>
          <c:marker>
            <c:symbol val="none"/>
          </c:marker>
          <c:xVal>
            <c:numRef>
              <c:f>Simulatie!$M$46:$N$46</c:f>
              <c:numCache>
                <c:formatCode>0</c:formatCode>
                <c:ptCount val="2"/>
                <c:pt idx="0">
                  <c:v>1215.5245781143219</c:v>
                </c:pt>
                <c:pt idx="1">
                  <c:v>586.90100586451274</c:v>
                </c:pt>
              </c:numCache>
            </c:numRef>
          </c:xVal>
          <c:yVal>
            <c:numRef>
              <c:f>Simulatie!$O$46:$P$46</c:f>
              <c:numCache>
                <c:formatCode>0</c:formatCode>
                <c:ptCount val="2"/>
                <c:pt idx="0">
                  <c:v>4850</c:v>
                </c:pt>
                <c:pt idx="1">
                  <c:v>1850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283-45A2-8A1E-46F31EE26C0F}"/>
            </c:ext>
          </c:extLst>
        </c:ser>
        <c:ser>
          <c:idx val="4"/>
          <c:order val="5"/>
          <c:tx>
            <c:strRef>
              <c:f>Simulatie!$M$47</c:f>
              <c:strCache>
                <c:ptCount val="1"/>
                <c:pt idx="0">
                  <c:v>S fpv</c:v>
                </c:pt>
              </c:strCache>
            </c:strRef>
          </c:tx>
          <c:spPr>
            <a:ln w="25400">
              <a:solidFill>
                <a:srgbClr val="92D050"/>
              </a:solidFill>
              <a:tailEnd type="triangle" w="lg" len="lg"/>
            </a:ln>
          </c:spPr>
          <c:marker>
            <c:symbol val="none"/>
          </c:marker>
          <c:xVal>
            <c:numRef>
              <c:f>Simulatie!$M$48:$N$48</c:f>
              <c:numCache>
                <c:formatCode>0</c:formatCode>
                <c:ptCount val="2"/>
                <c:pt idx="0">
                  <c:v>586.90100586451274</c:v>
                </c:pt>
                <c:pt idx="1">
                  <c:v>115.43332667715583</c:v>
                </c:pt>
              </c:numCache>
            </c:numRef>
          </c:xVal>
          <c:yVal>
            <c:numRef>
              <c:f>Simulatie!$O$48:$P$48</c:f>
              <c:numCache>
                <c:formatCode>0</c:formatCode>
                <c:ptCount val="2"/>
                <c:pt idx="0">
                  <c:v>1850</c:v>
                </c:pt>
                <c:pt idx="1">
                  <c:v>-1150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283-45A2-8A1E-46F31EE26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52096"/>
        <c:axId val="1172551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Simulatie!$M$41</c15:sqref>
                        </c15:formulaRef>
                      </c:ext>
                    </c:extLst>
                    <c:strCache>
                      <c:ptCount val="1"/>
                      <c:pt idx="0">
                        <c:v>Q sib_act</c:v>
                      </c:pt>
                    </c:strCache>
                  </c:strRef>
                </c:tx>
                <c:spPr>
                  <a:ln w="25400">
                    <a:tailEnd type="triangle" w="lg" len="lg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Simulatie!$M$42:$N$42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0</c:v>
                      </c:pt>
                      <c:pt idx="1">
                        <c:v>1215.5245781143219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Simulatie!$O$42:$P$42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D283-45A2-8A1E-46F31EE26C0F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Simulatie!$M$39</c15:sqref>
                        </c15:formulaRef>
                      </c:ext>
                    </c:extLst>
                    <c:strCache>
                      <c:ptCount val="1"/>
                      <c:pt idx="0">
                        <c:v>P sib_act</c:v>
                      </c:pt>
                    </c:strCache>
                  </c:strRef>
                </c:tx>
                <c:spPr>
                  <a:ln w="25400">
                    <a:solidFill>
                      <a:srgbClr val="92D050"/>
                    </a:solidFill>
                    <a:tailEnd type="triangle" w="lg" len="lg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Simulatie!$M$40:$N$40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Simulatie!$O$40:$P$40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0</c:v>
                      </c:pt>
                      <c:pt idx="1">
                        <c:v>4850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283-45A2-8A1E-46F31EE26C0F}"/>
                  </c:ext>
                </c:extLst>
              </c15:ser>
            </c15:filteredScatterSeries>
          </c:ext>
        </c:extLst>
      </c:scatterChart>
      <c:valAx>
        <c:axId val="117252096"/>
        <c:scaling>
          <c:orientation val="minMax"/>
          <c:max val="10000"/>
          <c:min val="-5000"/>
        </c:scaling>
        <c:delete val="0"/>
        <c:axPos val="b"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nl-NL" sz="2000" baseline="0"/>
                  <a:t>Reactief</a:t>
                </a:r>
              </a:p>
            </c:rich>
          </c:tx>
          <c:layout>
            <c:manualLayout>
              <c:xMode val="edge"/>
              <c:yMode val="edge"/>
              <c:x val="0.69124658375163428"/>
              <c:y val="0.69550759276493301"/>
            </c:manualLayout>
          </c:layout>
          <c:overlay val="0"/>
          <c:spPr>
            <a:ln>
              <a:solidFill>
                <a:schemeClr val="bg1"/>
              </a:solidFill>
            </a:ln>
          </c:spPr>
        </c:title>
        <c:numFmt formatCode="0" sourceLinked="1"/>
        <c:majorTickMark val="out"/>
        <c:minorTickMark val="none"/>
        <c:tickLblPos val="nextTo"/>
        <c:crossAx val="117255168"/>
        <c:crosses val="autoZero"/>
        <c:crossBetween val="midCat"/>
      </c:valAx>
      <c:valAx>
        <c:axId val="117255168"/>
        <c:scaling>
          <c:orientation val="minMax"/>
          <c:max val="10000"/>
          <c:min val="-5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nl-NL" sz="2000" baseline="0"/>
                  <a:t>Actief</a:t>
                </a:r>
              </a:p>
            </c:rich>
          </c:tx>
          <c:layout>
            <c:manualLayout>
              <c:xMode val="edge"/>
              <c:yMode val="edge"/>
              <c:x val="0.25614633046257906"/>
              <c:y val="0.3010455370559764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7252096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7</xdr:col>
      <xdr:colOff>4763</xdr:colOff>
      <xdr:row>23</xdr:row>
      <xdr:rowOff>1588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9381795A-C328-48F5-A4D0-80A850349A95}"/>
            </a:ext>
          </a:extLst>
        </xdr:cNvPr>
        <xdr:cNvCxnSpPr/>
      </xdr:nvCxnSpPr>
      <xdr:spPr>
        <a:xfrm flipH="1" flipV="1">
          <a:off x="5162550" y="1289050"/>
          <a:ext cx="4763" cy="294798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22</xdr:row>
      <xdr:rowOff>180975</xdr:rowOff>
    </xdr:from>
    <xdr:to>
      <xdr:col>10</xdr:col>
      <xdr:colOff>0</xdr:colOff>
      <xdr:row>23</xdr:row>
      <xdr:rowOff>6350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876B9B6D-77B7-4C86-A5F5-C85054E0E2DE}"/>
            </a:ext>
          </a:extLst>
        </xdr:cNvPr>
        <xdr:cNvCxnSpPr/>
      </xdr:nvCxnSpPr>
      <xdr:spPr>
        <a:xfrm>
          <a:off x="5172075" y="4232275"/>
          <a:ext cx="1819275" cy="95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8</xdr:row>
      <xdr:rowOff>9769</xdr:rowOff>
    </xdr:from>
    <xdr:to>
      <xdr:col>8</xdr:col>
      <xdr:colOff>273538</xdr:colOff>
      <xdr:row>23</xdr:row>
      <xdr:rowOff>0</xdr:rowOff>
    </xdr:to>
    <xdr:cxnSp macro="">
      <xdr:nvCxnSpPr>
        <xdr:cNvPr id="11" name="Rechte verbindingslijn met pijl 10">
          <a:extLst>
            <a:ext uri="{FF2B5EF4-FFF2-40B4-BE49-F238E27FC236}">
              <a16:creationId xmlns:a16="http://schemas.microsoft.com/office/drawing/2014/main" id="{67FBC9F1-A59F-4C72-9E5A-A1641BAC231D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CxnSpPr/>
      </xdr:nvCxnSpPr>
      <xdr:spPr>
        <a:xfrm flipV="1">
          <a:off x="5170488" y="1482969"/>
          <a:ext cx="875200" cy="27524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5603</xdr:colOff>
      <xdr:row>13</xdr:row>
      <xdr:rowOff>182796</xdr:rowOff>
    </xdr:from>
    <xdr:to>
      <xdr:col>7</xdr:col>
      <xdr:colOff>216525</xdr:colOff>
      <xdr:row>22</xdr:row>
      <xdr:rowOff>183030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332ED481-BE18-4AEE-90B0-BFF537608D3B}"/>
            </a:ext>
          </a:extLst>
        </xdr:cNvPr>
        <xdr:cNvCxnSpPr/>
      </xdr:nvCxnSpPr>
      <xdr:spPr>
        <a:xfrm flipV="1">
          <a:off x="5164044" y="2586458"/>
          <a:ext cx="210922" cy="1664307"/>
        </a:xfrm>
        <a:prstGeom prst="straightConnector1">
          <a:avLst/>
        </a:prstGeom>
        <a:ln>
          <a:solidFill>
            <a:srgbClr val="7030A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258792</xdr:colOff>
      <xdr:row>8</xdr:row>
      <xdr:rowOff>14514</xdr:rowOff>
    </xdr:from>
    <xdr:to>
      <xdr:col>8</xdr:col>
      <xdr:colOff>264886</xdr:colOff>
      <xdr:row>11</xdr:row>
      <xdr:rowOff>93453</xdr:rowOff>
    </xdr:to>
    <xdr:cxnSp macro="">
      <xdr:nvCxnSpPr>
        <xdr:cNvPr id="31" name="Rechte verbindingslijn met pijl 30">
          <a:extLst>
            <a:ext uri="{FF2B5EF4-FFF2-40B4-BE49-F238E27FC236}">
              <a16:creationId xmlns:a16="http://schemas.microsoft.com/office/drawing/2014/main" id="{4992ADC8-A6F8-4345-9ED0-174C9562D4D3}"/>
            </a:ext>
          </a:extLst>
        </xdr:cNvPr>
        <xdr:cNvCxnSpPr/>
      </xdr:nvCxnSpPr>
      <xdr:spPr>
        <a:xfrm flipH="1">
          <a:off x="6026509" y="1514552"/>
          <a:ext cx="6094" cy="6324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472855</xdr:colOff>
      <xdr:row>11</xdr:row>
      <xdr:rowOff>88883</xdr:rowOff>
    </xdr:from>
    <xdr:to>
      <xdr:col>8</xdr:col>
      <xdr:colOff>263586</xdr:colOff>
      <xdr:row>11</xdr:row>
      <xdr:rowOff>91058</xdr:rowOff>
    </xdr:to>
    <xdr:cxnSp macro="">
      <xdr:nvCxnSpPr>
        <xdr:cNvPr id="33" name="Rechte verbindingslijn met pijl 32">
          <a:extLst>
            <a:ext uri="{FF2B5EF4-FFF2-40B4-BE49-F238E27FC236}">
              <a16:creationId xmlns:a16="http://schemas.microsoft.com/office/drawing/2014/main" id="{55A4CE92-5681-4939-86E7-6B1DC7777730}"/>
            </a:ext>
          </a:extLst>
        </xdr:cNvPr>
        <xdr:cNvCxnSpPr>
          <a:endCxn id="38" idx="2"/>
        </xdr:cNvCxnSpPr>
      </xdr:nvCxnSpPr>
      <xdr:spPr>
        <a:xfrm flipH="1" flipV="1">
          <a:off x="5630159" y="2093274"/>
          <a:ext cx="398123" cy="21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</xdr:colOff>
      <xdr:row>11</xdr:row>
      <xdr:rowOff>78740</xdr:rowOff>
    </xdr:from>
    <xdr:to>
      <xdr:col>7</xdr:col>
      <xdr:colOff>462280</xdr:colOff>
      <xdr:row>22</xdr:row>
      <xdr:rowOff>180341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D4D95395-124F-4133-A24C-57BA22C52229}"/>
            </a:ext>
          </a:extLst>
        </xdr:cNvPr>
        <xdr:cNvCxnSpPr/>
      </xdr:nvCxnSpPr>
      <xdr:spPr>
        <a:xfrm flipV="1">
          <a:off x="5168900" y="2118360"/>
          <a:ext cx="457200" cy="21412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473233</xdr:colOff>
      <xdr:row>11</xdr:row>
      <xdr:rowOff>89577</xdr:rowOff>
    </xdr:from>
    <xdr:to>
      <xdr:col>7</xdr:col>
      <xdr:colOff>474579</xdr:colOff>
      <xdr:row>14</xdr:row>
      <xdr:rowOff>3342</xdr:rowOff>
    </xdr:to>
    <xdr:cxnSp macro="">
      <xdr:nvCxnSpPr>
        <xdr:cNvPr id="16" name="Rechte verbindingslijn met pijl 15">
          <a:extLst>
            <a:ext uri="{FF2B5EF4-FFF2-40B4-BE49-F238E27FC236}">
              <a16:creationId xmlns:a16="http://schemas.microsoft.com/office/drawing/2014/main" id="{B72C90A8-8CC8-4C0A-BAED-7E7DBFF28DF8}"/>
            </a:ext>
          </a:extLst>
        </xdr:cNvPr>
        <xdr:cNvCxnSpPr>
          <a:stCxn id="38" idx="2"/>
        </xdr:cNvCxnSpPr>
      </xdr:nvCxnSpPr>
      <xdr:spPr>
        <a:xfrm>
          <a:off x="5630537" y="2093968"/>
          <a:ext cx="1346" cy="46041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215446</xdr:colOff>
      <xdr:row>14</xdr:row>
      <xdr:rowOff>4537</xdr:rowOff>
    </xdr:from>
    <xdr:to>
      <xdr:col>7</xdr:col>
      <xdr:colOff>477921</xdr:colOff>
      <xdr:row>14</xdr:row>
      <xdr:rowOff>6684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62156BCE-6712-4E51-A084-7BE4C4AA5772}"/>
            </a:ext>
          </a:extLst>
        </xdr:cNvPr>
        <xdr:cNvCxnSpPr/>
      </xdr:nvCxnSpPr>
      <xdr:spPr>
        <a:xfrm flipH="1" flipV="1">
          <a:off x="5372314" y="2577958"/>
          <a:ext cx="262475" cy="21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22</xdr:row>
      <xdr:rowOff>166688</xdr:rowOff>
    </xdr:from>
    <xdr:to>
      <xdr:col>7</xdr:col>
      <xdr:colOff>7938</xdr:colOff>
      <xdr:row>30</xdr:row>
      <xdr:rowOff>1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10318960-DB68-4644-856F-9239D75D5575}"/>
            </a:ext>
          </a:extLst>
        </xdr:cNvPr>
        <xdr:cNvCxnSpPr/>
      </xdr:nvCxnSpPr>
      <xdr:spPr>
        <a:xfrm>
          <a:off x="5179219" y="4183063"/>
          <a:ext cx="0" cy="1293813"/>
        </a:xfrm>
        <a:prstGeom prst="straightConnector1">
          <a:avLst/>
        </a:prstGeom>
        <a:ln>
          <a:solidFill>
            <a:srgbClr val="7030A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207192</xdr:colOff>
      <xdr:row>6</xdr:row>
      <xdr:rowOff>165652</xdr:rowOff>
    </xdr:from>
    <xdr:ext cx="1333374" cy="264560"/>
    <xdr:sp macro="" textlink="">
      <xdr:nvSpPr>
        <xdr:cNvPr id="29" name="Rechthoek 28">
          <a:extLst>
            <a:ext uri="{FF2B5EF4-FFF2-40B4-BE49-F238E27FC236}">
              <a16:creationId xmlns:a16="http://schemas.microsoft.com/office/drawing/2014/main" id="{5B6F70ED-999A-4833-A99D-96A908BDB6A9}"/>
            </a:ext>
          </a:extLst>
        </xdr:cNvPr>
        <xdr:cNvSpPr/>
      </xdr:nvSpPr>
      <xdr:spPr>
        <a:xfrm>
          <a:off x="5364496" y="1258956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</a:t>
          </a:r>
          <a:r>
            <a:rPr lang="nl-NL" sz="5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act_SIB</a:t>
          </a:r>
          <a:endParaRPr lang="nl-NL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414809</xdr:colOff>
      <xdr:row>10</xdr:row>
      <xdr:rowOff>8833</xdr:rowOff>
    </xdr:from>
    <xdr:ext cx="1333374" cy="264560"/>
    <xdr:sp macro="" textlink="">
      <xdr:nvSpPr>
        <xdr:cNvPr id="38" name="Rechthoek 37">
          <a:extLst>
            <a:ext uri="{FF2B5EF4-FFF2-40B4-BE49-F238E27FC236}">
              <a16:creationId xmlns:a16="http://schemas.microsoft.com/office/drawing/2014/main" id="{3B5C475A-A39F-447B-B193-149F508FC4FE}"/>
            </a:ext>
          </a:extLst>
        </xdr:cNvPr>
        <xdr:cNvSpPr/>
      </xdr:nvSpPr>
      <xdr:spPr>
        <a:xfrm>
          <a:off x="4964722" y="1831007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</a:t>
          </a:r>
          <a:r>
            <a:rPr lang="nl-NL" sz="5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SIB-WM</a:t>
          </a:r>
          <a:endParaRPr lang="nl-NL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160131</xdr:colOff>
      <xdr:row>12</xdr:row>
      <xdr:rowOff>127000</xdr:rowOff>
    </xdr:from>
    <xdr:ext cx="1333374" cy="264560"/>
    <xdr:sp macro="" textlink="">
      <xdr:nvSpPr>
        <xdr:cNvPr id="40" name="Rechthoek 39">
          <a:extLst>
            <a:ext uri="{FF2B5EF4-FFF2-40B4-BE49-F238E27FC236}">
              <a16:creationId xmlns:a16="http://schemas.microsoft.com/office/drawing/2014/main" id="{B9D99C14-CE49-4E4C-87D7-5F4C0561DC64}"/>
            </a:ext>
          </a:extLst>
        </xdr:cNvPr>
        <xdr:cNvSpPr/>
      </xdr:nvSpPr>
      <xdr:spPr>
        <a:xfrm>
          <a:off x="4710044" y="2313609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</a:t>
          </a:r>
          <a:r>
            <a:rPr lang="nl-NL" sz="5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NET</a:t>
          </a:r>
          <a:endParaRPr lang="nl-NL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309218</xdr:colOff>
      <xdr:row>10</xdr:row>
      <xdr:rowOff>171173</xdr:rowOff>
    </xdr:from>
    <xdr:ext cx="1333374" cy="264560"/>
    <xdr:sp macro="" textlink="">
      <xdr:nvSpPr>
        <xdr:cNvPr id="41" name="Rechthoek 40">
          <a:extLst>
            <a:ext uri="{FF2B5EF4-FFF2-40B4-BE49-F238E27FC236}">
              <a16:creationId xmlns:a16="http://schemas.microsoft.com/office/drawing/2014/main" id="{FB2A2F9C-74DC-41A0-B8C6-23BEC615885A}"/>
            </a:ext>
          </a:extLst>
        </xdr:cNvPr>
        <xdr:cNvSpPr/>
      </xdr:nvSpPr>
      <xdr:spPr>
        <a:xfrm>
          <a:off x="5466522" y="1993347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chemeClr val="accent4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</a:t>
          </a:r>
          <a:r>
            <a:rPr lang="nl-NL" sz="500" b="0" cap="none" spc="0">
              <a:ln w="0"/>
              <a:solidFill>
                <a:schemeClr val="accent4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WM</a:t>
          </a:r>
          <a:endParaRPr lang="nl-NL" sz="1100" b="0" cap="none" spc="0">
            <a:ln w="0"/>
            <a:solidFill>
              <a:schemeClr val="accent4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585304</xdr:colOff>
      <xdr:row>13</xdr:row>
      <xdr:rowOff>77305</xdr:rowOff>
    </xdr:from>
    <xdr:ext cx="1333374" cy="264560"/>
    <xdr:sp macro="" textlink="">
      <xdr:nvSpPr>
        <xdr:cNvPr id="42" name="Rechthoek 41">
          <a:extLst>
            <a:ext uri="{FF2B5EF4-FFF2-40B4-BE49-F238E27FC236}">
              <a16:creationId xmlns:a16="http://schemas.microsoft.com/office/drawing/2014/main" id="{F1B29E3B-74C3-48FD-BCB9-43569F8519B4}"/>
            </a:ext>
          </a:extLst>
        </xdr:cNvPr>
        <xdr:cNvSpPr/>
      </xdr:nvSpPr>
      <xdr:spPr>
        <a:xfrm>
          <a:off x="5135217" y="2446131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chemeClr val="accent6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</a:t>
          </a:r>
          <a:r>
            <a:rPr lang="nl-NL" sz="500" b="0" cap="none" spc="0">
              <a:ln w="0"/>
              <a:solidFill>
                <a:schemeClr val="accent6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FPV</a:t>
          </a:r>
        </a:p>
      </xdr:txBody>
    </xdr:sp>
    <xdr:clientData/>
  </xdr:oneCellAnchor>
  <xdr:twoCellAnchor>
    <xdr:from>
      <xdr:col>6</xdr:col>
      <xdr:colOff>358913</xdr:colOff>
      <xdr:row>12</xdr:row>
      <xdr:rowOff>77304</xdr:rowOff>
    </xdr:from>
    <xdr:to>
      <xdr:col>8</xdr:col>
      <xdr:colOff>58530</xdr:colOff>
      <xdr:row>17</xdr:row>
      <xdr:rowOff>80617</xdr:rowOff>
    </xdr:to>
    <xdr:sp macro="" textlink="">
      <xdr:nvSpPr>
        <xdr:cNvPr id="53" name="Blokboog 52">
          <a:extLst>
            <a:ext uri="{FF2B5EF4-FFF2-40B4-BE49-F238E27FC236}">
              <a16:creationId xmlns:a16="http://schemas.microsoft.com/office/drawing/2014/main" id="{7F344852-F359-472A-815D-C1AC4FC85235}"/>
            </a:ext>
          </a:extLst>
        </xdr:cNvPr>
        <xdr:cNvSpPr/>
      </xdr:nvSpPr>
      <xdr:spPr>
        <a:xfrm>
          <a:off x="4908826" y="2263913"/>
          <a:ext cx="914400" cy="914400"/>
        </a:xfrm>
        <a:prstGeom prst="blockArc">
          <a:avLst>
            <a:gd name="adj1" fmla="val 14831732"/>
            <a:gd name="adj2" fmla="val 17659030"/>
            <a:gd name="adj3" fmla="val 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4763</xdr:colOff>
      <xdr:row>14</xdr:row>
      <xdr:rowOff>1588</xdr:rowOff>
    </xdr:from>
    <xdr:to>
      <xdr:col>7</xdr:col>
      <xdr:colOff>5080</xdr:colOff>
      <xdr:row>22</xdr:row>
      <xdr:rowOff>177800</xdr:rowOff>
    </xdr:to>
    <xdr:cxnSp macro="">
      <xdr:nvCxnSpPr>
        <xdr:cNvPr id="21" name="Rechte verbindingslijn met pijl 20">
          <a:extLst>
            <a:ext uri="{FF2B5EF4-FFF2-40B4-BE49-F238E27FC236}">
              <a16:creationId xmlns:a16="http://schemas.microsoft.com/office/drawing/2014/main" id="{6C96439A-F060-4661-9B7F-66939ACDBDA1}"/>
            </a:ext>
          </a:extLst>
        </xdr:cNvPr>
        <xdr:cNvCxnSpPr/>
      </xdr:nvCxnSpPr>
      <xdr:spPr>
        <a:xfrm flipH="1" flipV="1">
          <a:off x="5167313" y="2579688"/>
          <a:ext cx="317" cy="1649412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22</xdr:row>
      <xdr:rowOff>177800</xdr:rowOff>
    </xdr:from>
    <xdr:to>
      <xdr:col>7</xdr:col>
      <xdr:colOff>215900</xdr:colOff>
      <xdr:row>22</xdr:row>
      <xdr:rowOff>182880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39A932B1-9414-470F-B711-B0188D926BD7}"/>
            </a:ext>
          </a:extLst>
        </xdr:cNvPr>
        <xdr:cNvCxnSpPr/>
      </xdr:nvCxnSpPr>
      <xdr:spPr>
        <a:xfrm>
          <a:off x="5176520" y="4257040"/>
          <a:ext cx="203200" cy="5080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375920</xdr:colOff>
      <xdr:row>21</xdr:row>
      <xdr:rowOff>152400</xdr:rowOff>
    </xdr:from>
    <xdr:ext cx="184731" cy="264560"/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9BD555E2-7627-4E95-8C62-E0332E6E9C32}"/>
            </a:ext>
          </a:extLst>
        </xdr:cNvPr>
        <xdr:cNvSpPr txBox="1"/>
      </xdr:nvSpPr>
      <xdr:spPr>
        <a:xfrm>
          <a:off x="5539740" y="4046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 sz="1100"/>
        </a:p>
      </xdr:txBody>
    </xdr:sp>
    <xdr:clientData/>
  </xdr:oneCellAnchor>
  <xdr:oneCellAnchor>
    <xdr:from>
      <xdr:col>5</xdr:col>
      <xdr:colOff>342900</xdr:colOff>
      <xdr:row>13</xdr:row>
      <xdr:rowOff>101600</xdr:rowOff>
    </xdr:from>
    <xdr:ext cx="1333374" cy="264560"/>
    <xdr:sp macro="" textlink="">
      <xdr:nvSpPr>
        <xdr:cNvPr id="27" name="Rechthoek 26">
          <a:extLst>
            <a:ext uri="{FF2B5EF4-FFF2-40B4-BE49-F238E27FC236}">
              <a16:creationId xmlns:a16="http://schemas.microsoft.com/office/drawing/2014/main" id="{AF4D21D6-9624-446E-B08D-48DBD0717AD0}"/>
            </a:ext>
          </a:extLst>
        </xdr:cNvPr>
        <xdr:cNvSpPr/>
      </xdr:nvSpPr>
      <xdr:spPr>
        <a:xfrm>
          <a:off x="4287520" y="2512060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rgbClr val="7030A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</a:t>
          </a:r>
          <a:r>
            <a:rPr lang="nl-NL" sz="500" b="0" cap="none" spc="0">
              <a:ln w="0"/>
              <a:solidFill>
                <a:srgbClr val="7030A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NET</a:t>
          </a:r>
          <a:endParaRPr lang="nl-NL" sz="1100" b="0" cap="none" spc="0">
            <a:ln w="0"/>
            <a:solidFill>
              <a:srgbClr val="7030A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563880</xdr:colOff>
      <xdr:row>22</xdr:row>
      <xdr:rowOff>162560</xdr:rowOff>
    </xdr:from>
    <xdr:ext cx="383503" cy="264560"/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AFF6B228-2959-45C3-A4BE-B36D6A25C879}"/>
            </a:ext>
          </a:extLst>
        </xdr:cNvPr>
        <xdr:cNvSpPr txBox="1"/>
      </xdr:nvSpPr>
      <xdr:spPr>
        <a:xfrm>
          <a:off x="5118100" y="4241800"/>
          <a:ext cx="3835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 b="0">
              <a:solidFill>
                <a:srgbClr val="7030A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Q</a:t>
          </a:r>
          <a:r>
            <a:rPr lang="nl-NL" sz="500" b="0">
              <a:solidFill>
                <a:srgbClr val="7030A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NET</a:t>
          </a:r>
          <a:endParaRPr lang="nl-NL" sz="500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190500</xdr:colOff>
      <xdr:row>26</xdr:row>
      <xdr:rowOff>170180</xdr:rowOff>
    </xdr:from>
    <xdr:ext cx="1333374" cy="264560"/>
    <xdr:sp macro="" textlink="">
      <xdr:nvSpPr>
        <xdr:cNvPr id="32" name="Rechthoek 31">
          <a:extLst>
            <a:ext uri="{FF2B5EF4-FFF2-40B4-BE49-F238E27FC236}">
              <a16:creationId xmlns:a16="http://schemas.microsoft.com/office/drawing/2014/main" id="{9FEA8349-FBA9-40F9-845E-AC2712D22789}"/>
            </a:ext>
          </a:extLst>
        </xdr:cNvPr>
        <xdr:cNvSpPr/>
      </xdr:nvSpPr>
      <xdr:spPr>
        <a:xfrm>
          <a:off x="4744720" y="4991100"/>
          <a:ext cx="1333374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nl-NL" sz="1100" b="0" cap="none" spc="0">
              <a:ln w="0"/>
              <a:solidFill>
                <a:srgbClr val="7030A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- P</a:t>
          </a:r>
          <a:r>
            <a:rPr lang="nl-NL" sz="500" b="0" cap="none" spc="0">
              <a:ln w="0"/>
              <a:solidFill>
                <a:srgbClr val="7030A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NET</a:t>
          </a:r>
          <a:endParaRPr lang="nl-NL" sz="1100" b="0" cap="none" spc="0">
            <a:ln w="0"/>
            <a:solidFill>
              <a:srgbClr val="7030A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17780</xdr:colOff>
      <xdr:row>11</xdr:row>
      <xdr:rowOff>142240</xdr:rowOff>
    </xdr:from>
    <xdr:ext cx="613245" cy="264560"/>
    <xdr:sp macro="" textlink="">
      <xdr:nvSpPr>
        <xdr:cNvPr id="9" name="Tekstvak 8">
          <a:extLst>
            <a:ext uri="{FF2B5EF4-FFF2-40B4-BE49-F238E27FC236}">
              <a16:creationId xmlns:a16="http://schemas.microsoft.com/office/drawing/2014/main" id="{DBEFD85A-54E7-4A4E-B248-38643AE0D6EB}"/>
            </a:ext>
          </a:extLst>
        </xdr:cNvPr>
        <xdr:cNvSpPr txBox="1"/>
      </xdr:nvSpPr>
      <xdr:spPr>
        <a:xfrm>
          <a:off x="4572000" y="2181860"/>
          <a:ext cx="6132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>
              <a:solidFill>
                <a:schemeClr val="tx2"/>
              </a:solidFill>
            </a:rPr>
            <a:t>Cos-phi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11411</xdr:colOff>
      <xdr:row>0</xdr:row>
      <xdr:rowOff>146857</xdr:rowOff>
    </xdr:from>
    <xdr:to>
      <xdr:col>27</xdr:col>
      <xdr:colOff>330778</xdr:colOff>
      <xdr:row>48</xdr:row>
      <xdr:rowOff>74468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AFB4E02-D0AA-46B5-A0F6-9D7ED194D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3C6D-A42F-4BAC-B634-A9F2E20A92DE}">
  <dimension ref="A4:K28"/>
  <sheetViews>
    <sheetView zoomScale="70" zoomScaleNormal="70" workbookViewId="0">
      <selection activeCell="O13" sqref="O13"/>
    </sheetView>
  </sheetViews>
  <sheetFormatPr defaultRowHeight="14.4" x14ac:dyDescent="0.3"/>
  <cols>
    <col min="2" max="2" width="7.77734375" customWidth="1"/>
    <col min="4" max="4" width="13.21875" customWidth="1"/>
    <col min="5" max="5" width="18" customWidth="1"/>
  </cols>
  <sheetData>
    <row r="4" spans="1:7" x14ac:dyDescent="0.3">
      <c r="B4" s="42" t="s">
        <v>6</v>
      </c>
      <c r="C4" s="43"/>
      <c r="D4" s="44"/>
      <c r="E4" s="1" t="s">
        <v>5</v>
      </c>
    </row>
    <row r="5" spans="1:7" x14ac:dyDescent="0.3">
      <c r="A5" s="2"/>
      <c r="B5" s="45"/>
      <c r="C5" s="49" t="s">
        <v>0</v>
      </c>
      <c r="D5" s="1" t="s">
        <v>1</v>
      </c>
      <c r="E5" s="1" t="s">
        <v>3</v>
      </c>
    </row>
    <row r="6" spans="1:7" x14ac:dyDescent="0.3">
      <c r="A6" s="2"/>
      <c r="B6" s="46"/>
      <c r="C6" s="49"/>
      <c r="D6" s="1" t="s">
        <v>2</v>
      </c>
      <c r="E6" s="1" t="s">
        <v>4</v>
      </c>
    </row>
    <row r="7" spans="1:7" x14ac:dyDescent="0.3">
      <c r="A7" s="2"/>
      <c r="B7" s="2"/>
      <c r="C7" s="2"/>
      <c r="D7" s="2"/>
      <c r="E7" s="2"/>
      <c r="F7" s="2"/>
      <c r="G7" t="s">
        <v>9</v>
      </c>
    </row>
    <row r="8" spans="1:7" x14ac:dyDescent="0.3">
      <c r="B8" s="42" t="s">
        <v>7</v>
      </c>
      <c r="C8" s="43"/>
      <c r="D8" s="44"/>
      <c r="E8" s="1" t="s">
        <v>5</v>
      </c>
    </row>
    <row r="9" spans="1:7" x14ac:dyDescent="0.3">
      <c r="B9" s="45"/>
      <c r="C9" s="47" t="s">
        <v>0</v>
      </c>
      <c r="D9" s="1" t="s">
        <v>1</v>
      </c>
      <c r="E9" s="1" t="s">
        <v>3</v>
      </c>
    </row>
    <row r="10" spans="1:7" x14ac:dyDescent="0.3">
      <c r="B10" s="46"/>
      <c r="C10" s="48"/>
      <c r="D10" s="1" t="s">
        <v>2</v>
      </c>
      <c r="E10" s="1" t="s">
        <v>4</v>
      </c>
    </row>
    <row r="16" spans="1:7" ht="15.6" x14ac:dyDescent="0.35">
      <c r="B16" t="s">
        <v>11</v>
      </c>
    </row>
    <row r="18" spans="2:11" ht="15.6" x14ac:dyDescent="0.35">
      <c r="B18" t="s">
        <v>12</v>
      </c>
    </row>
    <row r="21" spans="2:11" x14ac:dyDescent="0.3">
      <c r="I21" s="3"/>
    </row>
    <row r="23" spans="2:11" x14ac:dyDescent="0.3">
      <c r="F23" s="4"/>
      <c r="K23" t="s">
        <v>8</v>
      </c>
    </row>
    <row r="28" spans="2:11" x14ac:dyDescent="0.3">
      <c r="G28" t="s">
        <v>10</v>
      </c>
    </row>
  </sheetData>
  <mergeCells count="6">
    <mergeCell ref="B4:D4"/>
    <mergeCell ref="B8:D8"/>
    <mergeCell ref="B9:B10"/>
    <mergeCell ref="C9:C10"/>
    <mergeCell ref="C5:C6"/>
    <mergeCell ref="B5:B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682C-D4A8-4C82-A0F2-84F586F65DD2}">
  <dimension ref="B6:P48"/>
  <sheetViews>
    <sheetView tabSelected="1" zoomScale="55" zoomScaleNormal="55" workbookViewId="0">
      <selection activeCell="F12" sqref="F12"/>
    </sheetView>
  </sheetViews>
  <sheetFormatPr defaultRowHeight="14.4" x14ac:dyDescent="0.3"/>
  <cols>
    <col min="4" max="4" width="14.44140625" customWidth="1"/>
    <col min="5" max="5" width="10.109375" customWidth="1"/>
    <col min="6" max="6" width="10.33203125" customWidth="1"/>
    <col min="7" max="7" width="12.5546875" customWidth="1"/>
    <col min="14" max="14" width="18.33203125" bestFit="1" customWidth="1"/>
  </cols>
  <sheetData>
    <row r="6" spans="2:11" x14ac:dyDescent="0.3">
      <c r="B6" s="11" t="s">
        <v>28</v>
      </c>
      <c r="G6" s="6"/>
      <c r="H6" s="6"/>
    </row>
    <row r="7" spans="2:11" x14ac:dyDescent="0.3">
      <c r="G7" s="6"/>
      <c r="H7" s="6"/>
    </row>
    <row r="8" spans="2:11" x14ac:dyDescent="0.3">
      <c r="B8" s="53" t="s">
        <v>21</v>
      </c>
      <c r="C8" s="53"/>
      <c r="D8" s="53"/>
      <c r="E8" s="21">
        <v>0.995</v>
      </c>
      <c r="F8" s="9"/>
      <c r="G8" s="10"/>
      <c r="H8" s="10"/>
      <c r="I8" s="9"/>
    </row>
    <row r="9" spans="2:11" x14ac:dyDescent="0.3">
      <c r="B9" s="5"/>
      <c r="C9" s="5"/>
      <c r="E9" s="10"/>
      <c r="F9" s="7"/>
      <c r="G9" s="10"/>
      <c r="H9" s="10"/>
      <c r="I9" s="9"/>
    </row>
    <row r="10" spans="2:11" x14ac:dyDescent="0.3">
      <c r="B10" s="49" t="s">
        <v>13</v>
      </c>
      <c r="C10" s="49"/>
      <c r="D10" s="49"/>
      <c r="E10" s="12" t="s">
        <v>18</v>
      </c>
      <c r="F10" s="13" t="s">
        <v>15</v>
      </c>
      <c r="G10" s="12" t="s">
        <v>19</v>
      </c>
      <c r="H10" s="12" t="s">
        <v>20</v>
      </c>
      <c r="I10" s="9"/>
    </row>
    <row r="11" spans="2:11" x14ac:dyDescent="0.3">
      <c r="B11" s="49"/>
      <c r="C11" s="49"/>
      <c r="D11" s="49"/>
      <c r="E11" s="19">
        <v>5000</v>
      </c>
      <c r="F11" s="20">
        <v>0.97</v>
      </c>
      <c r="G11" s="12">
        <f>E11*F11</f>
        <v>4850</v>
      </c>
      <c r="H11" s="12">
        <f>SQRT((E11*E11)-(G11*G11))</f>
        <v>1215.5245781143219</v>
      </c>
      <c r="I11" s="9"/>
    </row>
    <row r="12" spans="2:11" x14ac:dyDescent="0.3">
      <c r="B12" s="5"/>
      <c r="C12" s="5"/>
      <c r="D12" s="6"/>
      <c r="E12" s="7"/>
      <c r="F12" s="7"/>
      <c r="G12" s="10">
        <v>0</v>
      </c>
      <c r="H12" s="10">
        <v>0</v>
      </c>
      <c r="I12" s="9"/>
    </row>
    <row r="13" spans="2:11" x14ac:dyDescent="0.3">
      <c r="B13" s="23" t="s">
        <v>10</v>
      </c>
      <c r="C13" s="24" t="s">
        <v>22</v>
      </c>
      <c r="D13" s="25"/>
      <c r="E13" s="26"/>
      <c r="F13" s="26"/>
      <c r="G13" s="27">
        <v>3000</v>
      </c>
      <c r="H13" s="28"/>
      <c r="I13" s="9"/>
    </row>
    <row r="14" spans="2:11" x14ac:dyDescent="0.3">
      <c r="B14" s="29"/>
      <c r="C14" s="30" t="s">
        <v>25</v>
      </c>
      <c r="D14" s="31">
        <v>2000</v>
      </c>
      <c r="E14" s="32"/>
      <c r="F14" s="32"/>
      <c r="G14" s="33"/>
      <c r="H14" s="34"/>
      <c r="I14" s="9"/>
    </row>
    <row r="15" spans="2:11" ht="15" thickBot="1" x14ac:dyDescent="0.35">
      <c r="B15" s="35"/>
      <c r="C15" s="36" t="s">
        <v>24</v>
      </c>
      <c r="D15" s="37"/>
      <c r="E15" s="38"/>
      <c r="F15" s="38"/>
      <c r="G15" s="39"/>
      <c r="H15" s="40">
        <f>(H11-H23)*(K16/100)</f>
        <v>628.62357224980917</v>
      </c>
      <c r="I15" s="9"/>
      <c r="K15" s="8"/>
    </row>
    <row r="16" spans="2:11" x14ac:dyDescent="0.3">
      <c r="B16" s="5"/>
      <c r="C16" s="5"/>
      <c r="D16" s="6"/>
      <c r="E16" s="7"/>
      <c r="F16" s="7"/>
      <c r="G16" s="10"/>
      <c r="H16" s="10"/>
      <c r="I16" s="9"/>
      <c r="J16" s="15" t="s">
        <v>29</v>
      </c>
      <c r="K16" s="16">
        <f>D14/(D14+D19)*100</f>
        <v>57.142857142857139</v>
      </c>
    </row>
    <row r="17" spans="2:11" x14ac:dyDescent="0.3">
      <c r="B17" s="5"/>
      <c r="C17" s="5"/>
      <c r="D17" s="6"/>
      <c r="E17" s="7"/>
      <c r="F17" s="7"/>
      <c r="G17" s="10"/>
      <c r="H17" s="10"/>
      <c r="I17" s="9"/>
      <c r="J17" s="51" t="s">
        <v>31</v>
      </c>
      <c r="K17" s="52"/>
    </row>
    <row r="18" spans="2:11" ht="15" thickBot="1" x14ac:dyDescent="0.35">
      <c r="B18" s="23" t="s">
        <v>10</v>
      </c>
      <c r="C18" s="24" t="s">
        <v>23</v>
      </c>
      <c r="D18" s="25"/>
      <c r="E18" s="26"/>
      <c r="F18" s="26"/>
      <c r="G18" s="27">
        <v>3000</v>
      </c>
      <c r="H18" s="28"/>
      <c r="I18" s="9"/>
      <c r="J18" s="17" t="s">
        <v>30</v>
      </c>
      <c r="K18" s="18">
        <f>D19/(D19+D14)*100</f>
        <v>42.857142857142854</v>
      </c>
    </row>
    <row r="19" spans="2:11" x14ac:dyDescent="0.3">
      <c r="B19" s="29"/>
      <c r="C19" s="30" t="s">
        <v>26</v>
      </c>
      <c r="D19" s="31">
        <v>1500</v>
      </c>
      <c r="E19" s="32"/>
      <c r="F19" s="32"/>
      <c r="G19" s="33"/>
      <c r="H19" s="34"/>
      <c r="I19" s="9"/>
      <c r="K19" s="8"/>
    </row>
    <row r="20" spans="2:11" x14ac:dyDescent="0.3">
      <c r="B20" s="35"/>
      <c r="C20" s="36" t="s">
        <v>24</v>
      </c>
      <c r="D20" s="37"/>
      <c r="E20" s="38"/>
      <c r="F20" s="38"/>
      <c r="G20" s="39"/>
      <c r="H20" s="40">
        <f>(H11-H23)*(K18/100)</f>
        <v>471.46767918735691</v>
      </c>
      <c r="I20" s="9"/>
    </row>
    <row r="21" spans="2:11" x14ac:dyDescent="0.3">
      <c r="B21" s="5"/>
      <c r="C21" s="5"/>
      <c r="D21" s="6"/>
      <c r="E21" s="7"/>
      <c r="F21" s="7"/>
      <c r="G21" s="10"/>
      <c r="H21" s="10"/>
      <c r="I21" s="9"/>
    </row>
    <row r="22" spans="2:11" s="6" customFormat="1" x14ac:dyDescent="0.3">
      <c r="B22" s="50" t="s">
        <v>27</v>
      </c>
      <c r="C22" s="50"/>
      <c r="D22" s="50"/>
      <c r="E22" s="12" t="s">
        <v>16</v>
      </c>
      <c r="F22" s="12" t="s">
        <v>15</v>
      </c>
      <c r="G22" s="12" t="s">
        <v>14</v>
      </c>
      <c r="H22" s="12" t="s">
        <v>17</v>
      </c>
      <c r="I22" s="10"/>
    </row>
    <row r="23" spans="2:11" x14ac:dyDescent="0.3">
      <c r="B23" s="50"/>
      <c r="C23" s="50"/>
      <c r="D23" s="50"/>
      <c r="E23" s="13">
        <f>G23/E8</f>
        <v>-1155.7788944723618</v>
      </c>
      <c r="F23" s="14">
        <f>G23/E23</f>
        <v>0.995</v>
      </c>
      <c r="G23" s="12">
        <f>G11-(G13+G18)</f>
        <v>-1150</v>
      </c>
      <c r="H23" s="12">
        <f>SQRT((E23*E23)-(G23*G23))</f>
        <v>115.4333266771557</v>
      </c>
      <c r="I23" s="9"/>
      <c r="J23" s="22">
        <f>H11-H15-H20</f>
        <v>115.43332667715583</v>
      </c>
      <c r="K23" t="s">
        <v>32</v>
      </c>
    </row>
    <row r="36" spans="13:16" x14ac:dyDescent="0.3">
      <c r="M36" t="s">
        <v>33</v>
      </c>
    </row>
    <row r="37" spans="13:16" x14ac:dyDescent="0.3">
      <c r="M37" t="s">
        <v>34</v>
      </c>
      <c r="N37" t="s">
        <v>34</v>
      </c>
      <c r="O37" t="s">
        <v>35</v>
      </c>
      <c r="P37" t="s">
        <v>35</v>
      </c>
    </row>
    <row r="38" spans="13:16" x14ac:dyDescent="0.3">
      <c r="M38" s="41">
        <v>0</v>
      </c>
      <c r="N38" s="41">
        <f>H11</f>
        <v>1215.5245781143219</v>
      </c>
      <c r="O38" s="41">
        <v>0</v>
      </c>
      <c r="P38" s="41">
        <f>G11</f>
        <v>4850</v>
      </c>
    </row>
    <row r="39" spans="13:16" x14ac:dyDescent="0.3">
      <c r="M39" t="s">
        <v>36</v>
      </c>
    </row>
    <row r="40" spans="13:16" x14ac:dyDescent="0.3">
      <c r="M40" s="41">
        <v>0</v>
      </c>
      <c r="N40" s="41">
        <v>0</v>
      </c>
      <c r="O40" s="41">
        <v>0</v>
      </c>
      <c r="P40" s="41">
        <f>G11</f>
        <v>4850</v>
      </c>
    </row>
    <row r="41" spans="13:16" x14ac:dyDescent="0.3">
      <c r="M41" t="s">
        <v>37</v>
      </c>
    </row>
    <row r="42" spans="13:16" x14ac:dyDescent="0.3">
      <c r="M42" s="41">
        <v>0</v>
      </c>
      <c r="N42" s="41">
        <f>H11</f>
        <v>1215.5245781143219</v>
      </c>
      <c r="O42" s="41">
        <v>0</v>
      </c>
      <c r="P42" s="41">
        <v>0</v>
      </c>
    </row>
    <row r="43" spans="13:16" x14ac:dyDescent="0.3">
      <c r="M43" t="s">
        <v>38</v>
      </c>
    </row>
    <row r="44" spans="13:16" x14ac:dyDescent="0.3">
      <c r="M44" s="41">
        <v>0</v>
      </c>
      <c r="N44" s="41">
        <f>H23</f>
        <v>115.4333266771557</v>
      </c>
      <c r="O44" s="41">
        <v>0</v>
      </c>
      <c r="P44" s="41">
        <f>G23</f>
        <v>-1150</v>
      </c>
    </row>
    <row r="45" spans="13:16" x14ac:dyDescent="0.3">
      <c r="M45" t="s">
        <v>40</v>
      </c>
    </row>
    <row r="46" spans="13:16" x14ac:dyDescent="0.3">
      <c r="M46" s="41">
        <f>N38</f>
        <v>1215.5245781143219</v>
      </c>
      <c r="N46" s="41">
        <f>N38-H15</f>
        <v>586.90100586451274</v>
      </c>
      <c r="O46" s="41">
        <f>P38</f>
        <v>4850</v>
      </c>
      <c r="P46" s="41">
        <f>P38-G13</f>
        <v>1850</v>
      </c>
    </row>
    <row r="47" spans="13:16" x14ac:dyDescent="0.3">
      <c r="M47" t="s">
        <v>39</v>
      </c>
    </row>
    <row r="48" spans="13:16" x14ac:dyDescent="0.3">
      <c r="M48" s="41">
        <f>N46</f>
        <v>586.90100586451274</v>
      </c>
      <c r="N48" s="41">
        <f>N46-H20</f>
        <v>115.43332667715583</v>
      </c>
      <c r="O48" s="41">
        <f>P46</f>
        <v>1850</v>
      </c>
      <c r="P48" s="41">
        <f>P46-G18</f>
        <v>-1150</v>
      </c>
    </row>
  </sheetData>
  <mergeCells count="4">
    <mergeCell ref="B22:D23"/>
    <mergeCell ref="J17:K17"/>
    <mergeCell ref="B10:D11"/>
    <mergeCell ref="B8:D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2A8-8E6E-4D20-8A06-4305C0874756}">
  <dimension ref="A1"/>
  <sheetViews>
    <sheetView workbookViewId="0">
      <selection activeCell="B4" sqref="B4"/>
    </sheetView>
  </sheetViews>
  <sheetFormatPr defaultRowHeight="14.4" x14ac:dyDescent="0.3"/>
  <cols>
    <col min="2" max="2" width="3.44140625" customWidth="1"/>
    <col min="3" max="3" width="2.88671875" customWidth="1"/>
    <col min="4" max="4" width="53.33203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F578347247D43ABB0E96790AE3DD8" ma:contentTypeVersion="11" ma:contentTypeDescription="Create a new document." ma:contentTypeScope="" ma:versionID="836acde087de1114cd95e29e3f8f6203">
  <xsd:schema xmlns:xsd="http://www.w3.org/2001/XMLSchema" xmlns:xs="http://www.w3.org/2001/XMLSchema" xmlns:p="http://schemas.microsoft.com/office/2006/metadata/properties" xmlns:ns3="f75e41bf-1bc8-4cee-ab1d-8bab58b66c34" xmlns:ns4="d6809223-5555-4751-9408-f2a2604321e5" targetNamespace="http://schemas.microsoft.com/office/2006/metadata/properties" ma:root="true" ma:fieldsID="ac35954d2c3782b37beab008af26d36c" ns3:_="" ns4:_="">
    <xsd:import namespace="f75e41bf-1bc8-4cee-ab1d-8bab58b66c34"/>
    <xsd:import namespace="d6809223-5555-4751-9408-f2a2604321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e41bf-1bc8-4cee-ab1d-8bab58b66c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09223-5555-4751-9408-f2a260432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28B247-6333-47A7-BEE8-62E92D5EC2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619EF8-3C9A-4A2B-B739-8A8CC3F05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5e41bf-1bc8-4cee-ab1d-8bab58b66c34"/>
    <ds:schemaRef ds:uri="d6809223-5555-4751-9408-f2a2604321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2E26F5-2111-420C-B5F0-D8F576E98D59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f75e41bf-1bc8-4cee-ab1d-8bab58b66c34"/>
    <ds:schemaRef ds:uri="http://purl.org/dc/terms/"/>
    <ds:schemaRef ds:uri="d6809223-5555-4751-9408-f2a2604321e5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Vector diagram</vt:lpstr>
      <vt:lpstr>Simulatie</vt:lpstr>
      <vt:lpstr>Vragen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Stienen</dc:creator>
  <cp:lastModifiedBy>Harry Stienen</cp:lastModifiedBy>
  <cp:lastPrinted>2020-03-26T08:34:28Z</cp:lastPrinted>
  <dcterms:created xsi:type="dcterms:W3CDTF">2020-03-16T12:58:37Z</dcterms:created>
  <dcterms:modified xsi:type="dcterms:W3CDTF">2020-05-11T15:58:53Z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0x0101008A8F578347247D43ABB0E96790AE3DD8</vt:lpwstr>
  </property>
</Properties>
</file>