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290" yWindow="705" windowWidth="11340" windowHeight="6480" tabRatio="579"/>
  </bookViews>
  <sheets>
    <sheet name="List MHZ" sheetId="1" r:id="rId1"/>
  </sheets>
  <definedNames>
    <definedName name="_xlnm._FilterDatabase" localSheetId="0" hidden="1">'List MHZ'!$B$1:$CJ$387</definedName>
    <definedName name="_xlnm.Print_Titles" localSheetId="0">'List MHZ'!$1:$1</definedName>
  </definedNames>
  <calcPr calcId="144525"/>
</workbook>
</file>

<file path=xl/calcChain.xml><?xml version="1.0" encoding="utf-8"?>
<calcChain xmlns="http://schemas.openxmlformats.org/spreadsheetml/2006/main">
  <c r="X12" i="1" l="1"/>
  <c r="X4" i="1"/>
  <c r="AW110" i="1" l="1"/>
  <c r="AW215" i="1"/>
  <c r="AW218" i="1"/>
  <c r="AW136" i="1"/>
  <c r="AW217" i="1"/>
  <c r="AW132" i="1"/>
  <c r="AW125" i="1"/>
  <c r="AW115" i="1"/>
  <c r="AW114" i="1"/>
  <c r="AW98" i="1"/>
  <c r="AW97" i="1"/>
  <c r="AW96" i="1"/>
  <c r="AW368" i="1"/>
  <c r="AW307" i="1"/>
  <c r="AW363" i="1"/>
  <c r="AW358" i="1"/>
  <c r="AW304" i="1"/>
  <c r="AW340" i="1"/>
  <c r="AW293" i="1"/>
  <c r="AW177" i="1"/>
  <c r="AW75" i="1"/>
  <c r="AW68" i="1"/>
  <c r="AW61" i="1"/>
  <c r="AW166" i="1"/>
  <c r="AS326" i="1"/>
  <c r="AS325" i="1"/>
  <c r="AS324" i="1"/>
  <c r="AG121" i="1"/>
  <c r="AG131" i="1"/>
  <c r="AG83" i="1"/>
  <c r="AG109" i="1"/>
  <c r="AG316" i="1"/>
  <c r="AD315" i="1"/>
  <c r="AD225" i="1"/>
  <c r="AD373" i="1"/>
  <c r="AD316" i="1"/>
  <c r="AD109" i="1"/>
  <c r="AD83" i="1"/>
  <c r="AD121" i="1"/>
  <c r="AD131" i="1"/>
  <c r="AA13" i="1"/>
  <c r="AA14" i="1"/>
  <c r="AA15" i="1"/>
  <c r="AA29" i="1"/>
  <c r="AA30" i="1"/>
  <c r="AA31" i="1"/>
  <c r="AA45" i="1"/>
  <c r="AA46" i="1"/>
  <c r="AA47" i="1"/>
  <c r="AD324" i="1"/>
  <c r="AD325" i="1"/>
  <c r="AD326" i="1"/>
  <c r="AD239" i="1"/>
  <c r="AD249" i="1"/>
  <c r="AD258" i="1"/>
  <c r="AD267" i="1"/>
  <c r="AD276" i="1"/>
  <c r="AJ13" i="1"/>
  <c r="AJ14" i="1"/>
  <c r="AJ15" i="1"/>
  <c r="AJ29" i="1"/>
  <c r="AJ30" i="1"/>
  <c r="AJ31" i="1"/>
  <c r="AJ45" i="1"/>
  <c r="AJ46" i="1"/>
  <c r="AJ47" i="1"/>
  <c r="AJ162" i="1"/>
  <c r="AJ164" i="1"/>
  <c r="AJ173" i="1"/>
  <c r="AJ176" i="1"/>
  <c r="AJ330" i="1"/>
  <c r="AJ331" i="1"/>
  <c r="AJ332" i="1"/>
  <c r="AJ94" i="1"/>
  <c r="AJ113" i="1"/>
  <c r="AJ105" i="1"/>
  <c r="AJ117" i="1"/>
  <c r="AJ121" i="1"/>
  <c r="AJ127" i="1"/>
  <c r="AJ131" i="1"/>
  <c r="AJ83" i="1"/>
  <c r="AJ108" i="1"/>
  <c r="AJ109" i="1"/>
  <c r="AJ124" i="1"/>
  <c r="AJ134" i="1"/>
  <c r="AJ181" i="1"/>
  <c r="AJ348" i="1"/>
  <c r="AJ316" i="1"/>
  <c r="AJ371" i="1"/>
  <c r="AG373" i="1"/>
  <c r="AJ373" i="1"/>
  <c r="AX319" i="1"/>
  <c r="AX334" i="1"/>
  <c r="AX335" i="1"/>
  <c r="AX333" i="1"/>
  <c r="AM76" i="1"/>
  <c r="AM69" i="1"/>
  <c r="AM62" i="1"/>
  <c r="AM367" i="1"/>
  <c r="AM360" i="1"/>
  <c r="AM80" i="1"/>
  <c r="AM79" i="1"/>
  <c r="AM73" i="1"/>
  <c r="AM72" i="1"/>
  <c r="AM66" i="1"/>
  <c r="AM65" i="1"/>
  <c r="AG394" i="1" l="1"/>
  <c r="AX394" i="1"/>
</calcChain>
</file>

<file path=xl/comments1.xml><?xml version="1.0" encoding="utf-8"?>
<comments xmlns="http://schemas.openxmlformats.org/spreadsheetml/2006/main">
  <authors>
    <author>ctxadmin</author>
  </authors>
  <commentList>
    <comment ref="AA324" authorId="0">
      <text>
        <r>
          <rPr>
            <b/>
            <sz val="8"/>
            <color indexed="81"/>
            <rFont val="Tahoma"/>
          </rPr>
          <t>ctxadmin:</t>
        </r>
        <r>
          <rPr>
            <sz val="8"/>
            <color indexed="81"/>
            <rFont val="Tahoma"/>
          </rPr>
          <t xml:space="preserve">
Na onderhandeling Inez</t>
        </r>
      </text>
    </comment>
  </commentList>
</comments>
</file>

<file path=xl/sharedStrings.xml><?xml version="1.0" encoding="utf-8"?>
<sst xmlns="http://schemas.openxmlformats.org/spreadsheetml/2006/main" count="4396" uniqueCount="1026">
  <si>
    <t>PID</t>
  </si>
  <si>
    <t>LT201</t>
  </si>
  <si>
    <t>LT202</t>
  </si>
  <si>
    <t>PT201</t>
  </si>
  <si>
    <t>ACS800-01-0135-3</t>
  </si>
  <si>
    <t>ACS800-01-0075-3</t>
  </si>
  <si>
    <t>SVA105</t>
  </si>
  <si>
    <t>Sproeiklep voor VS101</t>
  </si>
  <si>
    <t>ACS800-01-0050-3</t>
  </si>
  <si>
    <t>Sitrans P DSIII 0-10 bar 2-Draads 24VDC</t>
  </si>
  <si>
    <t>LT301</t>
  </si>
  <si>
    <t>LT302</t>
  </si>
  <si>
    <t>LT303</t>
  </si>
  <si>
    <t>LT304</t>
  </si>
  <si>
    <t>Sitrans LVS200 interface meting met kabel 4,5 m</t>
  </si>
  <si>
    <t>Sitrans LVS200 interface meting met kabel 5 m</t>
  </si>
  <si>
    <t>Sitrans LVS200 zonder verlenging</t>
  </si>
  <si>
    <t>Sitrans P</t>
  </si>
  <si>
    <t>Trye n buy 600 Euro voor één stuk Sitrans LU01/LU02 + XPS-30 transducer + Richtkit</t>
  </si>
  <si>
    <t>Bord</t>
  </si>
  <si>
    <t>Booster1</t>
  </si>
  <si>
    <t>Booster2</t>
  </si>
  <si>
    <t>Booster3</t>
  </si>
  <si>
    <t>Zuiger</t>
  </si>
  <si>
    <t>ALSB</t>
  </si>
  <si>
    <t>CHEM</t>
  </si>
  <si>
    <t>WPU402</t>
  </si>
  <si>
    <t>Waterpomp spoeling conditioner CN401</t>
  </si>
  <si>
    <t>Waterpomp</t>
  </si>
  <si>
    <t>Debietmeting Sodapomp CPU303c Neutralisatie decanter</t>
  </si>
  <si>
    <t>WB</t>
  </si>
  <si>
    <t>Debietmeting FeCl3 CPU305 Waterbehandeling</t>
  </si>
  <si>
    <t>CPU401</t>
  </si>
  <si>
    <t>Flowmeting ??</t>
  </si>
  <si>
    <t>Polymeeraanmaakunit Waterbehandeling</t>
  </si>
  <si>
    <t>Polymeeraanmaakunit Filterbandpers</t>
  </si>
  <si>
    <t>Liquiphant M FTL51. 2m</t>
  </si>
  <si>
    <t>Liquiphant M FTL51 2m</t>
  </si>
  <si>
    <t>Soliphant M FTM51 2,5m</t>
  </si>
  <si>
    <t>Soliphant M FTM51 3m</t>
  </si>
  <si>
    <t>Soliphant M FTM51 3,5m</t>
  </si>
  <si>
    <t>Soliphant M FTM51 4m</t>
  </si>
  <si>
    <t>Liquiphant M FTL51 3m</t>
  </si>
  <si>
    <t>Liquiphant FTL20</t>
  </si>
  <si>
    <t>ASP-station</t>
  </si>
  <si>
    <t>Turbimax-W CUS41</t>
  </si>
  <si>
    <t>Niveaumeting tank FeCl3.</t>
  </si>
  <si>
    <t>Niveaumeting H2SO4.</t>
  </si>
  <si>
    <t>Niveaumeting mazoutketel.</t>
  </si>
  <si>
    <t>Debietmeting DN25</t>
  </si>
  <si>
    <t xml:space="preserve">IFM </t>
  </si>
  <si>
    <t>SVA111</t>
  </si>
  <si>
    <t>SVA112</t>
  </si>
  <si>
    <t>SVA113</t>
  </si>
  <si>
    <t>Wisselvanne Booster</t>
  </si>
  <si>
    <t xml:space="preserve">Wisselvanne Zuiger </t>
  </si>
  <si>
    <t>Wisselvanne Zuiger Tussenzand</t>
  </si>
  <si>
    <t>Motorvalve</t>
  </si>
  <si>
    <t>Gemotoriseerde vanne</t>
  </si>
  <si>
    <t>PT502</t>
  </si>
  <si>
    <t>PT503</t>
  </si>
  <si>
    <t>PT504</t>
  </si>
  <si>
    <t>PT505</t>
  </si>
  <si>
    <t>Drukmeting Cycloon Toren 1</t>
  </si>
  <si>
    <t>Drukmeting Cycloon Toren 2</t>
  </si>
  <si>
    <t>Drukmeting Cycloon Toren 3</t>
  </si>
  <si>
    <t>Drukmeting Cycloon Toren 4</t>
  </si>
  <si>
    <t>Drukmeting Cycloon Toren 5</t>
  </si>
  <si>
    <t>Softstarter</t>
  </si>
  <si>
    <t>110 m³/u</t>
  </si>
  <si>
    <t>DO214</t>
  </si>
  <si>
    <t>DO215</t>
  </si>
  <si>
    <t>Regelklep densiteit voeding Ketel 1 L2-L3</t>
  </si>
  <si>
    <t>Regelklep densiteit voeding Ketel 2 L2-L3</t>
  </si>
  <si>
    <t>Regelklep densiteit voeding Ketel 3 L2-L3</t>
  </si>
  <si>
    <t>Regelklep densiteit voeding Ketel 3 L1</t>
  </si>
  <si>
    <t>DO234</t>
  </si>
  <si>
    <t>FO235</t>
  </si>
  <si>
    <t>DO225</t>
  </si>
  <si>
    <t>DO241</t>
  </si>
  <si>
    <t>DO242</t>
  </si>
  <si>
    <t>DO251</t>
  </si>
  <si>
    <t>DO252</t>
  </si>
  <si>
    <t>DO253</t>
  </si>
  <si>
    <t>DO254</t>
  </si>
  <si>
    <t>SVA303</t>
  </si>
  <si>
    <t>SVA403</t>
  </si>
  <si>
    <t>WPU502</t>
  </si>
  <si>
    <t>CPU602</t>
  </si>
  <si>
    <t>Pomp sprinklersysteem torens</t>
  </si>
  <si>
    <t>MI602</t>
  </si>
  <si>
    <t>HE601</t>
  </si>
  <si>
    <t>Mixer verdund polymeer</t>
  </si>
  <si>
    <t>Verwarming polymeer</t>
  </si>
  <si>
    <t>Heater</t>
  </si>
  <si>
    <t>kg/dm³</t>
  </si>
  <si>
    <t>Radiometrische concentratiemeting: Bron Cs137 370 MBq (1991) herbruiken. Leiding DE110 SDR 17: Externe diameter 110, wanddikte 6,6mm</t>
  </si>
  <si>
    <t>Radiometrische concentratiemeting: Bron Cs137 925 MBq (1994) herbruiken. Leiding DE160 SDR 17: Externe diameter 160mm, wanddikte: 9,5mm</t>
  </si>
  <si>
    <t>Radiometrische concentratiemeting: Bron Cs137 925 MBq (1994) herbruiken. Leiding DE110 SDR 17: Externe diameter 110mm, wanddikte 6,6mm</t>
  </si>
  <si>
    <t>Compressor</t>
  </si>
  <si>
    <t>FT101</t>
  </si>
  <si>
    <t>FT102</t>
  </si>
  <si>
    <t>FT103</t>
  </si>
  <si>
    <t>Flowmeting glandwater WPU103</t>
  </si>
  <si>
    <t>Flowmeting glandwater WPU102</t>
  </si>
  <si>
    <t>Flowmeting glandwater WPU101</t>
  </si>
  <si>
    <t>TA101</t>
  </si>
  <si>
    <t>TA102</t>
  </si>
  <si>
    <t>Takel zeefgebouw</t>
  </si>
  <si>
    <t>Regeling water op pompbak van PU101</t>
  </si>
  <si>
    <t>Klep overloop K2 naar VS101</t>
  </si>
  <si>
    <t>Gevoed op HS</t>
  </si>
  <si>
    <t>Regeling water op zift VS101 (Vast in te stellen)</t>
  </si>
  <si>
    <t>Waterpomp van groeve tussenzand pompbak cycloontorens</t>
  </si>
  <si>
    <t>Snelheid jetpomp WPU201</t>
  </si>
  <si>
    <t>DIC201</t>
  </si>
  <si>
    <t>Densiteitsregeling L1</t>
  </si>
  <si>
    <t>DIC202</t>
  </si>
  <si>
    <t>DIC203</t>
  </si>
  <si>
    <t>PT101b</t>
  </si>
  <si>
    <t>PT102b</t>
  </si>
  <si>
    <t>PT103b</t>
  </si>
  <si>
    <t>PT101a</t>
  </si>
  <si>
    <t>PT102a</t>
  </si>
  <si>
    <t>PT103a</t>
  </si>
  <si>
    <t>Voordruk voor zandpomp BPU101</t>
  </si>
  <si>
    <t>Voordruk voor zandpomp BPU103</t>
  </si>
  <si>
    <t>Voordruk voor zandpomp BPU102</t>
  </si>
  <si>
    <t>WPU607</t>
  </si>
  <si>
    <t>Pomp overloop decanter</t>
  </si>
  <si>
    <t>WT501</t>
  </si>
  <si>
    <t>Wind</t>
  </si>
  <si>
    <t>Windmeting op torens (Vaisala)</t>
  </si>
  <si>
    <t>ACS800-01-0030-3</t>
  </si>
  <si>
    <t>Densiteitsregeling L3</t>
  </si>
  <si>
    <t>Densiteitsregeling L2</t>
  </si>
  <si>
    <t>FIC201</t>
  </si>
  <si>
    <t>FIC202</t>
  </si>
  <si>
    <t>FIC203</t>
  </si>
  <si>
    <t>Debietregeling L1</t>
  </si>
  <si>
    <t>Debietregeling L2</t>
  </si>
  <si>
    <t>Debietregeling L3</t>
  </si>
  <si>
    <t>SVA211a</t>
  </si>
  <si>
    <t>SVA211b</t>
  </si>
  <si>
    <t>SVA212a</t>
  </si>
  <si>
    <t>SVA212b</t>
  </si>
  <si>
    <t>SVA213a</t>
  </si>
  <si>
    <t>SVA221a</t>
  </si>
  <si>
    <t>SVA221b</t>
  </si>
  <si>
    <t>SVA222a</t>
  </si>
  <si>
    <t>SVA222b</t>
  </si>
  <si>
    <t>SVA223a</t>
  </si>
  <si>
    <t>SVA231a</t>
  </si>
  <si>
    <t>SVA231b</t>
  </si>
  <si>
    <t>SVA232a</t>
  </si>
  <si>
    <t>SVA232b</t>
  </si>
  <si>
    <t>SVA233a</t>
  </si>
  <si>
    <t>Drukmeting pomp WPU201-WPU202</t>
  </si>
  <si>
    <t>Drukmeting WPU206</t>
  </si>
  <si>
    <t>Klep spoeling Attritiecel AT201A</t>
  </si>
  <si>
    <t>Klep spoeling Attritiecel AT201B</t>
  </si>
  <si>
    <t>AT201a</t>
  </si>
  <si>
    <t>AT201b</t>
  </si>
  <si>
    <t>Klasseerwaterpomp DS202</t>
  </si>
  <si>
    <t xml:space="preserve">Valve 1 uitlaat DS201 </t>
  </si>
  <si>
    <t>Valve 2 uitlaat DS201</t>
  </si>
  <si>
    <t>Regelklep terugloop van WT201 naar zift HO201</t>
  </si>
  <si>
    <t>Sturing sodapomp attritie voor flotatie ? Drive ??</t>
  </si>
  <si>
    <t>Debietregeling klasseerwater DS201</t>
  </si>
  <si>
    <t>Debietregeling klasseerwater DS202</t>
  </si>
  <si>
    <t>Ventielkast Martonair PB ?</t>
  </si>
  <si>
    <t>Blower beluchting flotatie</t>
  </si>
  <si>
    <t>LO414a</t>
  </si>
  <si>
    <t>LO414b</t>
  </si>
  <si>
    <t>LO412a</t>
  </si>
  <si>
    <t>LO412b</t>
  </si>
  <si>
    <t>LO411a</t>
  </si>
  <si>
    <t>LO411b</t>
  </si>
  <si>
    <t>SVA271</t>
  </si>
  <si>
    <t>PU603</t>
  </si>
  <si>
    <t>SVA601</t>
  </si>
  <si>
    <t>SVA602</t>
  </si>
  <si>
    <t xml:space="preserve">Klep NaOH circulatie in tank </t>
  </si>
  <si>
    <t>Klep NaOH naar verdeeltank</t>
  </si>
  <si>
    <t>Vermogen overgenomen van MHL</t>
  </si>
  <si>
    <t>PHT603</t>
  </si>
  <si>
    <t>NTU602</t>
  </si>
  <si>
    <t>NTU601</t>
  </si>
  <si>
    <t>Low</t>
  </si>
  <si>
    <t>High</t>
  </si>
  <si>
    <t>M</t>
  </si>
  <si>
    <t>°C</t>
  </si>
  <si>
    <t>ABB</t>
  </si>
  <si>
    <t>Power Rate changed on 15/10 from 7,5 to 11 Kw (info Dutto)</t>
  </si>
  <si>
    <t>l/u</t>
  </si>
  <si>
    <t>m³/u</t>
  </si>
  <si>
    <t>Sitrans P 0-10 bar</t>
  </si>
  <si>
    <t>LSL101</t>
  </si>
  <si>
    <t>Optisch idem SCR</t>
  </si>
  <si>
    <t>Debietmeting NaOH. CPU303d. Neutralisatie lozing in beek</t>
  </si>
  <si>
    <t>Sitrans F M Magflo MAG5100 W DN125</t>
  </si>
  <si>
    <t>Sitrans P DSIII  0-10 Bar</t>
  </si>
  <si>
    <t>NTU</t>
  </si>
  <si>
    <t>Niveaumeting pompbak</t>
  </si>
  <si>
    <t>IFM Type</t>
  </si>
  <si>
    <t>IFM Prijs</t>
  </si>
  <si>
    <t>PG2794 Manometer+E30122 Inlasadapter</t>
  </si>
  <si>
    <t>SI5004 Debietmeting (ANALOOG)+E40096 Adapter</t>
  </si>
  <si>
    <t>Sitrans F M Magflo MAG5100W DN25</t>
  </si>
  <si>
    <t>Promag 50W DN200/8"</t>
  </si>
  <si>
    <t>Niveaumeting flotatiecel 401: Outotec</t>
  </si>
  <si>
    <t>Niveaumeting flotatiecel 402: Outotec</t>
  </si>
  <si>
    <t>Niveaumeting flotatiecel 404: Outotec</t>
  </si>
  <si>
    <t>Div</t>
  </si>
  <si>
    <t>Conc</t>
  </si>
  <si>
    <t>Sitrans LVS200 interface meting met kabel 2,5m</t>
  </si>
  <si>
    <t>Sitrans LVS200 interface meting met kabel 3m</t>
  </si>
  <si>
    <t>Sitrans F M Magflo  MAG 1100 DN2</t>
  </si>
  <si>
    <t>Sitrans F M Magflo MAG1100 DN2</t>
  </si>
  <si>
    <t>PT511</t>
  </si>
  <si>
    <t>Sitrans P DSIII 0-5 Bar</t>
  </si>
  <si>
    <t>Vegabar 52</t>
  </si>
  <si>
    <t>Vegawave trilvork met buis 300mm</t>
  </si>
  <si>
    <t>Niet opgegeven</t>
  </si>
  <si>
    <t>Idem DT211</t>
  </si>
  <si>
    <t>Type Emerson</t>
  </si>
  <si>
    <t>Prijs Emerson</t>
  </si>
  <si>
    <t>Flowtube DN15 en Transmitter</t>
  </si>
  <si>
    <t>Flowtube DN100 POLYURETHANE !!!!!! en Transmitter</t>
  </si>
  <si>
    <t>Flowtube DN150 en Transmitter</t>
  </si>
  <si>
    <t>Flowtube DN15 en transmitter</t>
  </si>
  <si>
    <t>Flowtube DN250 en transmitter</t>
  </si>
  <si>
    <t>Flowtube DN100 en transmitter</t>
  </si>
  <si>
    <t>Mobrey</t>
  </si>
  <si>
    <t>Model 2088</t>
  </si>
  <si>
    <t>Model 2051 en seal</t>
  </si>
  <si>
    <t>LVL200 meting met vaste buis 1m</t>
  </si>
  <si>
    <t>Sitrans LVL200 meting met vaste buis 2 m</t>
  </si>
  <si>
    <t>Sitrans Probe LU</t>
  </si>
  <si>
    <t>Sipart PS2 Dubbelwerkend en toebehoren</t>
  </si>
  <si>
    <t>Sipart PS2 Enkelwerkend en toebehoren</t>
  </si>
  <si>
    <t>Sitrans P DSIII + diafragma</t>
  </si>
  <si>
    <t>Sitrans F M Magflo MAG3100 DN100</t>
  </si>
  <si>
    <t>Sitrans F M Magflo MAG3100 DN150</t>
  </si>
  <si>
    <t>Tracerco Type</t>
  </si>
  <si>
    <t>Tracerco Prijs</t>
  </si>
  <si>
    <t>Sitrans LU01/LU02 + XPS-30 transducer + Richtkit</t>
  </si>
  <si>
    <t>Pos</t>
  </si>
  <si>
    <t>ACS800-07-0440-3</t>
  </si>
  <si>
    <t>SVA511a</t>
  </si>
  <si>
    <t>SVA511b</t>
  </si>
  <si>
    <t>SVA511c</t>
  </si>
  <si>
    <t>SVA512a</t>
  </si>
  <si>
    <t>SVA512b</t>
  </si>
  <si>
    <t>SVA512c</t>
  </si>
  <si>
    <t>SVA513a</t>
  </si>
  <si>
    <t>SVA513b</t>
  </si>
  <si>
    <t>SVA513c</t>
  </si>
  <si>
    <t>SVA514a</t>
  </si>
  <si>
    <t>SVA514b</t>
  </si>
  <si>
    <t>SVA514c</t>
  </si>
  <si>
    <t>SVA515a</t>
  </si>
  <si>
    <t>SVA515b</t>
  </si>
  <si>
    <t>SVA515c</t>
  </si>
  <si>
    <t>Sprinklerklep Toren 1</t>
  </si>
  <si>
    <t>Sprinklerklep Toren 2</t>
  </si>
  <si>
    <t>Sprinklerklep Toren 3</t>
  </si>
  <si>
    <t>Sprinklerklep Toren 4</t>
  </si>
  <si>
    <t>Sprinklerklep Toren 5</t>
  </si>
  <si>
    <t>LT605</t>
  </si>
  <si>
    <t>Mobrey niveaumeting herbruik van MAM</t>
  </si>
  <si>
    <t>Niveau slibdeken decanter (Wireless verbinding)</t>
  </si>
  <si>
    <t>Detectie waterniveau 2m</t>
  </si>
  <si>
    <t>Detectie waterniveau 3m</t>
  </si>
  <si>
    <t>Sitrans F M Magflo MAG1100 DN6</t>
  </si>
  <si>
    <t>mH2O</t>
  </si>
  <si>
    <t>m H2O</t>
  </si>
  <si>
    <t>Sitrans F M Magflo MAG5100 W DN200</t>
  </si>
  <si>
    <t>Sitrans F M Magflo MAG 1100 DN2</t>
  </si>
  <si>
    <t>Sitrans F M Magflo MAG 1100 DN3</t>
  </si>
  <si>
    <t>LT404</t>
  </si>
  <si>
    <t>Sitrans F M Magflo MAG3100 DN200</t>
  </si>
  <si>
    <t>Power rate</t>
  </si>
  <si>
    <t>Mazoutpomp voor voertuigen / Stopc pkz</t>
  </si>
  <si>
    <t>Mazoutpomp voor verwarming / Stopc pkz</t>
  </si>
  <si>
    <t>Druk LD-Water na pomp WPU601</t>
  </si>
  <si>
    <t>Druk LD-Water na pomp WPU604</t>
  </si>
  <si>
    <t>Niveaumeting toren zandstockage</t>
  </si>
  <si>
    <t>Siemens Type</t>
  </si>
  <si>
    <t>PB PA</t>
  </si>
  <si>
    <t>PB DP</t>
  </si>
  <si>
    <t>Druktransmitter Zand-water Flensaansluiting</t>
  </si>
  <si>
    <t>Druktransmitter Water 1/2"</t>
  </si>
  <si>
    <t>Druktransmitter Zand-Water 1/2"</t>
  </si>
  <si>
    <t>Druktransmitter water 1/2"</t>
  </si>
  <si>
    <t>Type Vega</t>
  </si>
  <si>
    <t>Vegawave trilvork met kabel</t>
  </si>
  <si>
    <t>Vegawave trilvork met buis</t>
  </si>
  <si>
    <t>Vegabar</t>
  </si>
  <si>
    <t>Vegason 61 compacte meting</t>
  </si>
  <si>
    <t>Protrac (Ohmart)</t>
  </si>
  <si>
    <t>Vegapuls 67 Radarmeting + Bracket</t>
  </si>
  <si>
    <t>FO241</t>
  </si>
  <si>
    <t>PO501</t>
  </si>
  <si>
    <t>Drukmeting pomp WPU501</t>
  </si>
  <si>
    <t>PT501</t>
  </si>
  <si>
    <t>Snelheid pomp WPU501</t>
  </si>
  <si>
    <t>PIC501</t>
  </si>
  <si>
    <t>Drukregeling WPU501</t>
  </si>
  <si>
    <t>TA201</t>
  </si>
  <si>
    <t>Takel boven attritiecellen</t>
  </si>
  <si>
    <t>??</t>
  </si>
  <si>
    <r>
      <t xml:space="preserve">Zift 8mm. </t>
    </r>
    <r>
      <rPr>
        <b/>
        <i/>
        <sz val="10"/>
        <rFont val="Arial"/>
        <family val="2"/>
      </rPr>
      <t>TWEE MOTOREN VAN 6 KW</t>
    </r>
  </si>
  <si>
    <t>DG101</t>
  </si>
  <si>
    <t>DG102</t>
  </si>
  <si>
    <t>DG103</t>
  </si>
  <si>
    <t>BPU101</t>
  </si>
  <si>
    <t>BPU102</t>
  </si>
  <si>
    <t>BPU103</t>
  </si>
  <si>
    <t>BC101</t>
  </si>
  <si>
    <t>VS101</t>
  </si>
  <si>
    <t>PU101</t>
  </si>
  <si>
    <t>WPU101</t>
  </si>
  <si>
    <t>WPU102</t>
  </si>
  <si>
    <t>WPU103</t>
  </si>
  <si>
    <t>WPU201</t>
  </si>
  <si>
    <t>WPU202</t>
  </si>
  <si>
    <t>WPU203</t>
  </si>
  <si>
    <t>WPU204</t>
  </si>
  <si>
    <t>WPU205</t>
  </si>
  <si>
    <t>VS201</t>
  </si>
  <si>
    <t>PU201</t>
  </si>
  <si>
    <t>PU202</t>
  </si>
  <si>
    <t>PU203</t>
  </si>
  <si>
    <t>PU204</t>
  </si>
  <si>
    <t>PU205</t>
  </si>
  <si>
    <t>VS401</t>
  </si>
  <si>
    <t>CN401</t>
  </si>
  <si>
    <t>CN402</t>
  </si>
  <si>
    <t>BL401</t>
  </si>
  <si>
    <t>PU401</t>
  </si>
  <si>
    <t>PU402</t>
  </si>
  <si>
    <t>VS402</t>
  </si>
  <si>
    <t>PU403</t>
  </si>
  <si>
    <t>WPU401</t>
  </si>
  <si>
    <t>FP651</t>
  </si>
  <si>
    <t>WPU601</t>
  </si>
  <si>
    <t>WPU602</t>
  </si>
  <si>
    <t>WPU604</t>
  </si>
  <si>
    <t>WPU605</t>
  </si>
  <si>
    <t>CP051</t>
  </si>
  <si>
    <t>CP052</t>
  </si>
  <si>
    <t>PH</t>
  </si>
  <si>
    <t>PT601</t>
  </si>
  <si>
    <t>PIC601</t>
  </si>
  <si>
    <t>PO601</t>
  </si>
  <si>
    <t>Snelheid WPU601</t>
  </si>
  <si>
    <t>PB</t>
  </si>
  <si>
    <t>Zuiger industriezand</t>
  </si>
  <si>
    <t>Zuiger Bouwzand</t>
  </si>
  <si>
    <t>Zuiger groeve Berg (TWEE?)</t>
  </si>
  <si>
    <t>Boosterpomp 1</t>
  </si>
  <si>
    <t>Boosterpomp 2</t>
  </si>
  <si>
    <t>Boosterpomp 3</t>
  </si>
  <si>
    <t>Aandrijving band voorontwatering</t>
  </si>
  <si>
    <t>WPU651</t>
  </si>
  <si>
    <t>Hoge druk spoelpomp zeefbandpers</t>
  </si>
  <si>
    <t>Aandrijving band zeefbandpers</t>
  </si>
  <si>
    <t>MI651</t>
  </si>
  <si>
    <t>Roerwerk onverdund polymeervat</t>
  </si>
  <si>
    <t>Roerwerk menger slib-verdund polymeer</t>
  </si>
  <si>
    <t>Vijs dosering poeder polymeer</t>
  </si>
  <si>
    <t>ACS350-03E-01A9-4</t>
  </si>
  <si>
    <t>ACS350-03E-05A6-4</t>
  </si>
  <si>
    <t>Price Drive</t>
  </si>
  <si>
    <t>ACS800-01-0016-3</t>
  </si>
  <si>
    <t>ACS800-01-0011-3</t>
  </si>
  <si>
    <t>Klep polymeer van aanmaakvat</t>
  </si>
  <si>
    <t>Klep water op leiding verdund polymeer</t>
  </si>
  <si>
    <t>FT651</t>
  </si>
  <si>
    <t>FT652</t>
  </si>
  <si>
    <t>Debietmeting water op dosering poeder polymeer</t>
  </si>
  <si>
    <t>Debietmeting water op leiding verdund polymeer</t>
  </si>
  <si>
    <t>FO651</t>
  </si>
  <si>
    <t>Regelklep water op dosering poeder polymeer</t>
  </si>
  <si>
    <t>LT651</t>
  </si>
  <si>
    <t>LT652</t>
  </si>
  <si>
    <t>Niveaumeting tank puur polymeer</t>
  </si>
  <si>
    <t>Niveaumeting tank verdund polymeer</t>
  </si>
  <si>
    <t>Transportband onder trechter</t>
  </si>
  <si>
    <t>Jetpomp</t>
  </si>
  <si>
    <t>Middendrukpomp proceswater</t>
  </si>
  <si>
    <t>Zift 0,8mm</t>
  </si>
  <si>
    <t>Zandpomp onder zift</t>
  </si>
  <si>
    <t>Attritiecel</t>
  </si>
  <si>
    <t>Zandpomp onder attritiecellen</t>
  </si>
  <si>
    <t>Conditioner cel</t>
  </si>
  <si>
    <t>Flotatiecel</t>
  </si>
  <si>
    <t>Zandpomp na flotatie</t>
  </si>
  <si>
    <t>Zandpomp naar stockagehopen</t>
  </si>
  <si>
    <t>Glandwater naar boosters</t>
  </si>
  <si>
    <t>PT112</t>
  </si>
  <si>
    <t>PT113</t>
  </si>
  <si>
    <t>PT111</t>
  </si>
  <si>
    <t>Debietmeter Lozingswater</t>
  </si>
  <si>
    <t>FL401</t>
  </si>
  <si>
    <t>FL402</t>
  </si>
  <si>
    <t>FL403</t>
  </si>
  <si>
    <t>FL404</t>
  </si>
  <si>
    <t>LT401</t>
  </si>
  <si>
    <t>LT402</t>
  </si>
  <si>
    <t>Bar</t>
  </si>
  <si>
    <t>Siemens</t>
  </si>
  <si>
    <t>DT401</t>
  </si>
  <si>
    <t>Densiteitsmeting Flotatiecel 401</t>
  </si>
  <si>
    <t>WPU104</t>
  </si>
  <si>
    <t>AT201A</t>
  </si>
  <si>
    <t>AT201B</t>
  </si>
  <si>
    <t>Zwavelzuurpomp naar conditioner flotatie</t>
  </si>
  <si>
    <t>Sodapomp naar attritiecel voor flotatie</t>
  </si>
  <si>
    <t>Sodapomp naar lozingsleiding</t>
  </si>
  <si>
    <t>Sodapomp naar waterbehandeling (overloop decanter naar zuiver proceswater)</t>
  </si>
  <si>
    <t>Zwavelzuurpomp naar waterbehandeling (voeding decanter)</t>
  </si>
  <si>
    <t>Polymeerpomp naar decanter</t>
  </si>
  <si>
    <t>Attritiecel na flotatie</t>
  </si>
  <si>
    <t>WPU206</t>
  </si>
  <si>
    <t>Spoelwaterpomp onder in DS201 en DS202</t>
  </si>
  <si>
    <t>Waterpomp naar decanter</t>
  </si>
  <si>
    <t>Wormpomp slib onder decanter</t>
  </si>
  <si>
    <t>Algemeen totaal geïnstalleerd:</t>
  </si>
  <si>
    <t>Debietmeting zandvoeding L1</t>
  </si>
  <si>
    <t>Debietmeting zandvoeding L2</t>
  </si>
  <si>
    <t>Debietmeting zandvoeding L3</t>
  </si>
  <si>
    <t>Concentratiemeting zandvoeding L1</t>
  </si>
  <si>
    <t>Concentratiemeting zandvoeding L2</t>
  </si>
  <si>
    <t>Concentratiemeting zandvoeding L3</t>
  </si>
  <si>
    <t>BN101</t>
  </si>
  <si>
    <t>BN102</t>
  </si>
  <si>
    <t>BN103</t>
  </si>
  <si>
    <t>LSH101W</t>
  </si>
  <si>
    <t>LSH102W</t>
  </si>
  <si>
    <t>LSH103W</t>
  </si>
  <si>
    <t>Niveaudetectie water in ketel 1</t>
  </si>
  <si>
    <t>Niveaudetectie water in ketel 2</t>
  </si>
  <si>
    <t>Niveaudetectie water in ketel 3</t>
  </si>
  <si>
    <t>Niveaudetectie zand in ketel 1</t>
  </si>
  <si>
    <t>Niveaudetectie zand in ketel 2</t>
  </si>
  <si>
    <t>Niveaudetectie zand in ketel 3</t>
  </si>
  <si>
    <t>Niveaumeting zand in ketel 1</t>
  </si>
  <si>
    <t>Niveaumeting zand in ketel 3</t>
  </si>
  <si>
    <t>Niveaumeting zand in ketel 2</t>
  </si>
  <si>
    <t>Sick-Maihak</t>
  </si>
  <si>
    <t>Klep water naar Ketel 1</t>
  </si>
  <si>
    <t>Klep water naar Ketel 3</t>
  </si>
  <si>
    <t>Klep water naar Ketel 2</t>
  </si>
  <si>
    <t>FO102</t>
  </si>
  <si>
    <t>LT305</t>
  </si>
  <si>
    <t>Regelklep voedingsdebiet Ketel 1 L1</t>
  </si>
  <si>
    <t>Regelklep voedingsdebiet Ketel 1 L2</t>
  </si>
  <si>
    <t>Regelklep voedingsdebiet Ketel 2 L1</t>
  </si>
  <si>
    <t>Regelklep voedingsdebiet Ketel 2 L2</t>
  </si>
  <si>
    <t>Regelklep densiteit voeding Ketel 2 L1-L3</t>
  </si>
  <si>
    <t>Regelklep voedingsdebiet Ketel 3 L1</t>
  </si>
  <si>
    <t>Regelklep voedingsdebiet Ketel 3 L2</t>
  </si>
  <si>
    <t>AT201</t>
  </si>
  <si>
    <t>Stroommeting AT201B</t>
  </si>
  <si>
    <t>IT201</t>
  </si>
  <si>
    <t>IO201</t>
  </si>
  <si>
    <t>Regelklep densiteit attritiecel</t>
  </si>
  <si>
    <t>IIC201</t>
  </si>
  <si>
    <t>Regeling densiteit attritiecel</t>
  </si>
  <si>
    <t>DS201</t>
  </si>
  <si>
    <t>DS202</t>
  </si>
  <si>
    <t>DT201</t>
  </si>
  <si>
    <t>Densiteitsmeting in DS201</t>
  </si>
  <si>
    <t>DT202</t>
  </si>
  <si>
    <t>Densiteitsmeting in DS202</t>
  </si>
  <si>
    <t>Klasseerwaterpomp DS201</t>
  </si>
  <si>
    <t>Valve 1 uitlaat DS202</t>
  </si>
  <si>
    <t>Valve 2 uitlaat DS202</t>
  </si>
  <si>
    <t>FT201</t>
  </si>
  <si>
    <t>FT202</t>
  </si>
  <si>
    <t>Valve 3 uitlaat DS202</t>
  </si>
  <si>
    <t>Valve 4 uitlaat DS202</t>
  </si>
  <si>
    <t>Regeling densiteit DS201</t>
  </si>
  <si>
    <t>Regeling densiteit DS202</t>
  </si>
  <si>
    <t>Snelheid WPU205</t>
  </si>
  <si>
    <t xml:space="preserve">Klep zand naar toren 5 </t>
  </si>
  <si>
    <t>Klep zand naar toren 4</t>
  </si>
  <si>
    <t>Klep zand naar toren 3</t>
  </si>
  <si>
    <t>Klep zand naar toren 2</t>
  </si>
  <si>
    <t>Klep zand naar toren 1</t>
  </si>
  <si>
    <t>Klep zand van PU403 naar stockage</t>
  </si>
  <si>
    <t>Klep zand van PU204 naar stockage</t>
  </si>
  <si>
    <t>Klep zand van PU204 naar flotatie</t>
  </si>
  <si>
    <t>BL400</t>
  </si>
  <si>
    <t>Regeling niveau FL401</t>
  </si>
  <si>
    <t>Regeling niveau FL404</t>
  </si>
  <si>
    <t>Regeling niveau FL402</t>
  </si>
  <si>
    <t>Klep onder CN401</t>
  </si>
  <si>
    <t>Klep onder CN402</t>
  </si>
  <si>
    <t>Zandpomp onder DS201</t>
  </si>
  <si>
    <t>Zandpomp onder DS202</t>
  </si>
  <si>
    <t>SC651</t>
  </si>
  <si>
    <t>WPU606B</t>
  </si>
  <si>
    <t>Regeling lozing spui</t>
  </si>
  <si>
    <t>Drukregeling LD-water</t>
  </si>
  <si>
    <t>Zandpomp van vultrechter naar ketels</t>
  </si>
  <si>
    <t>TB101</t>
  </si>
  <si>
    <t>Triller vultrechter</t>
  </si>
  <si>
    <t>Glandpomp van BPU101</t>
  </si>
  <si>
    <t>Glandpomp van BPU103</t>
  </si>
  <si>
    <t>Glandpomp van BPU102</t>
  </si>
  <si>
    <t>Spoelklep K1 L1 van ketel</t>
  </si>
  <si>
    <t>Spoelklep K1 L1 naar zift</t>
  </si>
  <si>
    <t>Spoelklep K1 L3 naar zift</t>
  </si>
  <si>
    <t>Spoelklep K2 L2 van ketel</t>
  </si>
  <si>
    <t>Spoelklep K2 L1 naar zift</t>
  </si>
  <si>
    <t>Spoelklep K2 L2 naar zift</t>
  </si>
  <si>
    <t>Spoelklep K2 L3 naar zift</t>
  </si>
  <si>
    <t>Spoelklep K3 L1 van ketel</t>
  </si>
  <si>
    <t>Spoelklep K3 L2 van ketel</t>
  </si>
  <si>
    <t>Spoelklep K3 L1 naar zift</t>
  </si>
  <si>
    <t>Spoelklep K3 L2 naar zift</t>
  </si>
  <si>
    <t>Spoelklep K3 L3 naar zift</t>
  </si>
  <si>
    <t>DO231</t>
  </si>
  <si>
    <t>FO211</t>
  </si>
  <si>
    <t>FO213</t>
  </si>
  <si>
    <t>FO221</t>
  </si>
  <si>
    <t>FO222</t>
  </si>
  <si>
    <t>FO223</t>
  </si>
  <si>
    <t>FO231</t>
  </si>
  <si>
    <t>FO232</t>
  </si>
  <si>
    <t>FO233</t>
  </si>
  <si>
    <t>FO212</t>
  </si>
  <si>
    <t>Tracerco</t>
  </si>
  <si>
    <t>DT203</t>
  </si>
  <si>
    <t>FT203</t>
  </si>
  <si>
    <t>DT211</t>
  </si>
  <si>
    <t>DIC211</t>
  </si>
  <si>
    <t>FT211</t>
  </si>
  <si>
    <t>FIC211</t>
  </si>
  <si>
    <t>DT221</t>
  </si>
  <si>
    <t>DO224</t>
  </si>
  <si>
    <t>DIC221</t>
  </si>
  <si>
    <t>FT221</t>
  </si>
  <si>
    <t>FIC221</t>
  </si>
  <si>
    <t>MI101</t>
  </si>
  <si>
    <r>
      <t xml:space="preserve">Ontwateringszift voor flotatie. </t>
    </r>
    <r>
      <rPr>
        <b/>
        <sz val="10"/>
        <rFont val="Arial"/>
        <family val="2"/>
      </rPr>
      <t>TWEE MOTOREN VAN 7,6KW. + FRENOSTAT vr snel remmen !!!!</t>
    </r>
  </si>
  <si>
    <r>
      <t xml:space="preserve">Ontwateringszift na flotatie: </t>
    </r>
    <r>
      <rPr>
        <b/>
        <sz val="10"/>
        <rFont val="Arial"/>
        <family val="2"/>
      </rPr>
      <t>TWEE MOTOREN VAN 7,6KW. + FRENOSTAT vr snel remmen !!!!</t>
    </r>
  </si>
  <si>
    <t>Waterpomp Flotatie water bassin</t>
  </si>
  <si>
    <t>PT206</t>
  </si>
  <si>
    <t>Debiet</t>
  </si>
  <si>
    <t>pH</t>
  </si>
  <si>
    <t>MI401</t>
  </si>
  <si>
    <t>Klep water naar MI401 en SU403</t>
  </si>
  <si>
    <t>Klep water op MI401 (boven)</t>
  </si>
  <si>
    <t>Klep water op MI401 (onder)</t>
  </si>
  <si>
    <t>Dompelpomp goot klassering</t>
  </si>
  <si>
    <t>Zandpomp overloop DS202.</t>
  </si>
  <si>
    <t>Type Endress</t>
  </si>
  <si>
    <t>Prijs Endress</t>
  </si>
  <si>
    <t>Endress</t>
  </si>
  <si>
    <t>Silopilot T FMM20</t>
  </si>
  <si>
    <t>Flowphant T DTT31</t>
  </si>
  <si>
    <t>Cerabar M PMC45</t>
  </si>
  <si>
    <t>Ceraphant T PTC31</t>
  </si>
  <si>
    <t>Soliphant M FTM51</t>
  </si>
  <si>
    <t>Prosonic FMU40</t>
  </si>
  <si>
    <t>Promag 50H DN04 PFA</t>
  </si>
  <si>
    <t>Debietmeting klasseerwater DS201</t>
  </si>
  <si>
    <t>Debietmeting klasseerwater DS202</t>
  </si>
  <si>
    <t>Gammapilot M FMG60 + FHX40 + montageset</t>
  </si>
  <si>
    <t>Promag 55S DN100 4"</t>
  </si>
  <si>
    <t>Promag 55S DN150 6"</t>
  </si>
  <si>
    <t>Liquiline M CM42 + Meetkabel CYK10 + Tophit CPS471D+Beschermkap+Dipfit dompelarmatuur</t>
  </si>
  <si>
    <t>Promag 50H DN02 PFA</t>
  </si>
  <si>
    <t>Prosonic S FDU93 + Richteenheid FAU40 + Omvormer FMU90+Zonnekap</t>
  </si>
  <si>
    <t>Promag 55S DN250 10"</t>
  </si>
  <si>
    <t>Promag 50H DN08 PFA</t>
  </si>
  <si>
    <t>Promag 55W DN200 8"</t>
  </si>
  <si>
    <t>WPU501</t>
  </si>
  <si>
    <t>LT411</t>
  </si>
  <si>
    <t>Niveaumeting waterbekken flotatie</t>
  </si>
  <si>
    <t>Ultrasone niveaumeting</t>
  </si>
  <si>
    <t>LT601</t>
  </si>
  <si>
    <t>LT502</t>
  </si>
  <si>
    <t>LT503</t>
  </si>
  <si>
    <t>LT504</t>
  </si>
  <si>
    <t>LT505</t>
  </si>
  <si>
    <t>Peilmeting mech</t>
  </si>
  <si>
    <t>Debietdetectie water</t>
  </si>
  <si>
    <t>Detectie water of zand in lokaal</t>
  </si>
  <si>
    <t>Hoogniveau op MI101 boven zift</t>
  </si>
  <si>
    <t>Detectie zand</t>
  </si>
  <si>
    <t>PH-meting in bak</t>
  </si>
  <si>
    <t>PH-meting inline</t>
  </si>
  <si>
    <t>Niveaumeting vijver vuil proceswater</t>
  </si>
  <si>
    <t>LT602</t>
  </si>
  <si>
    <t>Niveaumeting vijver zuiver proceswater</t>
  </si>
  <si>
    <t>Pomp retour cyclonen stockagehopen</t>
  </si>
  <si>
    <t>LT501</t>
  </si>
  <si>
    <t>FT501</t>
  </si>
  <si>
    <t>Debietmeting zand naar stockagehopen</t>
  </si>
  <si>
    <t>10³/u</t>
  </si>
  <si>
    <t>Pomp overloop flotatieschuim</t>
  </si>
  <si>
    <t>Klep fluïdisatie flotatiebak FL401</t>
  </si>
  <si>
    <t>Klep fluïdisatie flotatiebak FL402</t>
  </si>
  <si>
    <t>Klep fluïdisatie flotatiebak FL403</t>
  </si>
  <si>
    <t>Klep fluïdisatie flotatiebak FL404</t>
  </si>
  <si>
    <t>Regelklep bijregeling niveau FL402</t>
  </si>
  <si>
    <t>Regelklep bijregeling niveau FL404</t>
  </si>
  <si>
    <t>DO401</t>
  </si>
  <si>
    <t>DIC401</t>
  </si>
  <si>
    <t>Densiteitsregeling floatiecel 401</t>
  </si>
  <si>
    <t>Waterpomp Proceswater Lage druk. Te sturen op PT601</t>
  </si>
  <si>
    <t>Waterpomp zuiver LD-water. Te sturen op PT604.</t>
  </si>
  <si>
    <t>PIC604</t>
  </si>
  <si>
    <t>PO604</t>
  </si>
  <si>
    <t>PT604</t>
  </si>
  <si>
    <t>Waterpomp lozing naar baggervijver</t>
  </si>
  <si>
    <t>FT606</t>
  </si>
  <si>
    <t>PHIC606</t>
  </si>
  <si>
    <t>PHT606</t>
  </si>
  <si>
    <t>WPU606A</t>
  </si>
  <si>
    <t>PU206</t>
  </si>
  <si>
    <t>PU404</t>
  </si>
  <si>
    <t>TH601</t>
  </si>
  <si>
    <t>Rakel decanter</t>
  </si>
  <si>
    <t>FT605</t>
  </si>
  <si>
    <t>FT607</t>
  </si>
  <si>
    <t>FT603</t>
  </si>
  <si>
    <t>Lier Cycloontoren 1</t>
  </si>
  <si>
    <t>Lier Cycloontoren 2</t>
  </si>
  <si>
    <t>Lier Cycloontoren 3</t>
  </si>
  <si>
    <t>Lier Cycloontoren 4</t>
  </si>
  <si>
    <t>Lier Cycloontoren 5</t>
  </si>
  <si>
    <t>Master engineering</t>
  </si>
  <si>
    <t>Emerson</t>
  </si>
  <si>
    <t>Nauwkeurige TI</t>
  </si>
  <si>
    <t>Sturing zwavelzuurpomp</t>
  </si>
  <si>
    <t>MTW501</t>
  </si>
  <si>
    <t>MTW502</t>
  </si>
  <si>
    <t>MTW503</t>
  </si>
  <si>
    <t>MTW504</t>
  </si>
  <si>
    <t>CPU601</t>
  </si>
  <si>
    <t>Sodapomp circulatie</t>
  </si>
  <si>
    <t>CPU651</t>
  </si>
  <si>
    <t>CT302</t>
  </si>
  <si>
    <t>CT303</t>
  </si>
  <si>
    <t>CPU303a</t>
  </si>
  <si>
    <t>CPU303b</t>
  </si>
  <si>
    <t>Sturing debiet CPU303b</t>
  </si>
  <si>
    <t>Debietmeting CPU303b Soda naar wastank na flotatie</t>
  </si>
  <si>
    <t>Debietregeling CPU303b</t>
  </si>
  <si>
    <t>Debietregeling CPU303a</t>
  </si>
  <si>
    <t>Sturing debiet CPU303a</t>
  </si>
  <si>
    <t>Debietmeting CPU303a soda naar attritie flotatie. Totalisator.</t>
  </si>
  <si>
    <t>CPU303c</t>
  </si>
  <si>
    <t>Debietregeling CPU303c</t>
  </si>
  <si>
    <t>Sturing debiet CPU303c</t>
  </si>
  <si>
    <t>CPU303d</t>
  </si>
  <si>
    <t>Debietregeling CPU303d</t>
  </si>
  <si>
    <t>Sturing debiet CPU303d</t>
  </si>
  <si>
    <t>CPU305</t>
  </si>
  <si>
    <t>Debietregeling CPU305</t>
  </si>
  <si>
    <t>Sturing debiet CPU305</t>
  </si>
  <si>
    <t>CPU304a</t>
  </si>
  <si>
    <t>Debietregeling CPU304a</t>
  </si>
  <si>
    <t>Debietmeting CPU304a zwavelzuurpomp naar waterbehandeling (voeding decanter)</t>
  </si>
  <si>
    <t>Sturing debiet CPU304a</t>
  </si>
  <si>
    <t>CPU304b</t>
  </si>
  <si>
    <t>CPU301a</t>
  </si>
  <si>
    <t>CPU301b</t>
  </si>
  <si>
    <t>CT601</t>
  </si>
  <si>
    <t>CT305</t>
  </si>
  <si>
    <t>CT304</t>
  </si>
  <si>
    <t>CPU302</t>
  </si>
  <si>
    <t>Debietregeling CPU304b</t>
  </si>
  <si>
    <t>Sturing debiet CPU304b</t>
  </si>
  <si>
    <t>Debietmeting CPU304b zwavelzuur conditioner flotatie</t>
  </si>
  <si>
    <t>MI601b</t>
  </si>
  <si>
    <t>MI601a</t>
  </si>
  <si>
    <t>TT601</t>
  </si>
  <si>
    <t>TO601</t>
  </si>
  <si>
    <t>TIC601</t>
  </si>
  <si>
    <t>Temperatuur water polymeer</t>
  </si>
  <si>
    <t>Sitrans F M Magflo 5100W DN25</t>
  </si>
  <si>
    <t>Driewegklep regeling water polymeer</t>
  </si>
  <si>
    <t>Temperatuurregeling water polymeer</t>
  </si>
  <si>
    <t>Temp</t>
  </si>
  <si>
    <t>FT602</t>
  </si>
  <si>
    <t>Debietmeting water naar polymeer</t>
  </si>
  <si>
    <t>FO602</t>
  </si>
  <si>
    <t>FIC602</t>
  </si>
  <si>
    <t>Sturing debiet water naar polymeer</t>
  </si>
  <si>
    <t>Regeling debiet water naar polymeer</t>
  </si>
  <si>
    <t>CT401</t>
  </si>
  <si>
    <t>FT231</t>
  </si>
  <si>
    <t>FT401</t>
  </si>
  <si>
    <t>Sodapomp naar wastank na flotatie</t>
  </si>
  <si>
    <t>FT402</t>
  </si>
  <si>
    <t>FO402</t>
  </si>
  <si>
    <t>FO403</t>
  </si>
  <si>
    <t>FT403</t>
  </si>
  <si>
    <t>FIC603</t>
  </si>
  <si>
    <t>FIC605</t>
  </si>
  <si>
    <t>FO606</t>
  </si>
  <si>
    <t>FIC606</t>
  </si>
  <si>
    <t>PHIC402</t>
  </si>
  <si>
    <t>PHT402</t>
  </si>
  <si>
    <t>LT205</t>
  </si>
  <si>
    <t>LIC411</t>
  </si>
  <si>
    <t>LIC412</t>
  </si>
  <si>
    <t>LT412</t>
  </si>
  <si>
    <t>LIC414</t>
  </si>
  <si>
    <t>LT414</t>
  </si>
  <si>
    <t>LT403</t>
  </si>
  <si>
    <t>FO101</t>
  </si>
  <si>
    <t>OUTO</t>
  </si>
  <si>
    <t>LT203</t>
  </si>
  <si>
    <t>LT204</t>
  </si>
  <si>
    <t>FO411</t>
  </si>
  <si>
    <t>Regelklep fluïdisatielucht FL401</t>
  </si>
  <si>
    <t>FT411</t>
  </si>
  <si>
    <t>FIC411</t>
  </si>
  <si>
    <t>Debietregeling Lucht FL401</t>
  </si>
  <si>
    <t>Debietmeting Lucht FL401</t>
  </si>
  <si>
    <t>FT412</t>
  </si>
  <si>
    <t>FO412</t>
  </si>
  <si>
    <t>FIC412</t>
  </si>
  <si>
    <t>Debietmeting Lucht FL402</t>
  </si>
  <si>
    <t>Regelklep fluïdisatielucht FL402</t>
  </si>
  <si>
    <t>Debietregeling Lucht FL402</t>
  </si>
  <si>
    <t>FT413</t>
  </si>
  <si>
    <t>FO413</t>
  </si>
  <si>
    <t>FIC413</t>
  </si>
  <si>
    <t>Debietregeling Lucht FL403</t>
  </si>
  <si>
    <t>Regelklep fluïdisatielucht FL403</t>
  </si>
  <si>
    <t>Debietmeting Lucht FL403</t>
  </si>
  <si>
    <t>FT414</t>
  </si>
  <si>
    <t>FO414</t>
  </si>
  <si>
    <t>FIC414</t>
  </si>
  <si>
    <t>Debietmeting Lucht FL404</t>
  </si>
  <si>
    <t>Regelklep fluïdisatielucht FL404</t>
  </si>
  <si>
    <t>Debietregeling Lucht FL404</t>
  </si>
  <si>
    <t>BT401</t>
  </si>
  <si>
    <t>Frothmaster Outotec</t>
  </si>
  <si>
    <t>OPC</t>
  </si>
  <si>
    <t>Klep bijregeling niveau Flotatiecel 401</t>
  </si>
  <si>
    <t>SVA401</t>
  </si>
  <si>
    <t>SVA404</t>
  </si>
  <si>
    <t>SVA402</t>
  </si>
  <si>
    <t>SVA101</t>
  </si>
  <si>
    <t>SVA104</t>
  </si>
  <si>
    <t>SVA102</t>
  </si>
  <si>
    <t>SVA103</t>
  </si>
  <si>
    <t>SVA241</t>
  </si>
  <si>
    <t>SVA242</t>
  </si>
  <si>
    <t>SVA251</t>
  </si>
  <si>
    <t>SVA252</t>
  </si>
  <si>
    <t>SVA406</t>
  </si>
  <si>
    <t>SVA405</t>
  </si>
  <si>
    <t>Niveaumeting SU501 bekken retourwater cycloontorens. Stuurt SVA507 om SU501 vol te houden.</t>
  </si>
  <si>
    <t>SVA501</t>
  </si>
  <si>
    <t>SVA502</t>
  </si>
  <si>
    <t>SVA503</t>
  </si>
  <si>
    <t>SVA504</t>
  </si>
  <si>
    <t>SVA505</t>
  </si>
  <si>
    <t>Klep regeling densiteit FL401</t>
  </si>
  <si>
    <t>Klep water naar CN401</t>
  </si>
  <si>
    <t>SVA422</t>
  </si>
  <si>
    <t>Klep water spoeling goten flotatiebakken</t>
  </si>
  <si>
    <t>SVA421</t>
  </si>
  <si>
    <t>Buhler staalnametoestel</t>
  </si>
  <si>
    <t>TA401</t>
  </si>
  <si>
    <t>Takel boven flotatie</t>
  </si>
  <si>
    <t>Takel</t>
  </si>
  <si>
    <t>Aviteq</t>
  </si>
  <si>
    <t>LSHz101a</t>
  </si>
  <si>
    <t>LSHz101b</t>
  </si>
  <si>
    <t>LSHz102a</t>
  </si>
  <si>
    <t>LSHz102b</t>
  </si>
  <si>
    <t>LSHz103a</t>
  </si>
  <si>
    <t>LSHz103b</t>
  </si>
  <si>
    <t>Detectie zandniveau in water 4 m</t>
  </si>
  <si>
    <t>Detectie zandniveau in water 3,5 m</t>
  </si>
  <si>
    <t>Detectie zandniveau in water 3 m</t>
  </si>
  <si>
    <t>Detectie zandniveau in water 2,5 m</t>
  </si>
  <si>
    <t>FT611</t>
  </si>
  <si>
    <t>SVA431</t>
  </si>
  <si>
    <t>SVA432</t>
  </si>
  <si>
    <t>SVA433</t>
  </si>
  <si>
    <t>SVA511</t>
  </si>
  <si>
    <t>SVA441</t>
  </si>
  <si>
    <t>Klep water naar bekken flotatie</t>
  </si>
  <si>
    <t>SU501</t>
  </si>
  <si>
    <t>SVA521</t>
  </si>
  <si>
    <t>Klep water naar SU501</t>
  </si>
  <si>
    <t>Klep water op DS201</t>
  </si>
  <si>
    <t>SVA261</t>
  </si>
  <si>
    <t>Twee motors: Aviteq</t>
  </si>
  <si>
    <t>Ultrasone niveaumeting (RADAR ?)</t>
  </si>
  <si>
    <t>Ultrasone niveaumeting NaOH 25-50% (RADAR?)</t>
  </si>
  <si>
    <t>Ultrasone niveaumeting NaOH 25% (RADAR?)</t>
  </si>
  <si>
    <t>PHT601</t>
  </si>
  <si>
    <t>PHT602</t>
  </si>
  <si>
    <t>PHIC601</t>
  </si>
  <si>
    <t>PHIC602</t>
  </si>
  <si>
    <t>Ph-regeling FeCl3 voor decanter</t>
  </si>
  <si>
    <t>Ph-regeling zwavelzuur voor decanter</t>
  </si>
  <si>
    <t>PHO604</t>
  </si>
  <si>
    <t>PHO603</t>
  </si>
  <si>
    <t xml:space="preserve">PH-meting </t>
  </si>
  <si>
    <t>PH-meting</t>
  </si>
  <si>
    <t>PH-meting zwavelzuur voor decanter TRANSMITTER A</t>
  </si>
  <si>
    <t>PH-meting FeCl3 voor decanter TRANSMITTER A</t>
  </si>
  <si>
    <t>PH-meting conditioner CN401 TRANSMITTER B</t>
  </si>
  <si>
    <t>PH-meting in SU403 TRANSMITTER C</t>
  </si>
  <si>
    <t>Troebelheidsmeting naar filterbandpers TRANSMITTER D</t>
  </si>
  <si>
    <t>Troebelheidsmeting overloop decanter TRANSMITTER E</t>
  </si>
  <si>
    <t>PH-meting lozing overloop decanter TRANSMITTER F</t>
  </si>
  <si>
    <t>PH Lozingswater TRANSMITTER F</t>
  </si>
  <si>
    <t>Booster 3</t>
  </si>
  <si>
    <t>PHT607</t>
  </si>
  <si>
    <t>PH Lozingswater aan Booster 3. Voorlopig niet in schema voorzien. Wel in offerte ABB</t>
  </si>
  <si>
    <t>Niveaumeting sizer DS202. DS202 moet vol zijn vooraleer PU205 mag starten.</t>
  </si>
  <si>
    <t>EK502A</t>
  </si>
  <si>
    <t>EK502B</t>
  </si>
  <si>
    <t>EK502C</t>
  </si>
  <si>
    <t>EK501A</t>
  </si>
  <si>
    <t>EK501B</t>
  </si>
  <si>
    <t>EK501C</t>
  </si>
  <si>
    <t>EK503A</t>
  </si>
  <si>
    <t>EK503B</t>
  </si>
  <si>
    <t>EK503C</t>
  </si>
  <si>
    <t>EK504A</t>
  </si>
  <si>
    <t>EK504B</t>
  </si>
  <si>
    <t>EK504C</t>
  </si>
  <si>
    <t>EK505C</t>
  </si>
  <si>
    <t>EK505A</t>
  </si>
  <si>
    <t>EK505B</t>
  </si>
  <si>
    <t>Eindcontact</t>
  </si>
  <si>
    <t>PU102</t>
  </si>
  <si>
    <t>Dompelpomp goot zeefgebouw</t>
  </si>
  <si>
    <t>Dompelpomp goot onder flotatie</t>
  </si>
  <si>
    <t>MTW505</t>
  </si>
  <si>
    <t>DOL L-R</t>
  </si>
  <si>
    <t>Druk voor glandpomp WPU101</t>
  </si>
  <si>
    <t>Druk voor glandpomp WPU102</t>
  </si>
  <si>
    <t>Druk voor glandpomp WPU103</t>
  </si>
  <si>
    <t>Persdruk na zandpomp BPU101</t>
  </si>
  <si>
    <t>Persdruk na zandpomp BPU103</t>
  </si>
  <si>
    <t>Persdruk na zandpomp BPU102</t>
  </si>
  <si>
    <t>Niveaudetectie in lokaal BPU101</t>
  </si>
  <si>
    <t>Niveaudetectie in lokaal BPU102</t>
  </si>
  <si>
    <t>Niveaudetectie in lokaal BPU103</t>
  </si>
  <si>
    <t>Sturing sodapomp attritiecel na flotatie</t>
  </si>
  <si>
    <t>Sturing debietmeting FeCl3</t>
  </si>
  <si>
    <t>Sturing zwavelzuurpomp naar waterbehandeling</t>
  </si>
  <si>
    <t>Sturing sodapomp naar waterbehandeling overloop decanter</t>
  </si>
  <si>
    <t>Weg</t>
  </si>
  <si>
    <t>Drive ABB</t>
  </si>
  <si>
    <t>Outotec</t>
  </si>
  <si>
    <t>Sturing snelheid PU403</t>
  </si>
  <si>
    <t>Sturing snelheid WPU604</t>
  </si>
  <si>
    <t>Software</t>
  </si>
  <si>
    <t>FT604</t>
  </si>
  <si>
    <t>FO605</t>
  </si>
  <si>
    <t>PHT401</t>
  </si>
  <si>
    <t>TAG</t>
  </si>
  <si>
    <t>Description</t>
  </si>
  <si>
    <t>Type</t>
  </si>
  <si>
    <t>Unit</t>
  </si>
  <si>
    <t>FP652</t>
  </si>
  <si>
    <t>MI653</t>
  </si>
  <si>
    <t>Motor</t>
  </si>
  <si>
    <t>Drive</t>
  </si>
  <si>
    <t>Rpm</t>
  </si>
  <si>
    <t>DI</t>
  </si>
  <si>
    <t>DO</t>
  </si>
  <si>
    <t>AI</t>
  </si>
  <si>
    <t>Sec</t>
  </si>
  <si>
    <t>LT511</t>
  </si>
  <si>
    <t>SVA302</t>
  </si>
  <si>
    <t>CT301</t>
  </si>
  <si>
    <t>LT603</t>
  </si>
  <si>
    <t>LT604</t>
  </si>
  <si>
    <t>Niveaumeting puur polymeer</t>
  </si>
  <si>
    <t>Niveaumeting verdund polymeer</t>
  </si>
  <si>
    <t>Roerwerk verdund polymeer</t>
  </si>
  <si>
    <t>Pomp puur polymeer</t>
  </si>
  <si>
    <t>Klep puur polymeer naar verdunningstank</t>
  </si>
  <si>
    <t>Klep water naar verdunningstank</t>
  </si>
  <si>
    <t>FSL601</t>
  </si>
  <si>
    <t>Ventielkast Martonair</t>
  </si>
  <si>
    <t>Type ABB</t>
  </si>
  <si>
    <t>Prijs ABB</t>
  </si>
  <si>
    <t>261GS</t>
  </si>
  <si>
    <t>261GC</t>
  </si>
  <si>
    <t>AX400+AP20</t>
  </si>
  <si>
    <t>FEP311 DN6</t>
  </si>
  <si>
    <t>FEP311 DN100 ETFE</t>
  </si>
  <si>
    <t>FEP311 DN150 ETFE</t>
  </si>
  <si>
    <t>FEP311 DN3</t>
  </si>
  <si>
    <t>FEP311 DN4</t>
  </si>
  <si>
    <t>FEP311 DN200</t>
  </si>
  <si>
    <t>FMS400</t>
  </si>
  <si>
    <t>Detectie</t>
  </si>
  <si>
    <t>Druk</t>
  </si>
  <si>
    <t xml:space="preserve">Instr type </t>
  </si>
  <si>
    <t>Massflow meter Sierra (scope Outotec)</t>
  </si>
  <si>
    <t>Prijs Vega</t>
  </si>
  <si>
    <t>Levering Outotec</t>
  </si>
  <si>
    <t>Klep hoofdregeling niveau Flotatiecel 401</t>
  </si>
  <si>
    <t>Regelklep hoofdregeling niveau FL402</t>
  </si>
  <si>
    <t>Regelklep hoofdregeling niveau FL404</t>
  </si>
  <si>
    <t>Larox met Sipart S2 (scope Outotec)</t>
  </si>
  <si>
    <t>Sitrans LU met detectieplaat (Scope Outotec)</t>
  </si>
  <si>
    <t>LSH101</t>
  </si>
  <si>
    <t>LSH102</t>
  </si>
  <si>
    <t>LSH103</t>
  </si>
  <si>
    <t>LSH104</t>
  </si>
  <si>
    <t>LT101</t>
  </si>
  <si>
    <t>LT102</t>
  </si>
  <si>
    <t>LT103</t>
  </si>
  <si>
    <t>LT104</t>
  </si>
  <si>
    <t>IFM</t>
  </si>
  <si>
    <t>Vega</t>
  </si>
  <si>
    <t>Valve</t>
  </si>
  <si>
    <t>DOL</t>
  </si>
  <si>
    <t>AO</t>
  </si>
  <si>
    <t>WT201</t>
  </si>
  <si>
    <t>Ramsey</t>
  </si>
  <si>
    <t>Regelklep overloop K2 naar MI101. Regelt: 0% bij nie+E43t draaien. Pos 1 bij draaien zuiger. Pos 2 bij draaien via band.</t>
  </si>
  <si>
    <t>Spoelklep K1 L2 L3 van ketel</t>
  </si>
  <si>
    <t>Parent ObjectType</t>
  </si>
  <si>
    <t>Regelklep densiteit voeding Ketel 1 L1</t>
  </si>
  <si>
    <t>Lijn</t>
  </si>
  <si>
    <t>O</t>
  </si>
  <si>
    <t>Booster</t>
  </si>
  <si>
    <t>Ketel_Uit</t>
  </si>
  <si>
    <t>Ketel_in</t>
  </si>
  <si>
    <t>Ketel_In</t>
  </si>
  <si>
    <t>IN Programma</t>
  </si>
  <si>
    <t>MVA</t>
  </si>
  <si>
    <t>SVA236</t>
  </si>
  <si>
    <t>Elektromagnetische debietmeter NaOH 25% 150 l/u</t>
  </si>
  <si>
    <t>Debietmeting water naar soda tank</t>
  </si>
  <si>
    <t>Elektromagnetische debietmeting Water</t>
  </si>
  <si>
    <t>Niveaumeting sodaketel 25% TAG nr. gewijzigd van LT612 nr. LT303.</t>
  </si>
  <si>
    <t>Niveau</t>
  </si>
  <si>
    <t>Elektromagnetische debietmeter NaOH 25% 25 l/u</t>
  </si>
  <si>
    <t>Analyzer 1056 en XMT sensor</t>
  </si>
  <si>
    <t>Elektromagnetische debietmeter NaOH 25% 12 l/u</t>
  </si>
  <si>
    <t>Elektromagnetische debietmeter H2SO4 40%</t>
  </si>
  <si>
    <t>Elektromagnetische debietmeter H2SO4 40% 16,4 l/u</t>
  </si>
  <si>
    <t>IJzerchloride pomp naar waterbehandeling (voeding decanter)</t>
  </si>
  <si>
    <t>Elektromagnetische debietmeter FeCl3 40% 238l/u 1,425kg/dm³.</t>
  </si>
  <si>
    <t>Ultrasoon meting FeCl3  (RADAR?)</t>
  </si>
  <si>
    <t>Worm pomp voor collector naar conditioner flotatie</t>
  </si>
  <si>
    <t>Sturing worm pomp flotatiemiddel</t>
  </si>
  <si>
    <t>Elektromagnetische debietmeter Flotatiemiddel 59l/u</t>
  </si>
  <si>
    <t>Elektro pneumatische positioner PB PA Dubbelwerkend</t>
  </si>
  <si>
    <t>TZIDC (zonder toebehoren incl. Profibus PA)</t>
  </si>
  <si>
    <t>Elektro pneumatische positioner PB PA Enkelwerkend</t>
  </si>
  <si>
    <t>Elektromagnetische debietmeter water DN200</t>
  </si>
  <si>
    <t>Water op soda tank</t>
  </si>
  <si>
    <t>Polymeerpomp naar filterpers + Installatie</t>
  </si>
  <si>
    <t>Elektromagnetische naderingsschakelaar</t>
  </si>
  <si>
    <t>Druktransmitter vgl. met Heerlen</t>
  </si>
  <si>
    <t>Elektromagnetische debietmeter water-zand DN100  Leiding DE 110 SDR 17. Debiet max 110 m³/u</t>
  </si>
  <si>
    <t>Elektromagnetische debietmeter water-zand DN150 Leiding DE 160 SDR 17. Debiet max 248 m³/u</t>
  </si>
  <si>
    <t>Moet altijd draaien wanneer sizer in productie. Spoeling boven uitlaat. Schakelen op Limits PT202.</t>
  </si>
  <si>
    <t>Elektromagnetische debietmeter water-zand DN200 Debiet: 330 m³/u</t>
  </si>
  <si>
    <t>OPEN KANAAL ? Elektromagnetische debietmeter Leiding DE200 max toegelaten debiet 100 m³/u (milieu)</t>
  </si>
  <si>
    <t>Laagniveau detectie op band</t>
  </si>
  <si>
    <t>Regelklep voedingsdebiet Ketel 1 L3</t>
  </si>
  <si>
    <t>Regelklep voedingsdebiet Ketel 2 L3</t>
  </si>
  <si>
    <t>Regelklep voedingsdebiet Ketel 3 L3</t>
  </si>
  <si>
    <t>Niveaumeting sodaketel levering. Tag gewijzigd van LT301 nr. LT302</t>
  </si>
  <si>
    <t>Elektromagnetische debietmeter NaOH 25% 138 l/u nominaal</t>
  </si>
  <si>
    <t>SVA651</t>
  </si>
  <si>
    <t>SVA652</t>
  </si>
  <si>
    <t>Backup</t>
  </si>
  <si>
    <t>PB Nr</t>
  </si>
  <si>
    <t>FS</t>
  </si>
  <si>
    <t>PB type</t>
  </si>
  <si>
    <t>klep</t>
  </si>
  <si>
    <t>PAC3200</t>
  </si>
  <si>
    <t>meting</t>
  </si>
  <si>
    <t>SS</t>
  </si>
  <si>
    <t>SIMOCODE</t>
  </si>
  <si>
    <t>tesys</t>
  </si>
  <si>
    <t>VS101A</t>
  </si>
  <si>
    <t>VS101B</t>
  </si>
  <si>
    <t>regeling</t>
  </si>
  <si>
    <t>BU2</t>
  </si>
  <si>
    <t>TESYS</t>
  </si>
  <si>
    <t>VS201A</t>
  </si>
  <si>
    <t>VS201B</t>
  </si>
  <si>
    <t>VS401A</t>
  </si>
  <si>
    <t>VS401B</t>
  </si>
  <si>
    <t>VS402A</t>
  </si>
  <si>
    <t>VS402B</t>
  </si>
  <si>
    <t>CELSTATION 1</t>
  </si>
  <si>
    <t>CELSTATION 2</t>
  </si>
  <si>
    <t>CELSTATION 3</t>
  </si>
  <si>
    <t>sipart PS2</t>
  </si>
  <si>
    <t>DO235</t>
  </si>
  <si>
    <t>LP_SVA211-213</t>
  </si>
  <si>
    <t>LP_SVA221-223_231-233_655</t>
  </si>
  <si>
    <t>LP_SVA201_241-242_251-252_441</t>
  </si>
  <si>
    <t>LP_SVA431-433_501-505_511-512_521</t>
  </si>
  <si>
    <t>LP_SVA261_401-406_421-422</t>
  </si>
  <si>
    <t>NET</t>
  </si>
  <si>
    <t>tag overgenomen van PB Rob</t>
  </si>
  <si>
    <t/>
  </si>
  <si>
    <t>Sturing debiet CPU401</t>
  </si>
  <si>
    <t>Debietmeting CPU401 collector</t>
  </si>
  <si>
    <t>Debietregeling CPU401</t>
  </si>
  <si>
    <t>FIC403</t>
  </si>
  <si>
    <t>FIC304a</t>
  </si>
  <si>
    <t>FIC304b</t>
  </si>
  <si>
    <t>FO304b</t>
  </si>
  <si>
    <t>FIC303a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</si>
</sst>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trike/>
      <sz val="10"/>
      <name val="Arial"/>
      <family val="2"/>
    </font>
    <font>
      <sz val="10"/>
      <color indexed="39"/>
      <name val="Arial"/>
      <family val="2"/>
    </font>
    <font>
      <sz val="10"/>
      <color indexed="18"/>
      <name val="Arial"/>
      <family val="2"/>
    </font>
    <font>
      <i/>
      <strike/>
      <sz val="10"/>
      <name val="Arial"/>
      <family val="2"/>
    </font>
    <font>
      <sz val="8"/>
      <name val="Arial"/>
    </font>
    <font>
      <b/>
      <sz val="11"/>
      <name val="Arial"/>
      <family val="2"/>
    </font>
    <font>
      <strike/>
      <sz val="10"/>
      <name val="Arial"/>
    </font>
    <font>
      <b/>
      <i/>
      <sz val="10"/>
      <name val="Arial"/>
      <family val="2"/>
    </font>
    <font>
      <b/>
      <sz val="14"/>
      <name val="Arial"/>
      <family val="2"/>
    </font>
    <font>
      <sz val="8"/>
      <color indexed="81"/>
      <name val="Tahoma"/>
    </font>
    <font>
      <b/>
      <sz val="8"/>
      <color indexed="81"/>
      <name val="Tahom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5">
    <xf numFmtId="0" fontId="0" fillId="0" borderId="0" xfId="0"/>
    <xf numFmtId="0" fontId="4" fillId="0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0" fillId="0" borderId="0" xfId="0" applyFont="1" applyFill="1"/>
    <xf numFmtId="0" fontId="4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vertical="top" textRotation="90"/>
    </xf>
    <xf numFmtId="0" fontId="2" fillId="0" borderId="2" xfId="0" applyFont="1" applyFill="1" applyBorder="1" applyAlignment="1">
      <alignment vertical="top" textRotation="90"/>
    </xf>
    <xf numFmtId="0" fontId="2" fillId="0" borderId="3" xfId="0" applyFont="1" applyFill="1" applyBorder="1" applyAlignment="1">
      <alignment vertical="top" textRotation="90"/>
    </xf>
    <xf numFmtId="0" fontId="0" fillId="0" borderId="0" xfId="0" applyFill="1" applyBorder="1"/>
    <xf numFmtId="0" fontId="2" fillId="0" borderId="2" xfId="0" applyFont="1" applyFill="1" applyBorder="1" applyAlignment="1">
      <alignment horizontal="center" vertical="top" textRotation="90"/>
    </xf>
    <xf numFmtId="0" fontId="2" fillId="0" borderId="0" xfId="0" applyFont="1" applyFill="1" applyBorder="1" applyAlignment="1">
      <alignment vertical="top" textRotation="90"/>
    </xf>
    <xf numFmtId="0" fontId="5" fillId="0" borderId="0" xfId="0" applyFont="1" applyFill="1"/>
    <xf numFmtId="0" fontId="6" fillId="0" borderId="0" xfId="0" applyFont="1" applyFill="1"/>
    <xf numFmtId="0" fontId="3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4" fillId="0" borderId="0" xfId="0" applyFont="1" applyFill="1" applyAlignment="1">
      <alignment horizontal="left"/>
    </xf>
    <xf numFmtId="0" fontId="9" fillId="0" borderId="0" xfId="0" applyFont="1" applyFill="1"/>
    <xf numFmtId="0" fontId="0" fillId="0" borderId="0" xfId="0" applyFill="1" applyAlignment="1">
      <alignment horizontal="right"/>
    </xf>
    <xf numFmtId="3" fontId="11" fillId="0" borderId="4" xfId="0" applyNumberFormat="1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12" fillId="0" borderId="0" xfId="0" applyFont="1" applyFill="1"/>
    <xf numFmtId="3" fontId="2" fillId="0" borderId="0" xfId="0" applyNumberFormat="1" applyFont="1" applyFill="1" applyAlignment="1">
      <alignment horizontal="center"/>
    </xf>
    <xf numFmtId="0" fontId="1" fillId="0" borderId="0" xfId="0" applyFont="1" applyFill="1"/>
    <xf numFmtId="3" fontId="0" fillId="0" borderId="0" xfId="0" applyNumberFormat="1" applyFill="1"/>
    <xf numFmtId="3" fontId="6" fillId="0" borderId="0" xfId="0" applyNumberFormat="1" applyFont="1" applyFill="1"/>
    <xf numFmtId="3" fontId="4" fillId="0" borderId="0" xfId="0" applyNumberFormat="1" applyFont="1" applyFill="1"/>
    <xf numFmtId="0" fontId="1" fillId="0" borderId="0" xfId="0" applyFont="1" applyFill="1" applyAlignment="1">
      <alignment horizontal="center"/>
    </xf>
    <xf numFmtId="3" fontId="2" fillId="0" borderId="2" xfId="0" applyNumberFormat="1" applyFont="1" applyFill="1" applyBorder="1" applyAlignment="1">
      <alignment vertical="top" textRotation="90"/>
    </xf>
    <xf numFmtId="0" fontId="2" fillId="0" borderId="5" xfId="0" applyFont="1" applyFill="1" applyBorder="1" applyAlignment="1">
      <alignment vertical="top" textRotation="90"/>
    </xf>
    <xf numFmtId="0" fontId="14" fillId="0" borderId="0" xfId="0" applyFont="1" applyFill="1"/>
    <xf numFmtId="3" fontId="14" fillId="0" borderId="0" xfId="0" applyNumberFormat="1" applyFont="1" applyFill="1"/>
    <xf numFmtId="0" fontId="12" fillId="0" borderId="0" xfId="0" applyFont="1" applyFill="1" applyAlignment="1"/>
    <xf numFmtId="0" fontId="12" fillId="0" borderId="0" xfId="0" applyFont="1" applyFill="1" applyAlignment="1">
      <alignment horizontal="center"/>
    </xf>
    <xf numFmtId="3" fontId="2" fillId="0" borderId="0" xfId="0" applyNumberFormat="1" applyFont="1" applyFill="1" applyBorder="1" applyAlignment="1">
      <alignment vertical="top" textRotation="90"/>
    </xf>
    <xf numFmtId="3" fontId="4" fillId="0" borderId="0" xfId="0" applyNumberFormat="1" applyFont="1" applyFill="1" applyAlignment="1">
      <alignment horizontal="center"/>
    </xf>
    <xf numFmtId="3" fontId="3" fillId="0" borderId="0" xfId="0" applyNumberFormat="1" applyFont="1" applyFill="1"/>
    <xf numFmtId="3" fontId="0" fillId="0" borderId="0" xfId="0" applyNumberFormat="1" applyFill="1" applyAlignment="1">
      <alignment horizontal="left"/>
    </xf>
    <xf numFmtId="0" fontId="2" fillId="0" borderId="3" xfId="0" applyFont="1" applyFill="1" applyBorder="1" applyAlignment="1">
      <alignment vertical="top" textRotation="90" wrapText="1"/>
    </xf>
    <xf numFmtId="0" fontId="0" fillId="0" borderId="0" xfId="0" applyFill="1" applyAlignment="1">
      <alignment wrapText="1"/>
    </xf>
    <xf numFmtId="0" fontId="4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2" fillId="0" borderId="0" xfId="0" applyFont="1" applyFill="1" applyBorder="1" applyAlignment="1">
      <alignment horizontal="center" vertical="top" textRotation="90"/>
    </xf>
    <xf numFmtId="0" fontId="0" fillId="0" borderId="0" xfId="0" applyFill="1" applyAlignment="1">
      <alignment horizontal="center"/>
    </xf>
    <xf numFmtId="0" fontId="4" fillId="0" borderId="0" xfId="0" applyFont="1" applyFill="1" applyBorder="1"/>
    <xf numFmtId="3" fontId="4" fillId="0" borderId="0" xfId="0" applyNumberFormat="1" applyFont="1" applyFill="1" applyBorder="1"/>
    <xf numFmtId="3" fontId="12" fillId="0" borderId="0" xfId="0" applyNumberFormat="1" applyFont="1" applyFill="1"/>
    <xf numFmtId="0" fontId="12" fillId="0" borderId="0" xfId="0" applyFont="1" applyFill="1" applyAlignment="1">
      <alignment wrapText="1"/>
    </xf>
    <xf numFmtId="3" fontId="12" fillId="0" borderId="0" xfId="0" applyNumberFormat="1" applyFont="1" applyFill="1" applyAlignment="1"/>
    <xf numFmtId="0" fontId="1" fillId="0" borderId="0" xfId="0" applyFont="1" applyFill="1" applyAlignment="1">
      <alignment wrapText="1"/>
    </xf>
    <xf numFmtId="3" fontId="1" fillId="0" borderId="0" xfId="0" applyNumberFormat="1" applyFont="1" applyFill="1"/>
    <xf numFmtId="0" fontId="0" fillId="0" borderId="0" xfId="0" applyFont="1" applyFill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B1115"/>
  <sheetViews>
    <sheetView tabSelected="1" zoomScaleNormal="100" workbookViewId="0">
      <pane ySplit="1" topLeftCell="A94" activePane="bottomLeft" state="frozen"/>
      <selection pane="bottomLeft" activeCell="E100" sqref="E100"/>
    </sheetView>
  </sheetViews>
  <sheetFormatPr defaultRowHeight="12.75" x14ac:dyDescent="0.2"/>
  <cols>
    <col min="1" max="1" width="9.140625" style="46"/>
    <col min="2" max="2" width="7" style="2" hidden="1" customWidth="1"/>
    <col min="3" max="3" width="8.7109375" style="46" customWidth="1"/>
    <col min="4" max="4" width="9.42578125" style="2" customWidth="1"/>
    <col min="5" max="5" width="14" style="2" bestFit="1" customWidth="1"/>
    <col min="6" max="6" width="56.42578125" style="42" customWidth="1"/>
    <col min="7" max="7" width="6.28515625" style="2" customWidth="1"/>
    <col min="8" max="8" width="12.28515625" style="2" customWidth="1"/>
    <col min="9" max="9" width="4.5703125" style="2" customWidth="1"/>
    <col min="10" max="10" width="4.42578125" style="2" customWidth="1"/>
    <col min="11" max="14" width="3.5703125" style="2" customWidth="1"/>
    <col min="15" max="15" width="5.28515625" style="2" customWidth="1"/>
    <col min="16" max="16" width="6.28515625" style="2" customWidth="1"/>
    <col min="17" max="17" width="7.7109375" style="2" customWidth="1"/>
    <col min="18" max="18" width="14.5703125" style="2" customWidth="1"/>
    <col min="19" max="20" width="9.140625" style="46" customWidth="1"/>
    <col min="21" max="21" width="7.5703125" style="46" customWidth="1"/>
    <col min="22" max="22" width="11" style="46" bestFit="1" customWidth="1"/>
    <col min="23" max="23" width="3.140625" style="2" hidden="1" customWidth="1"/>
    <col min="24" max="24" width="41.85546875" style="2" hidden="1" customWidth="1"/>
    <col min="25" max="25" width="3.140625" style="2" hidden="1" customWidth="1"/>
    <col min="26" max="26" width="25.5703125" style="2" hidden="1" customWidth="1"/>
    <col min="27" max="27" width="14.85546875" style="27" hidden="1" customWidth="1"/>
    <col min="28" max="28" width="4" style="2" hidden="1" customWidth="1"/>
    <col min="29" max="29" width="22.7109375" style="2" hidden="1" customWidth="1"/>
    <col min="30" max="30" width="14.28515625" style="27" hidden="1" customWidth="1"/>
    <col min="31" max="31" width="3.140625" style="2" hidden="1" customWidth="1"/>
    <col min="32" max="32" width="40" style="2" hidden="1" customWidth="1"/>
    <col min="33" max="33" width="16.5703125" style="27" hidden="1" customWidth="1"/>
    <col min="34" max="34" width="3.140625" style="2" hidden="1" customWidth="1"/>
    <col min="35" max="35" width="47.7109375" style="2" hidden="1" customWidth="1"/>
    <col min="36" max="36" width="22.28515625" style="27" hidden="1" customWidth="1"/>
    <col min="37" max="37" width="3.140625" style="2" hidden="1" customWidth="1"/>
    <col min="38" max="38" width="19.7109375" style="2" hidden="1" customWidth="1"/>
    <col min="39" max="39" width="8" style="2" hidden="1" customWidth="1"/>
    <col min="40" max="44" width="3.140625" style="2" hidden="1" customWidth="1"/>
    <col min="45" max="45" width="6" style="27" hidden="1" customWidth="1"/>
    <col min="46" max="47" width="3.140625" style="2" hidden="1" customWidth="1"/>
    <col min="48" max="48" width="31.85546875" style="2" customWidth="1"/>
    <col min="49" max="49" width="8.85546875" style="27" customWidth="1"/>
    <col min="50" max="50" width="11" style="1" customWidth="1"/>
    <col min="51" max="51" width="15.42578125" style="2" customWidth="1"/>
    <col min="52" max="52" width="5.140625" style="2" customWidth="1"/>
    <col min="53" max="53" width="5.42578125" style="3" customWidth="1"/>
    <col min="54" max="54" width="7.140625" style="2" customWidth="1"/>
    <col min="55" max="55" width="10.140625" style="2" customWidth="1"/>
    <col min="56" max="56" width="6.28515625" style="2" customWidth="1"/>
    <col min="57" max="16384" width="9.140625" style="2"/>
  </cols>
  <sheetData>
    <row r="1" spans="1:53" s="12" customFormat="1" ht="99" customHeight="1" thickBot="1" x14ac:dyDescent="0.25">
      <c r="A1" s="45" t="s">
        <v>944</v>
      </c>
      <c r="B1" s="7" t="s">
        <v>882</v>
      </c>
      <c r="C1" s="11" t="s">
        <v>19</v>
      </c>
      <c r="D1" s="8" t="s">
        <v>873</v>
      </c>
      <c r="E1" s="8" t="s">
        <v>870</v>
      </c>
      <c r="F1" s="41" t="s">
        <v>871</v>
      </c>
      <c r="G1" s="7" t="s">
        <v>910</v>
      </c>
      <c r="H1" s="7" t="s">
        <v>872</v>
      </c>
      <c r="I1" s="8" t="s">
        <v>879</v>
      </c>
      <c r="J1" s="8" t="s">
        <v>880</v>
      </c>
      <c r="K1" s="8" t="s">
        <v>881</v>
      </c>
      <c r="L1" s="8" t="s">
        <v>931</v>
      </c>
      <c r="M1" s="8" t="s">
        <v>289</v>
      </c>
      <c r="N1" s="8" t="s">
        <v>290</v>
      </c>
      <c r="O1" s="8" t="s">
        <v>188</v>
      </c>
      <c r="P1" s="8" t="s">
        <v>189</v>
      </c>
      <c r="Q1" s="8" t="s">
        <v>873</v>
      </c>
      <c r="R1" s="8" t="s">
        <v>936</v>
      </c>
      <c r="S1" s="11" t="s">
        <v>984</v>
      </c>
      <c r="T1" s="11" t="s">
        <v>1015</v>
      </c>
      <c r="U1" s="11" t="s">
        <v>985</v>
      </c>
      <c r="V1" s="11" t="s">
        <v>987</v>
      </c>
      <c r="W1" s="7" t="s">
        <v>412</v>
      </c>
      <c r="X1" s="8" t="s">
        <v>288</v>
      </c>
      <c r="Y1" s="8" t="s">
        <v>928</v>
      </c>
      <c r="Z1" s="8" t="s">
        <v>295</v>
      </c>
      <c r="AA1" s="31" t="s">
        <v>912</v>
      </c>
      <c r="AB1" s="8" t="s">
        <v>562</v>
      </c>
      <c r="AC1" s="8" t="s">
        <v>560</v>
      </c>
      <c r="AD1" s="37" t="s">
        <v>561</v>
      </c>
      <c r="AE1" s="8" t="s">
        <v>192</v>
      </c>
      <c r="AF1" s="8" t="s">
        <v>896</v>
      </c>
      <c r="AG1" s="31" t="s">
        <v>897</v>
      </c>
      <c r="AH1" s="8" t="s">
        <v>638</v>
      </c>
      <c r="AI1" s="8" t="s">
        <v>225</v>
      </c>
      <c r="AJ1" s="31" t="s">
        <v>226</v>
      </c>
      <c r="AK1" s="8" t="s">
        <v>927</v>
      </c>
      <c r="AL1" s="8" t="s">
        <v>204</v>
      </c>
      <c r="AM1" s="8" t="s">
        <v>205</v>
      </c>
      <c r="AN1" s="8" t="s">
        <v>451</v>
      </c>
      <c r="AO1" s="8" t="s">
        <v>933</v>
      </c>
      <c r="AP1" s="8" t="s">
        <v>637</v>
      </c>
      <c r="AQ1" s="8" t="s">
        <v>535</v>
      </c>
      <c r="AR1" s="8" t="s">
        <v>244</v>
      </c>
      <c r="AS1" s="31" t="s">
        <v>245</v>
      </c>
      <c r="AT1" s="8" t="s">
        <v>861</v>
      </c>
      <c r="AU1" s="32" t="s">
        <v>863</v>
      </c>
      <c r="AV1" s="8" t="s">
        <v>872</v>
      </c>
      <c r="AW1" s="31" t="s">
        <v>374</v>
      </c>
      <c r="AX1" s="11" t="s">
        <v>282</v>
      </c>
      <c r="AY1" s="8" t="s">
        <v>877</v>
      </c>
      <c r="AZ1" s="8" t="s">
        <v>878</v>
      </c>
      <c r="BA1" s="9" t="s">
        <v>872</v>
      </c>
    </row>
    <row r="2" spans="1:53" x14ac:dyDescent="0.2">
      <c r="B2" s="2">
        <v>200</v>
      </c>
      <c r="C2" s="46" t="s">
        <v>24</v>
      </c>
      <c r="D2" s="2" t="s">
        <v>464</v>
      </c>
      <c r="E2" s="2" t="s">
        <v>416</v>
      </c>
      <c r="F2" s="42" t="s">
        <v>394</v>
      </c>
      <c r="H2" s="3" t="s">
        <v>876</v>
      </c>
      <c r="N2" s="2">
        <v>1</v>
      </c>
      <c r="S2" s="46" t="s">
        <v>997</v>
      </c>
      <c r="T2" s="46">
        <v>1</v>
      </c>
      <c r="U2" s="46">
        <v>11</v>
      </c>
      <c r="V2" s="46" t="s">
        <v>991</v>
      </c>
      <c r="AA2" s="2"/>
      <c r="AG2" s="2"/>
      <c r="AJ2" s="2"/>
      <c r="AS2" s="2"/>
      <c r="AT2" s="2">
        <v>1</v>
      </c>
      <c r="AW2" s="2"/>
      <c r="AX2" s="1">
        <v>75</v>
      </c>
      <c r="AY2" s="2" t="s">
        <v>68</v>
      </c>
      <c r="BA2" s="2"/>
    </row>
    <row r="3" spans="1:53" x14ac:dyDescent="0.2">
      <c r="B3" s="2">
        <v>200</v>
      </c>
      <c r="C3" s="46" t="s">
        <v>24</v>
      </c>
      <c r="D3" s="2" t="s">
        <v>464</v>
      </c>
      <c r="E3" s="2" t="s">
        <v>417</v>
      </c>
      <c r="F3" s="42" t="s">
        <v>394</v>
      </c>
      <c r="H3" s="3" t="s">
        <v>876</v>
      </c>
      <c r="N3" s="2">
        <v>1</v>
      </c>
      <c r="S3" s="46" t="s">
        <v>997</v>
      </c>
      <c r="T3" s="46">
        <v>1</v>
      </c>
      <c r="U3" s="46">
        <v>12</v>
      </c>
      <c r="V3" s="46" t="s">
        <v>991</v>
      </c>
      <c r="AA3" s="2"/>
      <c r="AG3" s="2"/>
      <c r="AJ3" s="2"/>
      <c r="AS3" s="2"/>
      <c r="AT3" s="2">
        <v>1</v>
      </c>
      <c r="AW3" s="2"/>
      <c r="AX3" s="1">
        <v>75</v>
      </c>
      <c r="AY3" s="2" t="s">
        <v>68</v>
      </c>
      <c r="BA3" s="2"/>
    </row>
    <row r="4" spans="1:53" x14ac:dyDescent="0.2">
      <c r="B4" s="2">
        <v>200</v>
      </c>
      <c r="C4" s="46" t="s">
        <v>24</v>
      </c>
      <c r="D4" s="2" t="s">
        <v>464</v>
      </c>
      <c r="E4" s="2" t="s">
        <v>469</v>
      </c>
      <c r="F4" s="42" t="s">
        <v>470</v>
      </c>
      <c r="H4" s="3" t="s">
        <v>0</v>
      </c>
      <c r="S4" s="46" t="s">
        <v>1017</v>
      </c>
      <c r="T4" s="46" t="s">
        <v>1017</v>
      </c>
      <c r="U4" s="46" t="s">
        <v>1017</v>
      </c>
      <c r="V4" s="46" t="s">
        <v>1017</v>
      </c>
      <c r="X4" s="2" t="b">
        <f>ISERROR(S4)</f>
        <v>0</v>
      </c>
      <c r="AA4" s="2"/>
      <c r="AG4" s="2"/>
      <c r="AJ4" s="2"/>
      <c r="AS4" s="2"/>
      <c r="AV4" s="2" t="s">
        <v>866</v>
      </c>
      <c r="AW4" s="2"/>
      <c r="BA4" s="2"/>
    </row>
    <row r="5" spans="1:53" x14ac:dyDescent="0.2">
      <c r="B5" s="2">
        <v>200</v>
      </c>
      <c r="C5" s="46" t="s">
        <v>24</v>
      </c>
      <c r="D5" s="2" t="s">
        <v>464</v>
      </c>
      <c r="E5" s="2" t="s">
        <v>467</v>
      </c>
      <c r="F5" s="42" t="s">
        <v>468</v>
      </c>
      <c r="G5" s="2" t="s">
        <v>247</v>
      </c>
      <c r="H5" s="3" t="s">
        <v>289</v>
      </c>
      <c r="M5" s="2">
        <v>1</v>
      </c>
      <c r="S5" s="46" t="s">
        <v>997</v>
      </c>
      <c r="T5" s="46">
        <v>2</v>
      </c>
      <c r="U5" s="46">
        <v>40</v>
      </c>
      <c r="V5" s="46" t="s">
        <v>1008</v>
      </c>
      <c r="X5" s="2" t="s">
        <v>239</v>
      </c>
      <c r="AA5" s="2"/>
      <c r="AE5" s="2">
        <v>1</v>
      </c>
      <c r="AF5" s="2" t="s">
        <v>964</v>
      </c>
      <c r="AG5" s="27">
        <v>988.95</v>
      </c>
      <c r="AH5" s="2">
        <v>1</v>
      </c>
      <c r="AJ5" s="2"/>
      <c r="AS5" s="2"/>
      <c r="AV5" s="2" t="s">
        <v>963</v>
      </c>
      <c r="AW5" s="2"/>
      <c r="BA5" s="2"/>
    </row>
    <row r="6" spans="1:53" x14ac:dyDescent="0.2">
      <c r="B6" s="10">
        <v>200</v>
      </c>
      <c r="C6" s="46" t="s">
        <v>24</v>
      </c>
      <c r="D6" s="2" t="s">
        <v>464</v>
      </c>
      <c r="E6" s="2" t="s">
        <v>946</v>
      </c>
      <c r="H6" s="3"/>
      <c r="S6" s="46" t="s">
        <v>1017</v>
      </c>
      <c r="T6" s="46" t="s">
        <v>1017</v>
      </c>
      <c r="U6" s="46" t="s">
        <v>1017</v>
      </c>
      <c r="V6" s="46" t="s">
        <v>1017</v>
      </c>
      <c r="AA6" s="2"/>
      <c r="AJ6" s="2"/>
      <c r="AS6" s="2"/>
      <c r="AW6" s="2"/>
      <c r="BA6" s="2"/>
    </row>
    <row r="7" spans="1:53" x14ac:dyDescent="0.2">
      <c r="B7" s="2">
        <v>200</v>
      </c>
      <c r="C7" s="46" t="s">
        <v>24</v>
      </c>
      <c r="D7" s="2" t="s">
        <v>464</v>
      </c>
      <c r="E7" s="2" t="s">
        <v>466</v>
      </c>
      <c r="F7" s="42" t="s">
        <v>465</v>
      </c>
      <c r="H7" s="2" t="s">
        <v>290</v>
      </c>
      <c r="N7" s="2">
        <v>1</v>
      </c>
      <c r="S7" s="46" t="s">
        <v>1017</v>
      </c>
      <c r="T7" s="46" t="s">
        <v>1017</v>
      </c>
      <c r="U7" s="46" t="s">
        <v>1017</v>
      </c>
      <c r="V7" s="46" t="s">
        <v>1017</v>
      </c>
      <c r="AA7" s="2"/>
      <c r="AG7" s="2"/>
      <c r="AJ7" s="2"/>
      <c r="AS7" s="2"/>
      <c r="AV7" s="2" t="s">
        <v>639</v>
      </c>
      <c r="AW7" s="2"/>
      <c r="BA7" s="2"/>
    </row>
    <row r="8" spans="1:53" x14ac:dyDescent="0.2">
      <c r="B8" s="2">
        <v>200</v>
      </c>
      <c r="C8" s="46" t="s">
        <v>24</v>
      </c>
      <c r="D8" s="2" t="s">
        <v>161</v>
      </c>
      <c r="E8" s="2" t="s">
        <v>757</v>
      </c>
      <c r="F8" s="42" t="s">
        <v>159</v>
      </c>
      <c r="G8" s="5" t="s">
        <v>929</v>
      </c>
      <c r="H8" s="3" t="s">
        <v>880</v>
      </c>
      <c r="J8" s="2">
        <v>1</v>
      </c>
      <c r="S8" s="46" t="s">
        <v>1017</v>
      </c>
      <c r="T8" s="46" t="s">
        <v>1017</v>
      </c>
      <c r="U8" s="46" t="s">
        <v>1017</v>
      </c>
      <c r="V8" s="46" t="s">
        <v>1017</v>
      </c>
      <c r="AA8" s="2"/>
      <c r="AG8" s="2"/>
      <c r="AJ8" s="2"/>
      <c r="AS8" s="2"/>
      <c r="AV8" s="2" t="s">
        <v>895</v>
      </c>
      <c r="AW8" s="2"/>
      <c r="BA8" s="2"/>
    </row>
    <row r="9" spans="1:53" x14ac:dyDescent="0.2">
      <c r="B9" s="2">
        <v>200</v>
      </c>
      <c r="C9" s="46" t="s">
        <v>24</v>
      </c>
      <c r="D9" s="2" t="s">
        <v>162</v>
      </c>
      <c r="E9" s="2" t="s">
        <v>758</v>
      </c>
      <c r="F9" s="42" t="s">
        <v>160</v>
      </c>
      <c r="G9" s="5" t="s">
        <v>929</v>
      </c>
      <c r="H9" s="3" t="s">
        <v>880</v>
      </c>
      <c r="J9" s="2">
        <v>1</v>
      </c>
      <c r="S9" s="46" t="s">
        <v>1017</v>
      </c>
      <c r="T9" s="46" t="s">
        <v>1017</v>
      </c>
      <c r="U9" s="46" t="s">
        <v>1017</v>
      </c>
      <c r="V9" s="46" t="s">
        <v>1017</v>
      </c>
      <c r="AA9" s="2"/>
      <c r="AG9" s="2"/>
      <c r="AJ9" s="2"/>
      <c r="AS9" s="2"/>
      <c r="AV9" s="2" t="s">
        <v>895</v>
      </c>
      <c r="AW9" s="2"/>
      <c r="BA9" s="2"/>
    </row>
    <row r="10" spans="1:53" x14ac:dyDescent="0.2">
      <c r="B10" s="2">
        <v>100</v>
      </c>
      <c r="C10" s="46" t="s">
        <v>24</v>
      </c>
      <c r="D10" s="2" t="s">
        <v>319</v>
      </c>
      <c r="E10" s="2" t="s">
        <v>319</v>
      </c>
      <c r="F10" s="42" t="s">
        <v>389</v>
      </c>
      <c r="H10" s="3" t="s">
        <v>876</v>
      </c>
      <c r="N10" s="2">
        <v>1</v>
      </c>
      <c r="O10" s="3"/>
      <c r="P10" s="3"/>
      <c r="S10" s="46" t="s">
        <v>997</v>
      </c>
      <c r="T10" s="46">
        <v>1</v>
      </c>
      <c r="U10" s="46">
        <v>16</v>
      </c>
      <c r="V10" s="46" t="s">
        <v>992</v>
      </c>
      <c r="AA10" s="2"/>
      <c r="AG10" s="2"/>
      <c r="AJ10" s="2"/>
      <c r="AS10" s="2"/>
      <c r="AT10" s="2">
        <v>1</v>
      </c>
      <c r="AW10" s="2"/>
      <c r="AX10" s="1">
        <v>37</v>
      </c>
      <c r="AY10" s="2" t="s">
        <v>930</v>
      </c>
      <c r="BA10" s="2"/>
    </row>
    <row r="11" spans="1:53" x14ac:dyDescent="0.2">
      <c r="B11" s="2">
        <v>100</v>
      </c>
      <c r="C11" s="46" t="s">
        <v>24</v>
      </c>
      <c r="D11" s="2" t="s">
        <v>319</v>
      </c>
      <c r="E11" s="2" t="s">
        <v>197</v>
      </c>
      <c r="F11" s="42" t="s">
        <v>976</v>
      </c>
      <c r="G11" s="2" t="s">
        <v>908</v>
      </c>
      <c r="H11" s="3"/>
      <c r="I11" s="2">
        <v>1</v>
      </c>
      <c r="O11" s="3"/>
      <c r="P11" s="3"/>
      <c r="S11" s="46" t="s">
        <v>1017</v>
      </c>
      <c r="T11" s="46" t="s">
        <v>1017</v>
      </c>
      <c r="U11" s="46" t="s">
        <v>1017</v>
      </c>
      <c r="V11" s="46" t="s">
        <v>1017</v>
      </c>
      <c r="AA11" s="2"/>
      <c r="AG11" s="2"/>
      <c r="AJ11" s="2"/>
      <c r="AK11" s="2">
        <v>1</v>
      </c>
      <c r="AL11" s="2" t="s">
        <v>198</v>
      </c>
      <c r="AS11" s="2"/>
      <c r="AW11" s="2"/>
      <c r="BA11" s="2"/>
    </row>
    <row r="12" spans="1:53" x14ac:dyDescent="0.2">
      <c r="B12" s="2">
        <v>400</v>
      </c>
      <c r="C12" s="46" t="s">
        <v>24</v>
      </c>
      <c r="D12" s="2" t="s">
        <v>495</v>
      </c>
      <c r="E12" s="2" t="s">
        <v>339</v>
      </c>
      <c r="F12" s="42" t="s">
        <v>171</v>
      </c>
      <c r="G12" s="3"/>
      <c r="H12" s="3" t="s">
        <v>876</v>
      </c>
      <c r="N12" s="2">
        <v>1</v>
      </c>
      <c r="S12" s="46" t="s">
        <v>997</v>
      </c>
      <c r="T12" s="46">
        <v>1</v>
      </c>
      <c r="U12" s="46">
        <v>33</v>
      </c>
      <c r="V12" s="46" t="s">
        <v>992</v>
      </c>
      <c r="X12" s="2" t="b">
        <f>ISERROR(S12)</f>
        <v>0</v>
      </c>
      <c r="AA12" s="2"/>
      <c r="AG12" s="2"/>
      <c r="AJ12" s="2"/>
      <c r="AS12" s="2"/>
      <c r="AT12" s="2">
        <v>1</v>
      </c>
      <c r="AU12" s="2">
        <v>1</v>
      </c>
      <c r="AW12" s="2"/>
      <c r="AX12" s="1">
        <v>37</v>
      </c>
      <c r="AY12" s="2" t="s">
        <v>930</v>
      </c>
      <c r="BA12" s="2"/>
    </row>
    <row r="13" spans="1:53" x14ac:dyDescent="0.2">
      <c r="B13" s="2">
        <v>100</v>
      </c>
      <c r="C13" s="46" t="s">
        <v>24</v>
      </c>
      <c r="D13" s="2" t="s">
        <v>436</v>
      </c>
      <c r="E13" s="2" t="s">
        <v>439</v>
      </c>
      <c r="F13" s="42" t="s">
        <v>442</v>
      </c>
      <c r="G13" s="5" t="s">
        <v>908</v>
      </c>
      <c r="H13" s="3" t="s">
        <v>879</v>
      </c>
      <c r="I13" s="2">
        <v>1</v>
      </c>
      <c r="R13" s="3" t="s">
        <v>942</v>
      </c>
      <c r="S13" s="46" t="s">
        <v>1017</v>
      </c>
      <c r="T13" s="46" t="s">
        <v>1017</v>
      </c>
      <c r="U13" s="46" t="s">
        <v>1017</v>
      </c>
      <c r="V13" s="46" t="s">
        <v>1017</v>
      </c>
      <c r="W13" s="2">
        <v>1</v>
      </c>
      <c r="X13" s="2" t="s">
        <v>237</v>
      </c>
      <c r="Y13" s="2">
        <v>1</v>
      </c>
      <c r="Z13" s="2" t="s">
        <v>297</v>
      </c>
      <c r="AA13" s="27">
        <f>360.4+19*13</f>
        <v>607.4</v>
      </c>
      <c r="AB13" s="2">
        <v>1</v>
      </c>
      <c r="AC13" s="2" t="s">
        <v>36</v>
      </c>
      <c r="AD13" s="27">
        <v>610</v>
      </c>
      <c r="AH13" s="2">
        <v>1</v>
      </c>
      <c r="AI13" s="2" t="s">
        <v>233</v>
      </c>
      <c r="AJ13" s="27">
        <f>1554+1844</f>
        <v>3398</v>
      </c>
      <c r="AS13" s="2"/>
      <c r="AV13" s="2" t="s">
        <v>272</v>
      </c>
      <c r="AW13" s="2"/>
      <c r="BA13" s="2"/>
    </row>
    <row r="14" spans="1:53" x14ac:dyDescent="0.2">
      <c r="B14" s="2">
        <v>100</v>
      </c>
      <c r="C14" s="46" t="s">
        <v>24</v>
      </c>
      <c r="D14" s="2" t="s">
        <v>436</v>
      </c>
      <c r="E14" s="2" t="s">
        <v>779</v>
      </c>
      <c r="F14" s="42" t="s">
        <v>445</v>
      </c>
      <c r="G14" s="5" t="s">
        <v>908</v>
      </c>
      <c r="H14" s="3" t="s">
        <v>879</v>
      </c>
      <c r="I14" s="2">
        <v>1</v>
      </c>
      <c r="R14" s="3" t="s">
        <v>942</v>
      </c>
      <c r="S14" s="46" t="s">
        <v>1017</v>
      </c>
      <c r="T14" s="46" t="s">
        <v>1017</v>
      </c>
      <c r="U14" s="46" t="s">
        <v>1017</v>
      </c>
      <c r="V14" s="46" t="s">
        <v>1017</v>
      </c>
      <c r="W14" s="2">
        <v>1</v>
      </c>
      <c r="X14" s="2" t="s">
        <v>215</v>
      </c>
      <c r="Y14" s="2">
        <v>1</v>
      </c>
      <c r="Z14" s="2" t="s">
        <v>296</v>
      </c>
      <c r="AA14" s="27">
        <f>813+24*1</f>
        <v>837</v>
      </c>
      <c r="AB14" s="2">
        <v>1</v>
      </c>
      <c r="AC14" s="2" t="s">
        <v>38</v>
      </c>
      <c r="AD14" s="27">
        <v>750</v>
      </c>
      <c r="AH14" s="2">
        <v>1</v>
      </c>
      <c r="AI14" s="2" t="s">
        <v>233</v>
      </c>
      <c r="AJ14" s="27">
        <f>1321+1403</f>
        <v>2724</v>
      </c>
      <c r="AS14" s="2"/>
      <c r="AV14" s="2" t="s">
        <v>788</v>
      </c>
      <c r="AW14" s="2"/>
      <c r="BA14" s="2"/>
    </row>
    <row r="15" spans="1:53" x14ac:dyDescent="0.2">
      <c r="B15" s="2">
        <v>100</v>
      </c>
      <c r="C15" s="46" t="s">
        <v>24</v>
      </c>
      <c r="D15" s="2" t="s">
        <v>436</v>
      </c>
      <c r="E15" s="2" t="s">
        <v>780</v>
      </c>
      <c r="F15" s="42" t="s">
        <v>445</v>
      </c>
      <c r="G15" s="5" t="s">
        <v>908</v>
      </c>
      <c r="H15" s="47" t="s">
        <v>879</v>
      </c>
      <c r="I15" s="2">
        <v>1</v>
      </c>
      <c r="R15" s="3" t="s">
        <v>942</v>
      </c>
      <c r="S15" s="46" t="s">
        <v>1017</v>
      </c>
      <c r="T15" s="46" t="s">
        <v>1017</v>
      </c>
      <c r="U15" s="46" t="s">
        <v>1017</v>
      </c>
      <c r="V15" s="46" t="s">
        <v>1017</v>
      </c>
      <c r="W15" s="2">
        <v>1</v>
      </c>
      <c r="X15" s="2" t="s">
        <v>216</v>
      </c>
      <c r="Y15" s="2">
        <v>1</v>
      </c>
      <c r="Z15" s="2" t="s">
        <v>296</v>
      </c>
      <c r="AA15" s="27">
        <f>813+29*1</f>
        <v>842</v>
      </c>
      <c r="AB15" s="2">
        <v>1</v>
      </c>
      <c r="AC15" s="2" t="s">
        <v>39</v>
      </c>
      <c r="AD15" s="27">
        <v>800</v>
      </c>
      <c r="AG15" s="2"/>
      <c r="AH15" s="2">
        <v>1</v>
      </c>
      <c r="AI15" s="2" t="s">
        <v>233</v>
      </c>
      <c r="AJ15" s="27">
        <f>1321+1403</f>
        <v>2724</v>
      </c>
      <c r="AS15" s="2"/>
      <c r="AV15" s="2" t="s">
        <v>787</v>
      </c>
      <c r="AW15" s="2"/>
      <c r="BA15" s="2"/>
    </row>
    <row r="16" spans="1:53" x14ac:dyDescent="0.2">
      <c r="B16" s="2">
        <v>100</v>
      </c>
      <c r="C16" s="46" t="s">
        <v>24</v>
      </c>
      <c r="D16" s="2" t="s">
        <v>436</v>
      </c>
      <c r="E16" s="2" t="s">
        <v>923</v>
      </c>
      <c r="F16" s="42" t="s">
        <v>448</v>
      </c>
      <c r="G16" s="5" t="s">
        <v>951</v>
      </c>
      <c r="H16" s="3" t="s">
        <v>881</v>
      </c>
      <c r="K16" s="2">
        <v>1</v>
      </c>
      <c r="R16" s="3" t="s">
        <v>942</v>
      </c>
      <c r="S16" s="46" t="s">
        <v>1017</v>
      </c>
      <c r="T16" s="46" t="s">
        <v>1017</v>
      </c>
      <c r="U16" s="46" t="s">
        <v>1017</v>
      </c>
      <c r="V16" s="46" t="s">
        <v>1017</v>
      </c>
      <c r="AB16" s="2">
        <v>1</v>
      </c>
      <c r="AC16" s="2" t="s">
        <v>563</v>
      </c>
      <c r="AD16" s="27">
        <v>1930</v>
      </c>
      <c r="AG16" s="2"/>
      <c r="AH16" s="2">
        <v>1</v>
      </c>
      <c r="AJ16" s="2"/>
      <c r="AN16" s="2">
        <v>1</v>
      </c>
      <c r="AS16" s="2"/>
      <c r="AV16" s="2" t="s">
        <v>590</v>
      </c>
      <c r="AW16" s="2"/>
      <c r="BA16" s="2"/>
    </row>
    <row r="17" spans="2:53" x14ac:dyDescent="0.2">
      <c r="B17" s="2">
        <v>100</v>
      </c>
      <c r="C17" s="46" t="s">
        <v>24</v>
      </c>
      <c r="D17" s="2" t="s">
        <v>436</v>
      </c>
      <c r="E17" s="2" t="s">
        <v>753</v>
      </c>
      <c r="F17" s="42" t="s">
        <v>452</v>
      </c>
      <c r="G17" s="5" t="s">
        <v>929</v>
      </c>
      <c r="H17" s="3" t="s">
        <v>880</v>
      </c>
      <c r="J17" s="2">
        <v>1</v>
      </c>
      <c r="R17" s="3" t="s">
        <v>942</v>
      </c>
      <c r="S17" s="46" t="s">
        <v>997</v>
      </c>
      <c r="T17" s="46">
        <v>1</v>
      </c>
      <c r="U17" s="46">
        <v>5</v>
      </c>
      <c r="V17" s="46" t="s">
        <v>988</v>
      </c>
      <c r="AA17" s="2"/>
      <c r="AG17" s="2"/>
      <c r="AJ17" s="2"/>
      <c r="AS17" s="2"/>
      <c r="AV17" s="2" t="s">
        <v>170</v>
      </c>
      <c r="AW17" s="2"/>
      <c r="BA17" s="2"/>
    </row>
    <row r="18" spans="2:53" x14ac:dyDescent="0.2">
      <c r="B18" s="2">
        <v>100</v>
      </c>
      <c r="C18" s="46" t="s">
        <v>24</v>
      </c>
      <c r="D18" s="2" t="s">
        <v>436</v>
      </c>
      <c r="E18" s="2" t="s">
        <v>754</v>
      </c>
      <c r="F18" s="42" t="s">
        <v>110</v>
      </c>
      <c r="G18" s="5" t="s">
        <v>929</v>
      </c>
      <c r="H18" s="3" t="s">
        <v>880</v>
      </c>
      <c r="J18" s="2">
        <v>1</v>
      </c>
      <c r="S18" s="46" t="s">
        <v>997</v>
      </c>
      <c r="T18" s="46">
        <v>1</v>
      </c>
      <c r="U18" s="46">
        <v>0</v>
      </c>
      <c r="V18" s="46" t="s">
        <v>988</v>
      </c>
      <c r="AA18" s="2"/>
      <c r="AG18" s="2"/>
      <c r="AJ18" s="2"/>
      <c r="AS18" s="2"/>
      <c r="AV18" s="2" t="s">
        <v>170</v>
      </c>
      <c r="AW18" s="2"/>
      <c r="BA18" s="2"/>
    </row>
    <row r="19" spans="2:53" x14ac:dyDescent="0.2">
      <c r="B19" s="2">
        <v>200</v>
      </c>
      <c r="C19" s="46" t="s">
        <v>24</v>
      </c>
      <c r="D19" s="2" t="s">
        <v>436</v>
      </c>
      <c r="E19" s="2" t="s">
        <v>70</v>
      </c>
      <c r="F19" s="42" t="s">
        <v>937</v>
      </c>
      <c r="G19" s="2" t="s">
        <v>247</v>
      </c>
      <c r="H19" s="3" t="s">
        <v>289</v>
      </c>
      <c r="M19" s="2">
        <v>1</v>
      </c>
      <c r="R19" s="2" t="s">
        <v>941</v>
      </c>
      <c r="S19" s="46" t="s">
        <v>997</v>
      </c>
      <c r="T19" s="46">
        <v>2</v>
      </c>
      <c r="U19" s="46">
        <v>20</v>
      </c>
      <c r="V19" s="46" t="s">
        <v>1008</v>
      </c>
      <c r="X19" s="2" t="s">
        <v>239</v>
      </c>
      <c r="AA19" s="2"/>
      <c r="AE19" s="2">
        <v>1</v>
      </c>
      <c r="AF19" s="2" t="s">
        <v>964</v>
      </c>
      <c r="AG19" s="27">
        <v>988.95</v>
      </c>
      <c r="AH19" s="2">
        <v>1</v>
      </c>
      <c r="AJ19" s="2"/>
      <c r="AS19" s="2"/>
      <c r="AV19" s="2" t="s">
        <v>963</v>
      </c>
      <c r="AW19" s="2"/>
      <c r="BA19" s="2"/>
    </row>
    <row r="20" spans="2:53" x14ac:dyDescent="0.2">
      <c r="B20" s="2">
        <v>200</v>
      </c>
      <c r="C20" s="46" t="s">
        <v>24</v>
      </c>
      <c r="D20" s="2" t="s">
        <v>436</v>
      </c>
      <c r="E20" s="2" t="s">
        <v>71</v>
      </c>
      <c r="F20" s="42" t="s">
        <v>72</v>
      </c>
      <c r="G20" s="2" t="s">
        <v>247</v>
      </c>
      <c r="H20" s="3" t="s">
        <v>289</v>
      </c>
      <c r="M20" s="2">
        <v>1</v>
      </c>
      <c r="R20" s="2" t="s">
        <v>941</v>
      </c>
      <c r="S20" s="46" t="s">
        <v>997</v>
      </c>
      <c r="T20" s="46">
        <v>2</v>
      </c>
      <c r="U20" s="46">
        <v>21</v>
      </c>
      <c r="V20" s="46" t="s">
        <v>1008</v>
      </c>
      <c r="X20" s="2" t="s">
        <v>239</v>
      </c>
      <c r="AA20" s="2"/>
      <c r="AE20" s="2">
        <v>1</v>
      </c>
      <c r="AF20" s="2" t="s">
        <v>964</v>
      </c>
      <c r="AG20" s="27">
        <v>988.95</v>
      </c>
      <c r="AH20" s="2">
        <v>1</v>
      </c>
      <c r="AJ20" s="2"/>
      <c r="AS20" s="2"/>
      <c r="AV20" s="2" t="s">
        <v>963</v>
      </c>
      <c r="AW20" s="2"/>
      <c r="BA20" s="2"/>
    </row>
    <row r="21" spans="2:53" x14ac:dyDescent="0.2">
      <c r="B21" s="2">
        <v>200</v>
      </c>
      <c r="C21" s="46" t="s">
        <v>24</v>
      </c>
      <c r="D21" s="2" t="s">
        <v>436</v>
      </c>
      <c r="E21" s="2" t="s">
        <v>526</v>
      </c>
      <c r="F21" s="42" t="s">
        <v>457</v>
      </c>
      <c r="G21" s="2" t="s">
        <v>247</v>
      </c>
      <c r="H21" s="3" t="s">
        <v>289</v>
      </c>
      <c r="M21" s="2">
        <v>1</v>
      </c>
      <c r="R21" s="2" t="s">
        <v>941</v>
      </c>
      <c r="S21" s="46" t="s">
        <v>997</v>
      </c>
      <c r="T21" s="46">
        <v>2</v>
      </c>
      <c r="U21" s="46">
        <v>22</v>
      </c>
      <c r="V21" s="46" t="s">
        <v>1008</v>
      </c>
      <c r="X21" s="2" t="s">
        <v>240</v>
      </c>
      <c r="AA21" s="2"/>
      <c r="AE21" s="2">
        <v>1</v>
      </c>
      <c r="AF21" s="2" t="s">
        <v>964</v>
      </c>
      <c r="AG21" s="27">
        <v>897.03</v>
      </c>
      <c r="AH21" s="2">
        <v>1</v>
      </c>
      <c r="AJ21" s="2"/>
      <c r="AS21" s="2"/>
      <c r="AV21" s="2" t="s">
        <v>965</v>
      </c>
      <c r="AW21" s="2"/>
      <c r="BA21" s="2"/>
    </row>
    <row r="22" spans="2:53" x14ac:dyDescent="0.2">
      <c r="B22" s="2">
        <v>200</v>
      </c>
      <c r="C22" s="46" t="s">
        <v>24</v>
      </c>
      <c r="D22" s="2" t="s">
        <v>436</v>
      </c>
      <c r="E22" s="2" t="s">
        <v>534</v>
      </c>
      <c r="F22" s="42" t="s">
        <v>458</v>
      </c>
      <c r="G22" s="2" t="s">
        <v>247</v>
      </c>
      <c r="H22" s="3" t="s">
        <v>289</v>
      </c>
      <c r="M22" s="2">
        <v>1</v>
      </c>
      <c r="R22" s="2" t="s">
        <v>941</v>
      </c>
      <c r="S22" s="46" t="s">
        <v>997</v>
      </c>
      <c r="T22" s="46">
        <v>2</v>
      </c>
      <c r="U22" s="46">
        <v>23</v>
      </c>
      <c r="V22" s="46" t="s">
        <v>1008</v>
      </c>
      <c r="X22" s="2" t="s">
        <v>240</v>
      </c>
      <c r="AA22" s="2"/>
      <c r="AE22" s="2">
        <v>1</v>
      </c>
      <c r="AF22" s="2" t="s">
        <v>964</v>
      </c>
      <c r="AG22" s="27">
        <v>897.03</v>
      </c>
      <c r="AH22" s="2">
        <v>1</v>
      </c>
      <c r="AJ22" s="2"/>
      <c r="AS22" s="2"/>
      <c r="AV22" s="2" t="s">
        <v>965</v>
      </c>
      <c r="AW22" s="2"/>
      <c r="BA22" s="2"/>
    </row>
    <row r="23" spans="2:53" x14ac:dyDescent="0.2">
      <c r="B23" s="2">
        <v>200</v>
      </c>
      <c r="C23" s="46" t="s">
        <v>24</v>
      </c>
      <c r="D23" s="2" t="s">
        <v>436</v>
      </c>
      <c r="E23" s="2" t="s">
        <v>527</v>
      </c>
      <c r="F23" s="42" t="s">
        <v>977</v>
      </c>
      <c r="G23" s="2" t="s">
        <v>247</v>
      </c>
      <c r="H23" s="3" t="s">
        <v>289</v>
      </c>
      <c r="M23" s="2">
        <v>1</v>
      </c>
      <c r="R23" s="2" t="s">
        <v>941</v>
      </c>
      <c r="S23" s="46" t="s">
        <v>997</v>
      </c>
      <c r="T23" s="46">
        <v>2</v>
      </c>
      <c r="U23" s="46">
        <v>24</v>
      </c>
      <c r="V23" s="46" t="s">
        <v>1008</v>
      </c>
      <c r="X23" s="2" t="s">
        <v>240</v>
      </c>
      <c r="AA23" s="2"/>
      <c r="AE23" s="2">
        <v>1</v>
      </c>
      <c r="AF23" s="2" t="s">
        <v>964</v>
      </c>
      <c r="AG23" s="27">
        <v>897.03</v>
      </c>
      <c r="AH23" s="2">
        <v>1</v>
      </c>
      <c r="AJ23" s="2"/>
      <c r="AS23" s="2"/>
      <c r="AV23" s="2" t="s">
        <v>965</v>
      </c>
      <c r="AW23" s="2"/>
      <c r="BA23" s="2"/>
    </row>
    <row r="24" spans="2:53" x14ac:dyDescent="0.2">
      <c r="B24" s="2">
        <v>200</v>
      </c>
      <c r="C24" s="46" t="s">
        <v>24</v>
      </c>
      <c r="D24" s="2" t="s">
        <v>436</v>
      </c>
      <c r="E24" s="3" t="s">
        <v>142</v>
      </c>
      <c r="F24" s="43" t="s">
        <v>514</v>
      </c>
      <c r="G24" s="5" t="s">
        <v>929</v>
      </c>
      <c r="H24" s="3" t="s">
        <v>939</v>
      </c>
      <c r="J24" s="2">
        <v>1</v>
      </c>
      <c r="R24" s="2" t="s">
        <v>941</v>
      </c>
      <c r="S24" s="46" t="s">
        <v>1017</v>
      </c>
      <c r="T24" s="46" t="s">
        <v>1017</v>
      </c>
      <c r="U24" s="46" t="s">
        <v>1017</v>
      </c>
      <c r="V24" s="46" t="s">
        <v>1017</v>
      </c>
      <c r="AA24" s="2"/>
      <c r="AG24" s="2"/>
      <c r="AJ24" s="2"/>
      <c r="AS24" s="2"/>
      <c r="AV24" s="2" t="s">
        <v>895</v>
      </c>
      <c r="AW24" s="2"/>
      <c r="BA24" s="2"/>
    </row>
    <row r="25" spans="2:53" x14ac:dyDescent="0.2">
      <c r="B25" s="2">
        <v>200</v>
      </c>
      <c r="C25" s="46" t="s">
        <v>24</v>
      </c>
      <c r="D25" s="2" t="s">
        <v>436</v>
      </c>
      <c r="E25" s="3" t="s">
        <v>143</v>
      </c>
      <c r="F25" s="43" t="s">
        <v>513</v>
      </c>
      <c r="G25" s="5" t="s">
        <v>929</v>
      </c>
      <c r="H25" s="3" t="s">
        <v>880</v>
      </c>
      <c r="J25" s="2">
        <v>1</v>
      </c>
      <c r="R25" s="2" t="s">
        <v>941</v>
      </c>
      <c r="S25" s="46" t="s">
        <v>1017</v>
      </c>
      <c r="T25" s="46" t="s">
        <v>1017</v>
      </c>
      <c r="U25" s="46" t="s">
        <v>1017</v>
      </c>
      <c r="V25" s="46" t="s">
        <v>1017</v>
      </c>
      <c r="AA25" s="2"/>
      <c r="AG25" s="2"/>
      <c r="AJ25" s="2"/>
      <c r="AS25" s="2"/>
      <c r="AV25" s="2" t="s">
        <v>895</v>
      </c>
      <c r="AW25" s="2"/>
      <c r="BA25" s="2"/>
    </row>
    <row r="26" spans="2:53" x14ac:dyDescent="0.2">
      <c r="B26" s="2">
        <v>200</v>
      </c>
      <c r="C26" s="46" t="s">
        <v>24</v>
      </c>
      <c r="D26" s="2" t="s">
        <v>436</v>
      </c>
      <c r="E26" s="3" t="s">
        <v>144</v>
      </c>
      <c r="F26" s="43" t="s">
        <v>514</v>
      </c>
      <c r="G26" s="5" t="s">
        <v>929</v>
      </c>
      <c r="H26" s="3" t="s">
        <v>880</v>
      </c>
      <c r="J26" s="2">
        <v>1</v>
      </c>
      <c r="R26" s="2" t="s">
        <v>941</v>
      </c>
      <c r="S26" s="46" t="s">
        <v>1017</v>
      </c>
      <c r="T26" s="46" t="s">
        <v>1017</v>
      </c>
      <c r="U26" s="46" t="s">
        <v>1017</v>
      </c>
      <c r="V26" s="46" t="s">
        <v>1017</v>
      </c>
      <c r="AA26" s="2"/>
      <c r="AG26" s="2"/>
      <c r="AJ26" s="2"/>
      <c r="AS26" s="2"/>
      <c r="AV26" s="2" t="s">
        <v>895</v>
      </c>
      <c r="AW26" s="2"/>
      <c r="BA26" s="2"/>
    </row>
    <row r="27" spans="2:53" x14ac:dyDescent="0.2">
      <c r="B27" s="2">
        <v>200</v>
      </c>
      <c r="C27" s="46" t="s">
        <v>24</v>
      </c>
      <c r="D27" s="2" t="s">
        <v>436</v>
      </c>
      <c r="E27" s="3" t="s">
        <v>145</v>
      </c>
      <c r="F27" s="43" t="s">
        <v>935</v>
      </c>
      <c r="G27" s="5" t="s">
        <v>929</v>
      </c>
      <c r="H27" s="3" t="s">
        <v>880</v>
      </c>
      <c r="J27" s="2">
        <v>1</v>
      </c>
      <c r="R27" s="2" t="s">
        <v>941</v>
      </c>
      <c r="S27" s="46" t="s">
        <v>1017</v>
      </c>
      <c r="T27" s="46" t="s">
        <v>1017</v>
      </c>
      <c r="U27" s="46" t="s">
        <v>1017</v>
      </c>
      <c r="V27" s="46" t="s">
        <v>1017</v>
      </c>
      <c r="AA27" s="2"/>
      <c r="AG27" s="2"/>
      <c r="AJ27" s="2"/>
      <c r="AS27" s="2"/>
      <c r="AV27" s="2" t="s">
        <v>895</v>
      </c>
      <c r="AW27" s="2"/>
      <c r="BA27" s="2"/>
    </row>
    <row r="28" spans="2:53" x14ac:dyDescent="0.2">
      <c r="B28" s="2">
        <v>200</v>
      </c>
      <c r="C28" s="46" t="s">
        <v>24</v>
      </c>
      <c r="D28" s="2" t="s">
        <v>436</v>
      </c>
      <c r="E28" s="3" t="s">
        <v>146</v>
      </c>
      <c r="F28" s="43" t="s">
        <v>515</v>
      </c>
      <c r="G28" s="5" t="s">
        <v>929</v>
      </c>
      <c r="H28" s="3" t="s">
        <v>880</v>
      </c>
      <c r="J28" s="2">
        <v>1</v>
      </c>
      <c r="R28" s="2" t="s">
        <v>941</v>
      </c>
      <c r="S28" s="46" t="s">
        <v>1017</v>
      </c>
      <c r="T28" s="46" t="s">
        <v>1017</v>
      </c>
      <c r="U28" s="46" t="s">
        <v>1017</v>
      </c>
      <c r="V28" s="46" t="s">
        <v>1017</v>
      </c>
      <c r="AA28" s="2"/>
      <c r="AG28" s="2"/>
      <c r="AJ28" s="2"/>
      <c r="AS28" s="2"/>
      <c r="AV28" s="2" t="s">
        <v>895</v>
      </c>
      <c r="AW28" s="2"/>
      <c r="BA28" s="2"/>
    </row>
    <row r="29" spans="2:53" x14ac:dyDescent="0.2">
      <c r="B29" s="2">
        <v>100</v>
      </c>
      <c r="C29" s="46" t="s">
        <v>24</v>
      </c>
      <c r="D29" s="2" t="s">
        <v>437</v>
      </c>
      <c r="E29" s="2" t="s">
        <v>440</v>
      </c>
      <c r="F29" s="42" t="s">
        <v>443</v>
      </c>
      <c r="G29" s="5" t="s">
        <v>908</v>
      </c>
      <c r="H29" s="3" t="s">
        <v>879</v>
      </c>
      <c r="I29" s="2">
        <v>1</v>
      </c>
      <c r="R29" s="3" t="s">
        <v>943</v>
      </c>
      <c r="S29" s="46" t="s">
        <v>1017</v>
      </c>
      <c r="T29" s="46" t="s">
        <v>1017</v>
      </c>
      <c r="U29" s="46" t="s">
        <v>1017</v>
      </c>
      <c r="V29" s="46" t="s">
        <v>1017</v>
      </c>
      <c r="W29" s="2">
        <v>1</v>
      </c>
      <c r="X29" s="2" t="s">
        <v>237</v>
      </c>
      <c r="Y29" s="2">
        <v>1</v>
      </c>
      <c r="Z29" s="2" t="s">
        <v>297</v>
      </c>
      <c r="AA29" s="27">
        <f>360.4+29*13</f>
        <v>737.4</v>
      </c>
      <c r="AB29" s="2">
        <v>1</v>
      </c>
      <c r="AC29" s="2" t="s">
        <v>42</v>
      </c>
      <c r="AD29" s="27">
        <v>710</v>
      </c>
      <c r="AH29" s="2">
        <v>1</v>
      </c>
      <c r="AI29" s="2" t="s">
        <v>233</v>
      </c>
      <c r="AJ29" s="27">
        <f>1554+1844</f>
        <v>3398</v>
      </c>
      <c r="AS29" s="2"/>
      <c r="AV29" s="2" t="s">
        <v>273</v>
      </c>
      <c r="AW29" s="2"/>
      <c r="BA29" s="2"/>
    </row>
    <row r="30" spans="2:53" x14ac:dyDescent="0.2">
      <c r="B30" s="2">
        <v>100</v>
      </c>
      <c r="C30" s="46" t="s">
        <v>24</v>
      </c>
      <c r="D30" s="2" t="s">
        <v>437</v>
      </c>
      <c r="E30" s="2" t="s">
        <v>781</v>
      </c>
      <c r="F30" s="42" t="s">
        <v>446</v>
      </c>
      <c r="G30" s="5" t="s">
        <v>908</v>
      </c>
      <c r="H30" s="3" t="s">
        <v>879</v>
      </c>
      <c r="I30" s="2">
        <v>1</v>
      </c>
      <c r="R30" s="3" t="s">
        <v>943</v>
      </c>
      <c r="S30" s="46" t="s">
        <v>1017</v>
      </c>
      <c r="T30" s="46" t="s">
        <v>1017</v>
      </c>
      <c r="U30" s="46" t="s">
        <v>1017</v>
      </c>
      <c r="V30" s="46" t="s">
        <v>1017</v>
      </c>
      <c r="W30" s="2">
        <v>1</v>
      </c>
      <c r="X30" s="2" t="s">
        <v>14</v>
      </c>
      <c r="Y30" s="2">
        <v>1</v>
      </c>
      <c r="Z30" s="2" t="s">
        <v>296</v>
      </c>
      <c r="AA30" s="27">
        <f>813+34*1</f>
        <v>847</v>
      </c>
      <c r="AB30" s="2">
        <v>1</v>
      </c>
      <c r="AC30" s="2" t="s">
        <v>40</v>
      </c>
      <c r="AD30" s="27">
        <v>850</v>
      </c>
      <c r="AH30" s="2">
        <v>1</v>
      </c>
      <c r="AI30" s="2" t="s">
        <v>233</v>
      </c>
      <c r="AJ30" s="27">
        <f>1321+1403</f>
        <v>2724</v>
      </c>
      <c r="AS30" s="2"/>
      <c r="AV30" s="2" t="s">
        <v>786</v>
      </c>
      <c r="AW30" s="2"/>
      <c r="BA30" s="2"/>
    </row>
    <row r="31" spans="2:53" x14ac:dyDescent="0.2">
      <c r="B31" s="2">
        <v>100</v>
      </c>
      <c r="C31" s="46" t="s">
        <v>24</v>
      </c>
      <c r="D31" s="2" t="s">
        <v>437</v>
      </c>
      <c r="E31" s="2" t="s">
        <v>782</v>
      </c>
      <c r="F31" s="42" t="s">
        <v>446</v>
      </c>
      <c r="G31" s="5" t="s">
        <v>908</v>
      </c>
      <c r="H31" s="3" t="s">
        <v>879</v>
      </c>
      <c r="I31" s="2">
        <v>1</v>
      </c>
      <c r="R31" s="3" t="s">
        <v>943</v>
      </c>
      <c r="S31" s="46" t="s">
        <v>1017</v>
      </c>
      <c r="T31" s="46" t="s">
        <v>1017</v>
      </c>
      <c r="U31" s="46" t="s">
        <v>1017</v>
      </c>
      <c r="V31" s="46" t="s">
        <v>1017</v>
      </c>
      <c r="W31" s="2">
        <v>1</v>
      </c>
      <c r="X31" s="2" t="s">
        <v>15</v>
      </c>
      <c r="Y31" s="2">
        <v>1</v>
      </c>
      <c r="Z31" s="2" t="s">
        <v>296</v>
      </c>
      <c r="AA31" s="27">
        <f>813+39*1</f>
        <v>852</v>
      </c>
      <c r="AB31" s="2">
        <v>1</v>
      </c>
      <c r="AC31" s="2" t="s">
        <v>41</v>
      </c>
      <c r="AD31" s="27">
        <v>900</v>
      </c>
      <c r="AG31" s="2"/>
      <c r="AH31" s="2">
        <v>1</v>
      </c>
      <c r="AI31" s="2" t="s">
        <v>233</v>
      </c>
      <c r="AJ31" s="27">
        <f>1321+1403</f>
        <v>2724</v>
      </c>
      <c r="AS31" s="2"/>
      <c r="AV31" s="2" t="s">
        <v>785</v>
      </c>
      <c r="AW31" s="2"/>
      <c r="BA31" s="2"/>
    </row>
    <row r="32" spans="2:53" x14ac:dyDescent="0.2">
      <c r="B32" s="2">
        <v>100</v>
      </c>
      <c r="C32" s="46" t="s">
        <v>24</v>
      </c>
      <c r="D32" s="2" t="s">
        <v>437</v>
      </c>
      <c r="E32" s="2" t="s">
        <v>924</v>
      </c>
      <c r="F32" s="42" t="s">
        <v>450</v>
      </c>
      <c r="G32" s="5" t="s">
        <v>951</v>
      </c>
      <c r="H32" s="3" t="s">
        <v>881</v>
      </c>
      <c r="K32" s="2">
        <v>1</v>
      </c>
      <c r="R32" s="3" t="s">
        <v>943</v>
      </c>
      <c r="S32" s="46" t="s">
        <v>1017</v>
      </c>
      <c r="T32" s="46" t="s">
        <v>1017</v>
      </c>
      <c r="U32" s="46" t="s">
        <v>1017</v>
      </c>
      <c r="V32" s="46" t="s">
        <v>1017</v>
      </c>
      <c r="AB32" s="2">
        <v>1</v>
      </c>
      <c r="AC32" s="2" t="s">
        <v>563</v>
      </c>
      <c r="AD32" s="27">
        <v>1930</v>
      </c>
      <c r="AG32" s="2"/>
      <c r="AH32" s="2">
        <v>1</v>
      </c>
      <c r="AJ32" s="2"/>
      <c r="AN32" s="2">
        <v>1</v>
      </c>
      <c r="AS32" s="2"/>
      <c r="AV32" s="2" t="s">
        <v>590</v>
      </c>
      <c r="AW32" s="2"/>
      <c r="BA32" s="2"/>
    </row>
    <row r="33" spans="2:53" x14ac:dyDescent="0.2">
      <c r="B33" s="2">
        <v>100</v>
      </c>
      <c r="C33" s="46" t="s">
        <v>24</v>
      </c>
      <c r="D33" s="2" t="s">
        <v>437</v>
      </c>
      <c r="E33" s="2" t="s">
        <v>755</v>
      </c>
      <c r="F33" s="42" t="s">
        <v>454</v>
      </c>
      <c r="G33" s="5" t="s">
        <v>929</v>
      </c>
      <c r="H33" s="3" t="s">
        <v>880</v>
      </c>
      <c r="J33" s="2">
        <v>1</v>
      </c>
      <c r="S33" s="46" t="s">
        <v>997</v>
      </c>
      <c r="T33" s="46">
        <v>1</v>
      </c>
      <c r="U33" s="46">
        <v>0</v>
      </c>
      <c r="V33" s="46" t="s">
        <v>988</v>
      </c>
      <c r="AA33" s="2"/>
      <c r="AG33" s="2"/>
      <c r="AJ33" s="2"/>
      <c r="AS33" s="2"/>
      <c r="AV33" s="2" t="s">
        <v>895</v>
      </c>
      <c r="AW33" s="2"/>
      <c r="BA33" s="2"/>
    </row>
    <row r="34" spans="2:53" x14ac:dyDescent="0.2">
      <c r="B34" s="2">
        <v>200</v>
      </c>
      <c r="C34" s="46" t="s">
        <v>24</v>
      </c>
      <c r="D34" s="2" t="s">
        <v>437</v>
      </c>
      <c r="E34" s="2" t="s">
        <v>543</v>
      </c>
      <c r="F34" s="42" t="s">
        <v>461</v>
      </c>
      <c r="G34" s="2" t="s">
        <v>247</v>
      </c>
      <c r="H34" s="3" t="s">
        <v>289</v>
      </c>
      <c r="M34" s="2">
        <v>1</v>
      </c>
      <c r="R34" s="3" t="s">
        <v>941</v>
      </c>
      <c r="S34" s="46" t="s">
        <v>997</v>
      </c>
      <c r="T34" s="46">
        <v>2</v>
      </c>
      <c r="U34" s="46">
        <v>26</v>
      </c>
      <c r="V34" s="46" t="s">
        <v>1008</v>
      </c>
      <c r="X34" s="2" t="s">
        <v>239</v>
      </c>
      <c r="AA34" s="2"/>
      <c r="AE34" s="2">
        <v>1</v>
      </c>
      <c r="AF34" s="2" t="s">
        <v>964</v>
      </c>
      <c r="AG34" s="27">
        <v>988.95</v>
      </c>
      <c r="AH34" s="2">
        <v>1</v>
      </c>
      <c r="AJ34" s="2"/>
      <c r="AS34" s="2"/>
      <c r="AV34" s="2" t="s">
        <v>963</v>
      </c>
      <c r="AW34" s="2"/>
      <c r="BA34" s="2"/>
    </row>
    <row r="35" spans="2:53" x14ac:dyDescent="0.2">
      <c r="B35" s="2">
        <v>200</v>
      </c>
      <c r="C35" s="46" t="s">
        <v>24</v>
      </c>
      <c r="D35" s="2" t="s">
        <v>437</v>
      </c>
      <c r="E35" s="2" t="s">
        <v>78</v>
      </c>
      <c r="F35" s="42" t="s">
        <v>73</v>
      </c>
      <c r="G35" s="2" t="s">
        <v>247</v>
      </c>
      <c r="H35" s="3" t="s">
        <v>289</v>
      </c>
      <c r="M35" s="2">
        <v>1</v>
      </c>
      <c r="R35" s="3" t="s">
        <v>941</v>
      </c>
      <c r="S35" s="46" t="s">
        <v>997</v>
      </c>
      <c r="T35" s="46">
        <v>2</v>
      </c>
      <c r="U35" s="46">
        <v>27</v>
      </c>
      <c r="V35" s="46" t="s">
        <v>1008</v>
      </c>
      <c r="X35" s="2" t="s">
        <v>239</v>
      </c>
      <c r="AA35" s="2"/>
      <c r="AE35" s="2">
        <v>1</v>
      </c>
      <c r="AF35" s="2" t="s">
        <v>964</v>
      </c>
      <c r="AG35" s="27">
        <v>988.95</v>
      </c>
      <c r="AH35" s="2">
        <v>1</v>
      </c>
      <c r="AJ35" s="2"/>
      <c r="AS35" s="2"/>
      <c r="AV35" s="2" t="s">
        <v>963</v>
      </c>
      <c r="AW35" s="2"/>
      <c r="BA35" s="2"/>
    </row>
    <row r="36" spans="2:53" x14ac:dyDescent="0.2">
      <c r="B36" s="2">
        <v>200</v>
      </c>
      <c r="C36" s="46" t="s">
        <v>24</v>
      </c>
      <c r="D36" s="2" t="s">
        <v>437</v>
      </c>
      <c r="E36" s="2" t="s">
        <v>528</v>
      </c>
      <c r="F36" s="42" t="s">
        <v>459</v>
      </c>
      <c r="G36" s="2" t="s">
        <v>247</v>
      </c>
      <c r="H36" s="3" t="s">
        <v>289</v>
      </c>
      <c r="M36" s="2">
        <v>1</v>
      </c>
      <c r="R36" s="3" t="s">
        <v>941</v>
      </c>
      <c r="S36" s="46" t="s">
        <v>997</v>
      </c>
      <c r="T36" s="46">
        <v>2</v>
      </c>
      <c r="U36" s="46">
        <v>28</v>
      </c>
      <c r="V36" s="46" t="s">
        <v>1008</v>
      </c>
      <c r="X36" s="2" t="s">
        <v>240</v>
      </c>
      <c r="AA36" s="2"/>
      <c r="AE36" s="2">
        <v>1</v>
      </c>
      <c r="AF36" s="2" t="s">
        <v>964</v>
      </c>
      <c r="AG36" s="27">
        <v>897.03</v>
      </c>
      <c r="AH36" s="2">
        <v>1</v>
      </c>
      <c r="AJ36" s="2"/>
      <c r="AS36" s="2"/>
      <c r="AV36" s="2" t="s">
        <v>965</v>
      </c>
      <c r="AW36" s="2"/>
      <c r="BA36" s="2"/>
    </row>
    <row r="37" spans="2:53" x14ac:dyDescent="0.2">
      <c r="B37" s="2">
        <v>200</v>
      </c>
      <c r="C37" s="46" t="s">
        <v>24</v>
      </c>
      <c r="D37" s="2" t="s">
        <v>437</v>
      </c>
      <c r="E37" s="2" t="s">
        <v>529</v>
      </c>
      <c r="F37" s="42" t="s">
        <v>460</v>
      </c>
      <c r="G37" s="2" t="s">
        <v>247</v>
      </c>
      <c r="H37" s="3" t="s">
        <v>289</v>
      </c>
      <c r="M37" s="2">
        <v>1</v>
      </c>
      <c r="R37" s="3" t="s">
        <v>941</v>
      </c>
      <c r="S37" s="46" t="s">
        <v>997</v>
      </c>
      <c r="T37" s="46">
        <v>2</v>
      </c>
      <c r="U37" s="46">
        <v>29</v>
      </c>
      <c r="V37" s="46" t="s">
        <v>1008</v>
      </c>
      <c r="X37" s="2" t="s">
        <v>240</v>
      </c>
      <c r="AA37" s="2"/>
      <c r="AE37" s="2">
        <v>1</v>
      </c>
      <c r="AF37" s="2" t="s">
        <v>964</v>
      </c>
      <c r="AG37" s="27">
        <v>897.03</v>
      </c>
      <c r="AH37" s="2">
        <v>1</v>
      </c>
      <c r="AJ37" s="2"/>
      <c r="AS37" s="2"/>
      <c r="AV37" s="2" t="s">
        <v>965</v>
      </c>
      <c r="AW37" s="2"/>
      <c r="BA37" s="2"/>
    </row>
    <row r="38" spans="2:53" x14ac:dyDescent="0.2">
      <c r="B38" s="2">
        <v>200</v>
      </c>
      <c r="C38" s="46" t="s">
        <v>24</v>
      </c>
      <c r="D38" s="2" t="s">
        <v>437</v>
      </c>
      <c r="E38" s="2" t="s">
        <v>530</v>
      </c>
      <c r="F38" s="42" t="s">
        <v>978</v>
      </c>
      <c r="G38" s="2" t="s">
        <v>247</v>
      </c>
      <c r="H38" s="3" t="s">
        <v>289</v>
      </c>
      <c r="M38" s="2">
        <v>1</v>
      </c>
      <c r="R38" s="3" t="s">
        <v>941</v>
      </c>
      <c r="S38" s="46" t="s">
        <v>997</v>
      </c>
      <c r="T38" s="46">
        <v>2</v>
      </c>
      <c r="U38" s="46">
        <v>30</v>
      </c>
      <c r="V38" s="46" t="s">
        <v>1008</v>
      </c>
      <c r="X38" s="2" t="s">
        <v>240</v>
      </c>
      <c r="AA38" s="2"/>
      <c r="AE38" s="2">
        <v>1</v>
      </c>
      <c r="AF38" s="2" t="s">
        <v>964</v>
      </c>
      <c r="AG38" s="27">
        <v>897.03</v>
      </c>
      <c r="AH38" s="2">
        <v>1</v>
      </c>
      <c r="AJ38" s="2"/>
      <c r="AS38" s="2"/>
      <c r="AV38" s="2" t="s">
        <v>965</v>
      </c>
      <c r="AW38" s="2"/>
      <c r="BA38" s="2"/>
    </row>
    <row r="39" spans="2:53" x14ac:dyDescent="0.2">
      <c r="B39" s="2">
        <v>200</v>
      </c>
      <c r="C39" s="46" t="s">
        <v>24</v>
      </c>
      <c r="D39" s="2" t="s">
        <v>437</v>
      </c>
      <c r="E39" s="2" t="s">
        <v>147</v>
      </c>
      <c r="F39" s="43" t="s">
        <v>517</v>
      </c>
      <c r="G39" s="5" t="s">
        <v>929</v>
      </c>
      <c r="H39" s="3" t="s">
        <v>880</v>
      </c>
      <c r="J39" s="2">
        <v>1</v>
      </c>
      <c r="R39" s="3" t="s">
        <v>941</v>
      </c>
      <c r="S39" s="46" t="s">
        <v>1017</v>
      </c>
      <c r="T39" s="46" t="s">
        <v>1017</v>
      </c>
      <c r="U39" s="46" t="s">
        <v>1017</v>
      </c>
      <c r="V39" s="46" t="s">
        <v>1017</v>
      </c>
      <c r="AA39" s="2"/>
      <c r="AG39" s="2"/>
      <c r="AJ39" s="2"/>
      <c r="AS39" s="2"/>
      <c r="AV39" s="2" t="s">
        <v>895</v>
      </c>
      <c r="AW39" s="2"/>
      <c r="BA39" s="2"/>
    </row>
    <row r="40" spans="2:53" x14ac:dyDescent="0.2">
      <c r="B40" s="2">
        <v>200</v>
      </c>
      <c r="C40" s="46" t="s">
        <v>24</v>
      </c>
      <c r="D40" s="2" t="s">
        <v>437</v>
      </c>
      <c r="E40" s="2" t="s">
        <v>148</v>
      </c>
      <c r="F40" s="43" t="s">
        <v>516</v>
      </c>
      <c r="G40" s="5" t="s">
        <v>929</v>
      </c>
      <c r="H40" s="3" t="s">
        <v>880</v>
      </c>
      <c r="J40" s="2">
        <v>1</v>
      </c>
      <c r="R40" s="3" t="s">
        <v>941</v>
      </c>
      <c r="S40" s="46" t="s">
        <v>1017</v>
      </c>
      <c r="T40" s="46" t="s">
        <v>1017</v>
      </c>
      <c r="U40" s="46" t="s">
        <v>1017</v>
      </c>
      <c r="V40" s="46" t="s">
        <v>1017</v>
      </c>
      <c r="AA40" s="2"/>
      <c r="AG40" s="2"/>
      <c r="AJ40" s="2"/>
      <c r="AS40" s="2"/>
      <c r="AV40" s="2" t="s">
        <v>895</v>
      </c>
      <c r="AW40" s="2"/>
      <c r="BA40" s="2"/>
    </row>
    <row r="41" spans="2:53" x14ac:dyDescent="0.2">
      <c r="B41" s="2">
        <v>200</v>
      </c>
      <c r="C41" s="46" t="s">
        <v>24</v>
      </c>
      <c r="D41" s="2" t="s">
        <v>437</v>
      </c>
      <c r="E41" s="2" t="s">
        <v>149</v>
      </c>
      <c r="F41" s="43" t="s">
        <v>517</v>
      </c>
      <c r="G41" s="5" t="s">
        <v>929</v>
      </c>
      <c r="H41" s="3" t="s">
        <v>880</v>
      </c>
      <c r="J41" s="2">
        <v>1</v>
      </c>
      <c r="R41" s="3" t="s">
        <v>941</v>
      </c>
      <c r="S41" s="46" t="s">
        <v>1017</v>
      </c>
      <c r="T41" s="46" t="s">
        <v>1017</v>
      </c>
      <c r="U41" s="46" t="s">
        <v>1017</v>
      </c>
      <c r="V41" s="46" t="s">
        <v>1017</v>
      </c>
      <c r="AA41" s="2"/>
      <c r="AG41" s="2"/>
      <c r="AJ41" s="2"/>
      <c r="AS41" s="2"/>
      <c r="AV41" s="2" t="s">
        <v>895</v>
      </c>
      <c r="AW41" s="2"/>
      <c r="BA41" s="2"/>
    </row>
    <row r="42" spans="2:53" x14ac:dyDescent="0.2">
      <c r="B42" s="2">
        <v>200</v>
      </c>
      <c r="C42" s="46" t="s">
        <v>24</v>
      </c>
      <c r="D42" s="2" t="s">
        <v>437</v>
      </c>
      <c r="E42" s="2" t="s">
        <v>150</v>
      </c>
      <c r="F42" s="43" t="s">
        <v>518</v>
      </c>
      <c r="G42" s="5" t="s">
        <v>929</v>
      </c>
      <c r="H42" s="3" t="s">
        <v>880</v>
      </c>
      <c r="J42" s="2">
        <v>1</v>
      </c>
      <c r="R42" s="3" t="s">
        <v>941</v>
      </c>
      <c r="S42" s="46" t="s">
        <v>1017</v>
      </c>
      <c r="T42" s="46" t="s">
        <v>1017</v>
      </c>
      <c r="U42" s="46" t="s">
        <v>1017</v>
      </c>
      <c r="V42" s="46" t="s">
        <v>1017</v>
      </c>
      <c r="AA42" s="2"/>
      <c r="AG42" s="2"/>
      <c r="AJ42" s="2"/>
      <c r="AS42" s="2"/>
      <c r="AV42" s="2" t="s">
        <v>895</v>
      </c>
      <c r="AW42" s="2"/>
      <c r="BA42" s="2"/>
    </row>
    <row r="43" spans="2:53" x14ac:dyDescent="0.2">
      <c r="B43" s="2">
        <v>200</v>
      </c>
      <c r="C43" s="46" t="s">
        <v>24</v>
      </c>
      <c r="D43" s="2" t="s">
        <v>437</v>
      </c>
      <c r="E43" s="2" t="s">
        <v>151</v>
      </c>
      <c r="F43" s="43" t="s">
        <v>519</v>
      </c>
      <c r="G43" s="5" t="s">
        <v>929</v>
      </c>
      <c r="H43" s="3" t="s">
        <v>880</v>
      </c>
      <c r="J43" s="2">
        <v>1</v>
      </c>
      <c r="R43" s="3" t="s">
        <v>941</v>
      </c>
      <c r="S43" s="46" t="s">
        <v>1017</v>
      </c>
      <c r="T43" s="46" t="s">
        <v>1017</v>
      </c>
      <c r="U43" s="46" t="s">
        <v>1017</v>
      </c>
      <c r="V43" s="46" t="s">
        <v>1017</v>
      </c>
      <c r="AA43" s="2"/>
      <c r="AG43" s="2"/>
      <c r="AJ43" s="2"/>
      <c r="AS43" s="2"/>
      <c r="AV43" s="2" t="s">
        <v>895</v>
      </c>
      <c r="AW43" s="2"/>
      <c r="BA43" s="2"/>
    </row>
    <row r="44" spans="2:53" ht="25.5" x14ac:dyDescent="0.2">
      <c r="B44" s="2">
        <v>100</v>
      </c>
      <c r="C44" s="46" t="s">
        <v>24</v>
      </c>
      <c r="D44" s="2" t="s">
        <v>438</v>
      </c>
      <c r="E44" s="2" t="s">
        <v>718</v>
      </c>
      <c r="F44" s="43" t="s">
        <v>934</v>
      </c>
      <c r="G44" s="2" t="s">
        <v>247</v>
      </c>
      <c r="H44" s="3" t="s">
        <v>289</v>
      </c>
      <c r="M44" s="2">
        <v>1</v>
      </c>
      <c r="S44" s="46" t="s">
        <v>997</v>
      </c>
      <c r="T44" s="46">
        <v>1</v>
      </c>
      <c r="U44" s="46">
        <v>70</v>
      </c>
      <c r="V44" s="46" t="s">
        <v>996</v>
      </c>
      <c r="X44" s="2" t="s">
        <v>239</v>
      </c>
      <c r="AA44" s="2"/>
      <c r="AG44" s="2"/>
      <c r="AJ44" s="2"/>
      <c r="AS44" s="2"/>
      <c r="AV44" s="2" t="s">
        <v>963</v>
      </c>
      <c r="AW44" s="2"/>
      <c r="BA44" s="2"/>
    </row>
    <row r="45" spans="2:53" x14ac:dyDescent="0.2">
      <c r="B45" s="2">
        <v>100</v>
      </c>
      <c r="C45" s="46" t="s">
        <v>24</v>
      </c>
      <c r="D45" s="2" t="s">
        <v>438</v>
      </c>
      <c r="E45" s="2" t="s">
        <v>441</v>
      </c>
      <c r="F45" s="42" t="s">
        <v>444</v>
      </c>
      <c r="G45" s="5" t="s">
        <v>908</v>
      </c>
      <c r="H45" s="3" t="s">
        <v>879</v>
      </c>
      <c r="I45" s="2">
        <v>1</v>
      </c>
      <c r="R45" s="3" t="s">
        <v>943</v>
      </c>
      <c r="S45" s="46" t="s">
        <v>1017</v>
      </c>
      <c r="T45" s="46" t="s">
        <v>1017</v>
      </c>
      <c r="U45" s="46" t="s">
        <v>1017</v>
      </c>
      <c r="V45" s="46" t="s">
        <v>1017</v>
      </c>
      <c r="W45" s="2">
        <v>1</v>
      </c>
      <c r="X45" s="2" t="s">
        <v>237</v>
      </c>
      <c r="Y45" s="2">
        <v>1</v>
      </c>
      <c r="Z45" s="2" t="s">
        <v>297</v>
      </c>
      <c r="AA45" s="27">
        <f>360.4+19*13</f>
        <v>607.4</v>
      </c>
      <c r="AB45" s="2">
        <v>1</v>
      </c>
      <c r="AC45" s="2" t="s">
        <v>37</v>
      </c>
      <c r="AD45" s="27">
        <v>610</v>
      </c>
      <c r="AH45" s="2">
        <v>1</v>
      </c>
      <c r="AI45" s="2" t="s">
        <v>233</v>
      </c>
      <c r="AJ45" s="27">
        <f>1554+1844</f>
        <v>3398</v>
      </c>
      <c r="AS45" s="2"/>
      <c r="AV45" s="2" t="s">
        <v>272</v>
      </c>
      <c r="AW45" s="2"/>
      <c r="BA45" s="2"/>
    </row>
    <row r="46" spans="2:53" x14ac:dyDescent="0.2">
      <c r="B46" s="2">
        <v>100</v>
      </c>
      <c r="C46" s="46" t="s">
        <v>24</v>
      </c>
      <c r="D46" s="2" t="s">
        <v>438</v>
      </c>
      <c r="E46" s="2" t="s">
        <v>783</v>
      </c>
      <c r="F46" s="42" t="s">
        <v>447</v>
      </c>
      <c r="G46" s="5" t="s">
        <v>908</v>
      </c>
      <c r="H46" s="3" t="s">
        <v>879</v>
      </c>
      <c r="I46" s="2">
        <v>1</v>
      </c>
      <c r="R46" s="3" t="s">
        <v>943</v>
      </c>
      <c r="S46" s="46" t="s">
        <v>1017</v>
      </c>
      <c r="T46" s="46" t="s">
        <v>1017</v>
      </c>
      <c r="U46" s="46" t="s">
        <v>1017</v>
      </c>
      <c r="V46" s="46" t="s">
        <v>1017</v>
      </c>
      <c r="W46" s="2">
        <v>1</v>
      </c>
      <c r="X46" s="2" t="s">
        <v>215</v>
      </c>
      <c r="Y46" s="2">
        <v>1</v>
      </c>
      <c r="Z46" s="2" t="s">
        <v>296</v>
      </c>
      <c r="AA46" s="27">
        <f>813+24*1</f>
        <v>837</v>
      </c>
      <c r="AB46" s="2">
        <v>1</v>
      </c>
      <c r="AC46" s="2" t="s">
        <v>38</v>
      </c>
      <c r="AD46" s="27">
        <v>750</v>
      </c>
      <c r="AH46" s="2">
        <v>1</v>
      </c>
      <c r="AI46" s="2" t="s">
        <v>233</v>
      </c>
      <c r="AJ46" s="27">
        <f>1321+1403</f>
        <v>2724</v>
      </c>
      <c r="AS46" s="2"/>
      <c r="AV46" s="2" t="s">
        <v>788</v>
      </c>
      <c r="AW46" s="2"/>
      <c r="BA46" s="2"/>
    </row>
    <row r="47" spans="2:53" x14ac:dyDescent="0.2">
      <c r="B47" s="2">
        <v>100</v>
      </c>
      <c r="C47" s="46" t="s">
        <v>24</v>
      </c>
      <c r="D47" s="2" t="s">
        <v>438</v>
      </c>
      <c r="E47" s="2" t="s">
        <v>784</v>
      </c>
      <c r="F47" s="42" t="s">
        <v>447</v>
      </c>
      <c r="G47" s="5" t="s">
        <v>908</v>
      </c>
      <c r="H47" s="3" t="s">
        <v>879</v>
      </c>
      <c r="I47" s="2">
        <v>1</v>
      </c>
      <c r="R47" s="3" t="s">
        <v>943</v>
      </c>
      <c r="S47" s="46" t="s">
        <v>1017</v>
      </c>
      <c r="T47" s="46" t="s">
        <v>1017</v>
      </c>
      <c r="U47" s="46" t="s">
        <v>1017</v>
      </c>
      <c r="V47" s="46" t="s">
        <v>1017</v>
      </c>
      <c r="W47" s="2">
        <v>1</v>
      </c>
      <c r="X47" s="2" t="s">
        <v>216</v>
      </c>
      <c r="Y47" s="2">
        <v>1</v>
      </c>
      <c r="Z47" s="2" t="s">
        <v>296</v>
      </c>
      <c r="AA47" s="27">
        <f>813+29*1</f>
        <v>842</v>
      </c>
      <c r="AB47" s="2">
        <v>1</v>
      </c>
      <c r="AC47" s="2" t="s">
        <v>39</v>
      </c>
      <c r="AD47" s="27">
        <v>800</v>
      </c>
      <c r="AG47" s="2"/>
      <c r="AH47" s="2">
        <v>1</v>
      </c>
      <c r="AI47" s="2" t="s">
        <v>233</v>
      </c>
      <c r="AJ47" s="27">
        <f>1321+1403</f>
        <v>2724</v>
      </c>
      <c r="AS47" s="2"/>
      <c r="AV47" s="2" t="s">
        <v>787</v>
      </c>
      <c r="AW47" s="2"/>
      <c r="BA47" s="2"/>
    </row>
    <row r="48" spans="2:53" x14ac:dyDescent="0.2">
      <c r="B48" s="2">
        <v>100</v>
      </c>
      <c r="C48" s="46" t="s">
        <v>24</v>
      </c>
      <c r="D48" s="2" t="s">
        <v>438</v>
      </c>
      <c r="E48" s="2" t="s">
        <v>925</v>
      </c>
      <c r="F48" s="42" t="s">
        <v>449</v>
      </c>
      <c r="G48" s="5" t="s">
        <v>951</v>
      </c>
      <c r="H48" s="3" t="s">
        <v>881</v>
      </c>
      <c r="K48" s="2">
        <v>1</v>
      </c>
      <c r="R48" s="3" t="s">
        <v>943</v>
      </c>
      <c r="S48" s="46" t="s">
        <v>1017</v>
      </c>
      <c r="T48" s="46" t="s">
        <v>1017</v>
      </c>
      <c r="U48" s="46" t="s">
        <v>1017</v>
      </c>
      <c r="V48" s="46" t="s">
        <v>1017</v>
      </c>
      <c r="AB48" s="2">
        <v>1</v>
      </c>
      <c r="AC48" s="2" t="s">
        <v>563</v>
      </c>
      <c r="AD48" s="27">
        <v>1930</v>
      </c>
      <c r="AG48" s="2"/>
      <c r="AH48" s="2">
        <v>1</v>
      </c>
      <c r="AJ48" s="2"/>
      <c r="AN48" s="2">
        <v>1</v>
      </c>
      <c r="AS48" s="2"/>
      <c r="AV48" s="2" t="s">
        <v>590</v>
      </c>
      <c r="AW48" s="2"/>
      <c r="BA48" s="2"/>
    </row>
    <row r="49" spans="2:53" x14ac:dyDescent="0.2">
      <c r="B49" s="2">
        <v>100</v>
      </c>
      <c r="C49" s="46" t="s">
        <v>24</v>
      </c>
      <c r="D49" s="2" t="s">
        <v>438</v>
      </c>
      <c r="E49" s="2" t="s">
        <v>756</v>
      </c>
      <c r="F49" s="42" t="s">
        <v>453</v>
      </c>
      <c r="G49" s="5" t="s">
        <v>929</v>
      </c>
      <c r="H49" s="3" t="s">
        <v>880</v>
      </c>
      <c r="J49" s="2">
        <v>1</v>
      </c>
      <c r="R49" s="3" t="s">
        <v>943</v>
      </c>
      <c r="S49" s="46" t="s">
        <v>997</v>
      </c>
      <c r="T49" s="46">
        <v>1</v>
      </c>
      <c r="U49" s="46">
        <v>0</v>
      </c>
      <c r="V49" s="46" t="s">
        <v>988</v>
      </c>
      <c r="AA49" s="2"/>
      <c r="AG49" s="2"/>
      <c r="AJ49" s="2"/>
      <c r="AS49" s="2"/>
      <c r="AV49" s="2" t="s">
        <v>895</v>
      </c>
      <c r="AW49" s="2"/>
      <c r="BA49" s="2"/>
    </row>
    <row r="50" spans="2:53" x14ac:dyDescent="0.2">
      <c r="B50" s="2">
        <v>200</v>
      </c>
      <c r="C50" s="46" t="s">
        <v>24</v>
      </c>
      <c r="D50" s="2" t="s">
        <v>438</v>
      </c>
      <c r="E50" s="2" t="s">
        <v>525</v>
      </c>
      <c r="F50" s="42" t="s">
        <v>75</v>
      </c>
      <c r="G50" s="2" t="s">
        <v>247</v>
      </c>
      <c r="H50" s="3" t="s">
        <v>289</v>
      </c>
      <c r="M50" s="2">
        <v>1</v>
      </c>
      <c r="R50" s="3" t="s">
        <v>941</v>
      </c>
      <c r="S50" s="46" t="s">
        <v>1017</v>
      </c>
      <c r="T50" s="46" t="s">
        <v>1017</v>
      </c>
      <c r="U50" s="46" t="s">
        <v>1017</v>
      </c>
      <c r="V50" s="46" t="s">
        <v>1017</v>
      </c>
      <c r="X50" s="2" t="s">
        <v>239</v>
      </c>
      <c r="AA50" s="2"/>
      <c r="AE50" s="2">
        <v>1</v>
      </c>
      <c r="AF50" s="2" t="s">
        <v>964</v>
      </c>
      <c r="AG50" s="27">
        <v>988.95</v>
      </c>
      <c r="AH50" s="2">
        <v>1</v>
      </c>
      <c r="AJ50" s="2"/>
      <c r="AS50" s="2"/>
      <c r="AV50" s="2" t="s">
        <v>963</v>
      </c>
      <c r="AW50" s="2"/>
      <c r="BA50" s="2"/>
    </row>
    <row r="51" spans="2:53" x14ac:dyDescent="0.2">
      <c r="B51" s="2">
        <v>200</v>
      </c>
      <c r="C51" s="46" t="s">
        <v>24</v>
      </c>
      <c r="D51" s="2" t="s">
        <v>438</v>
      </c>
      <c r="E51" s="2" t="s">
        <v>76</v>
      </c>
      <c r="F51" s="42" t="s">
        <v>74</v>
      </c>
      <c r="G51" s="2" t="s">
        <v>247</v>
      </c>
      <c r="H51" s="3" t="s">
        <v>289</v>
      </c>
      <c r="M51" s="2">
        <v>1</v>
      </c>
      <c r="R51" s="3" t="s">
        <v>941</v>
      </c>
      <c r="S51" s="46" t="s">
        <v>997</v>
      </c>
      <c r="T51" s="46">
        <v>2</v>
      </c>
      <c r="U51" s="46">
        <v>32</v>
      </c>
      <c r="V51" s="46" t="s">
        <v>1008</v>
      </c>
      <c r="X51" s="2" t="s">
        <v>239</v>
      </c>
      <c r="AA51" s="2"/>
      <c r="AE51" s="2">
        <v>1</v>
      </c>
      <c r="AF51" s="2" t="s">
        <v>964</v>
      </c>
      <c r="AG51" s="27">
        <v>988.95</v>
      </c>
      <c r="AH51" s="2">
        <v>1</v>
      </c>
      <c r="AJ51" s="2"/>
      <c r="AS51" s="2"/>
      <c r="AV51" s="2" t="s">
        <v>963</v>
      </c>
      <c r="AW51" s="2"/>
      <c r="BA51" s="2"/>
    </row>
    <row r="52" spans="2:53" x14ac:dyDescent="0.2">
      <c r="B52" s="2">
        <v>200</v>
      </c>
      <c r="C52" s="46" t="s">
        <v>24</v>
      </c>
      <c r="D52" s="2" t="s">
        <v>438</v>
      </c>
      <c r="E52" s="2" t="s">
        <v>532</v>
      </c>
      <c r="F52" s="42" t="s">
        <v>463</v>
      </c>
      <c r="G52" s="2" t="s">
        <v>247</v>
      </c>
      <c r="H52" s="3" t="s">
        <v>289</v>
      </c>
      <c r="M52" s="2">
        <v>1</v>
      </c>
      <c r="R52" s="3" t="s">
        <v>941</v>
      </c>
      <c r="S52" s="46" t="s">
        <v>997</v>
      </c>
      <c r="T52" s="46">
        <v>2</v>
      </c>
      <c r="U52" s="46">
        <v>35</v>
      </c>
      <c r="V52" s="46" t="s">
        <v>1008</v>
      </c>
      <c r="X52" s="2" t="s">
        <v>240</v>
      </c>
      <c r="AA52" s="2"/>
      <c r="AE52" s="2">
        <v>1</v>
      </c>
      <c r="AF52" s="2" t="s">
        <v>964</v>
      </c>
      <c r="AG52" s="27">
        <v>897.03</v>
      </c>
      <c r="AH52" s="2">
        <v>1</v>
      </c>
      <c r="AJ52" s="2"/>
      <c r="AS52" s="2"/>
      <c r="AV52" s="2" t="s">
        <v>965</v>
      </c>
      <c r="AW52" s="2"/>
      <c r="BA52" s="2"/>
    </row>
    <row r="53" spans="2:53" x14ac:dyDescent="0.2">
      <c r="B53" s="2">
        <v>200</v>
      </c>
      <c r="C53" s="46" t="s">
        <v>24</v>
      </c>
      <c r="D53" s="2" t="s">
        <v>438</v>
      </c>
      <c r="E53" s="2" t="s">
        <v>533</v>
      </c>
      <c r="F53" s="42" t="s">
        <v>979</v>
      </c>
      <c r="G53" s="2" t="s">
        <v>247</v>
      </c>
      <c r="H53" s="3" t="s">
        <v>289</v>
      </c>
      <c r="M53" s="2">
        <v>1</v>
      </c>
      <c r="R53" s="3" t="s">
        <v>941</v>
      </c>
      <c r="S53" s="46" t="s">
        <v>997</v>
      </c>
      <c r="T53" s="46">
        <v>2</v>
      </c>
      <c r="U53" s="46">
        <v>36</v>
      </c>
      <c r="V53" s="46" t="s">
        <v>1008</v>
      </c>
      <c r="X53" s="2" t="s">
        <v>240</v>
      </c>
      <c r="AA53" s="2"/>
      <c r="AE53" s="2">
        <v>1</v>
      </c>
      <c r="AF53" s="2" t="s">
        <v>964</v>
      </c>
      <c r="AG53" s="27">
        <v>897.03</v>
      </c>
      <c r="AH53" s="2">
        <v>1</v>
      </c>
      <c r="AJ53" s="2"/>
      <c r="AS53" s="2"/>
      <c r="AV53" s="2" t="s">
        <v>965</v>
      </c>
      <c r="AW53" s="2"/>
      <c r="BA53" s="2"/>
    </row>
    <row r="54" spans="2:53" x14ac:dyDescent="0.2">
      <c r="B54" s="2">
        <v>200</v>
      </c>
      <c r="C54" s="46" t="s">
        <v>24</v>
      </c>
      <c r="D54" s="2" t="s">
        <v>438</v>
      </c>
      <c r="E54" s="2" t="s">
        <v>77</v>
      </c>
      <c r="F54" s="42" t="s">
        <v>462</v>
      </c>
      <c r="G54" s="2" t="s">
        <v>247</v>
      </c>
      <c r="H54" s="3" t="s">
        <v>289</v>
      </c>
      <c r="M54" s="2">
        <v>1</v>
      </c>
      <c r="R54" s="3" t="s">
        <v>941</v>
      </c>
      <c r="S54" s="46" t="s">
        <v>1017</v>
      </c>
      <c r="T54" s="46" t="s">
        <v>1017</v>
      </c>
      <c r="U54" s="46" t="s">
        <v>1017</v>
      </c>
      <c r="V54" s="46" t="s">
        <v>1017</v>
      </c>
      <c r="X54" s="2" t="s">
        <v>240</v>
      </c>
      <c r="AA54" s="2"/>
      <c r="AE54" s="2">
        <v>1</v>
      </c>
      <c r="AF54" s="2" t="s">
        <v>964</v>
      </c>
      <c r="AG54" s="27">
        <v>897.03</v>
      </c>
      <c r="AH54" s="2">
        <v>1</v>
      </c>
      <c r="AJ54" s="2"/>
      <c r="AS54" s="2"/>
      <c r="AV54" s="2" t="s">
        <v>965</v>
      </c>
      <c r="AW54" s="2"/>
      <c r="BA54" s="2"/>
    </row>
    <row r="55" spans="2:53" x14ac:dyDescent="0.2">
      <c r="B55" s="2">
        <v>200</v>
      </c>
      <c r="C55" s="46" t="s">
        <v>24</v>
      </c>
      <c r="D55" s="2" t="s">
        <v>438</v>
      </c>
      <c r="E55" s="2" t="s">
        <v>152</v>
      </c>
      <c r="F55" s="43" t="s">
        <v>520</v>
      </c>
      <c r="G55" s="5" t="s">
        <v>929</v>
      </c>
      <c r="H55" s="3" t="s">
        <v>880</v>
      </c>
      <c r="J55" s="2">
        <v>1</v>
      </c>
      <c r="R55" s="3" t="s">
        <v>941</v>
      </c>
      <c r="S55" s="46" t="s">
        <v>1017</v>
      </c>
      <c r="T55" s="46" t="s">
        <v>1017</v>
      </c>
      <c r="U55" s="46" t="s">
        <v>1017</v>
      </c>
      <c r="V55" s="46" t="s">
        <v>1017</v>
      </c>
      <c r="AA55" s="2"/>
      <c r="AG55" s="2"/>
      <c r="AJ55" s="2"/>
      <c r="AS55" s="2"/>
      <c r="AV55" s="2" t="s">
        <v>895</v>
      </c>
      <c r="AW55" s="2"/>
      <c r="BA55" s="2"/>
    </row>
    <row r="56" spans="2:53" x14ac:dyDescent="0.2">
      <c r="B56" s="2">
        <v>200</v>
      </c>
      <c r="C56" s="46" t="s">
        <v>24</v>
      </c>
      <c r="D56" s="2" t="s">
        <v>438</v>
      </c>
      <c r="E56" s="2" t="s">
        <v>153</v>
      </c>
      <c r="F56" s="43" t="s">
        <v>521</v>
      </c>
      <c r="G56" s="5" t="s">
        <v>929</v>
      </c>
      <c r="H56" s="3" t="s">
        <v>880</v>
      </c>
      <c r="J56" s="2">
        <v>1</v>
      </c>
      <c r="R56" s="3" t="s">
        <v>941</v>
      </c>
      <c r="S56" s="46" t="s">
        <v>1017</v>
      </c>
      <c r="T56" s="46" t="s">
        <v>1017</v>
      </c>
      <c r="U56" s="46" t="s">
        <v>1017</v>
      </c>
      <c r="V56" s="46" t="s">
        <v>1017</v>
      </c>
      <c r="AA56" s="2"/>
      <c r="AG56" s="2"/>
      <c r="AJ56" s="2"/>
      <c r="AS56" s="2"/>
      <c r="AV56" s="2" t="s">
        <v>895</v>
      </c>
      <c r="AW56" s="2"/>
      <c r="BA56" s="2"/>
    </row>
    <row r="57" spans="2:53" x14ac:dyDescent="0.2">
      <c r="B57" s="2">
        <v>200</v>
      </c>
      <c r="C57" s="46" t="s">
        <v>24</v>
      </c>
      <c r="D57" s="2" t="s">
        <v>438</v>
      </c>
      <c r="E57" s="2" t="s">
        <v>154</v>
      </c>
      <c r="F57" s="43" t="s">
        <v>522</v>
      </c>
      <c r="G57" s="5" t="s">
        <v>929</v>
      </c>
      <c r="H57" s="3" t="s">
        <v>880</v>
      </c>
      <c r="J57" s="2">
        <v>1</v>
      </c>
      <c r="R57" s="3" t="s">
        <v>941</v>
      </c>
      <c r="S57" s="46" t="s">
        <v>1017</v>
      </c>
      <c r="T57" s="46" t="s">
        <v>1017</v>
      </c>
      <c r="U57" s="46" t="s">
        <v>1017</v>
      </c>
      <c r="V57" s="46" t="s">
        <v>1017</v>
      </c>
      <c r="AA57" s="2"/>
      <c r="AG57" s="2"/>
      <c r="AJ57" s="2"/>
      <c r="AS57" s="2"/>
      <c r="AV57" s="2" t="s">
        <v>895</v>
      </c>
      <c r="AW57" s="2"/>
      <c r="BA57" s="2"/>
    </row>
    <row r="58" spans="2:53" x14ac:dyDescent="0.2">
      <c r="B58" s="2">
        <v>200</v>
      </c>
      <c r="C58" s="46" t="s">
        <v>24</v>
      </c>
      <c r="D58" s="2" t="s">
        <v>438</v>
      </c>
      <c r="E58" s="2" t="s">
        <v>155</v>
      </c>
      <c r="F58" s="43" t="s">
        <v>523</v>
      </c>
      <c r="G58" s="5" t="s">
        <v>929</v>
      </c>
      <c r="H58" s="3" t="s">
        <v>880</v>
      </c>
      <c r="J58" s="2">
        <v>1</v>
      </c>
      <c r="R58" s="3" t="s">
        <v>941</v>
      </c>
      <c r="S58" s="46" t="s">
        <v>1017</v>
      </c>
      <c r="T58" s="46" t="s">
        <v>1017</v>
      </c>
      <c r="U58" s="46" t="s">
        <v>1017</v>
      </c>
      <c r="V58" s="46" t="s">
        <v>1017</v>
      </c>
      <c r="AA58" s="2"/>
      <c r="AG58" s="2"/>
      <c r="AJ58" s="2"/>
      <c r="AS58" s="2"/>
      <c r="AV58" s="2" t="s">
        <v>895</v>
      </c>
      <c r="AW58" s="2"/>
      <c r="BA58" s="2"/>
    </row>
    <row r="59" spans="2:53" x14ac:dyDescent="0.2">
      <c r="B59" s="2">
        <v>200</v>
      </c>
      <c r="C59" s="46" t="s">
        <v>24</v>
      </c>
      <c r="D59" s="2" t="s">
        <v>438</v>
      </c>
      <c r="E59" s="2" t="s">
        <v>156</v>
      </c>
      <c r="F59" s="43" t="s">
        <v>524</v>
      </c>
      <c r="G59" s="5" t="s">
        <v>929</v>
      </c>
      <c r="H59" s="3" t="s">
        <v>880</v>
      </c>
      <c r="J59" s="2">
        <v>1</v>
      </c>
      <c r="R59" s="3" t="s">
        <v>941</v>
      </c>
      <c r="S59" s="46" t="s">
        <v>1017</v>
      </c>
      <c r="T59" s="46" t="s">
        <v>1017</v>
      </c>
      <c r="U59" s="46" t="s">
        <v>1017</v>
      </c>
      <c r="V59" s="46" t="s">
        <v>1017</v>
      </c>
      <c r="AA59" s="2"/>
      <c r="AG59" s="2"/>
      <c r="AJ59" s="2"/>
      <c r="AS59" s="2"/>
      <c r="AV59" s="2" t="s">
        <v>895</v>
      </c>
      <c r="AW59" s="2"/>
      <c r="BA59" s="2"/>
    </row>
    <row r="60" spans="2:53" ht="25.5" x14ac:dyDescent="0.2">
      <c r="B60" s="2">
        <v>600</v>
      </c>
      <c r="C60" s="46" t="s">
        <v>823</v>
      </c>
      <c r="D60" s="2" t="s">
        <v>823</v>
      </c>
      <c r="E60" s="3" t="s">
        <v>824</v>
      </c>
      <c r="F60" s="43" t="s">
        <v>825</v>
      </c>
      <c r="G60" s="3" t="s">
        <v>553</v>
      </c>
      <c r="H60" s="2" t="s">
        <v>881</v>
      </c>
      <c r="K60" s="2">
        <v>1</v>
      </c>
      <c r="O60" s="2">
        <v>2</v>
      </c>
      <c r="P60" s="2">
        <v>12</v>
      </c>
      <c r="Q60" s="2" t="s">
        <v>352</v>
      </c>
      <c r="S60" s="46" t="s">
        <v>1017</v>
      </c>
      <c r="T60" s="46" t="s">
        <v>1017</v>
      </c>
      <c r="U60" s="46" t="s">
        <v>1017</v>
      </c>
      <c r="V60" s="46" t="s">
        <v>1017</v>
      </c>
      <c r="AJ60" s="2"/>
      <c r="AS60" s="2"/>
      <c r="AV60" s="3"/>
      <c r="AW60" s="3"/>
      <c r="BA60" s="2"/>
    </row>
    <row r="61" spans="2:53" x14ac:dyDescent="0.2">
      <c r="B61" s="2">
        <v>100</v>
      </c>
      <c r="C61" s="46" t="s">
        <v>20</v>
      </c>
      <c r="D61" s="2" t="s">
        <v>316</v>
      </c>
      <c r="E61" s="2" t="s">
        <v>316</v>
      </c>
      <c r="F61" s="42" t="s">
        <v>361</v>
      </c>
      <c r="G61" s="3"/>
      <c r="H61" s="3" t="s">
        <v>876</v>
      </c>
      <c r="N61" s="2">
        <v>1</v>
      </c>
      <c r="R61" s="2" t="s">
        <v>940</v>
      </c>
      <c r="S61" s="46" t="s">
        <v>997</v>
      </c>
      <c r="T61" s="46">
        <v>1</v>
      </c>
      <c r="U61" s="46">
        <v>90</v>
      </c>
      <c r="V61" s="46" t="s">
        <v>986</v>
      </c>
      <c r="AA61" s="2"/>
      <c r="AG61" s="2"/>
      <c r="AJ61" s="2"/>
      <c r="AS61" s="2"/>
      <c r="AT61" s="2">
        <v>1</v>
      </c>
      <c r="AV61" s="2" t="s">
        <v>248</v>
      </c>
      <c r="AW61" s="27">
        <f>24954*0.9</f>
        <v>22458.600000000002</v>
      </c>
      <c r="AX61" s="1">
        <v>355</v>
      </c>
      <c r="AY61" s="2" t="s">
        <v>877</v>
      </c>
      <c r="BA61" s="2"/>
    </row>
    <row r="62" spans="2:53" ht="13.5" customHeight="1" x14ac:dyDescent="0.2">
      <c r="B62" s="2">
        <v>100</v>
      </c>
      <c r="C62" s="46" t="s">
        <v>20</v>
      </c>
      <c r="D62" s="2" t="s">
        <v>316</v>
      </c>
      <c r="E62" s="3" t="s">
        <v>100</v>
      </c>
      <c r="F62" s="43" t="s">
        <v>105</v>
      </c>
      <c r="G62" s="3" t="s">
        <v>552</v>
      </c>
      <c r="H62" s="3" t="s">
        <v>881</v>
      </c>
      <c r="K62" s="2">
        <v>1</v>
      </c>
      <c r="R62" s="2" t="s">
        <v>940</v>
      </c>
      <c r="S62" s="46" t="s">
        <v>1017</v>
      </c>
      <c r="T62" s="46" t="s">
        <v>1017</v>
      </c>
      <c r="U62" s="46" t="s">
        <v>1017</v>
      </c>
      <c r="V62" s="46" t="s">
        <v>1017</v>
      </c>
      <c r="AB62" s="2">
        <v>1</v>
      </c>
      <c r="AC62" s="2" t="s">
        <v>564</v>
      </c>
      <c r="AD62" s="27">
        <v>269</v>
      </c>
      <c r="AG62" s="2"/>
      <c r="AH62" s="2">
        <v>1</v>
      </c>
      <c r="AI62" s="2" t="s">
        <v>233</v>
      </c>
      <c r="AJ62" s="2">
        <v>210</v>
      </c>
      <c r="AK62" s="2">
        <v>1</v>
      </c>
      <c r="AL62" s="2" t="s">
        <v>207</v>
      </c>
      <c r="AM62" s="2">
        <f>346+23</f>
        <v>369</v>
      </c>
      <c r="AS62" s="2"/>
      <c r="AV62" s="2" t="s">
        <v>591</v>
      </c>
      <c r="AW62" s="2"/>
      <c r="BA62" s="2"/>
    </row>
    <row r="63" spans="2:53" x14ac:dyDescent="0.2">
      <c r="B63" s="2">
        <v>100</v>
      </c>
      <c r="C63" s="46" t="s">
        <v>20</v>
      </c>
      <c r="D63" s="3" t="s">
        <v>316</v>
      </c>
      <c r="E63" s="3" t="s">
        <v>919</v>
      </c>
      <c r="F63" s="43" t="s">
        <v>854</v>
      </c>
      <c r="G63" s="5" t="s">
        <v>908</v>
      </c>
      <c r="H63" s="3" t="s">
        <v>879</v>
      </c>
      <c r="I63" s="2">
        <v>1</v>
      </c>
      <c r="R63" s="2" t="s">
        <v>940</v>
      </c>
      <c r="S63" s="46" t="s">
        <v>1017</v>
      </c>
      <c r="T63" s="46" t="s">
        <v>1017</v>
      </c>
      <c r="U63" s="46" t="s">
        <v>1017</v>
      </c>
      <c r="V63" s="46" t="s">
        <v>1017</v>
      </c>
      <c r="W63" s="2">
        <v>1</v>
      </c>
      <c r="X63" s="2" t="s">
        <v>236</v>
      </c>
      <c r="Y63" s="2">
        <v>1</v>
      </c>
      <c r="Z63" s="2" t="s">
        <v>297</v>
      </c>
      <c r="AA63" s="27">
        <v>492.8</v>
      </c>
      <c r="AB63" s="2">
        <v>1</v>
      </c>
      <c r="AC63" s="2" t="s">
        <v>43</v>
      </c>
      <c r="AD63" s="27">
        <v>126</v>
      </c>
      <c r="AH63" s="2">
        <v>1</v>
      </c>
      <c r="AI63" s="2" t="s">
        <v>233</v>
      </c>
      <c r="AJ63" s="27">
        <v>465</v>
      </c>
      <c r="AS63" s="2"/>
      <c r="AV63" s="2" t="s">
        <v>592</v>
      </c>
      <c r="AW63" s="2"/>
      <c r="BA63" s="2"/>
    </row>
    <row r="64" spans="2:53" x14ac:dyDescent="0.2">
      <c r="B64" s="2">
        <v>100</v>
      </c>
      <c r="C64" s="46" t="s">
        <v>20</v>
      </c>
      <c r="D64" s="2" t="s">
        <v>316</v>
      </c>
      <c r="E64" s="3" t="s">
        <v>122</v>
      </c>
      <c r="F64" s="43" t="s">
        <v>125</v>
      </c>
      <c r="G64" s="3" t="s">
        <v>909</v>
      </c>
      <c r="H64" s="3" t="s">
        <v>881</v>
      </c>
      <c r="K64" s="2">
        <v>1</v>
      </c>
      <c r="O64" s="2">
        <v>0</v>
      </c>
      <c r="P64" s="2">
        <v>10</v>
      </c>
      <c r="Q64" s="2" t="s">
        <v>411</v>
      </c>
      <c r="R64" s="2" t="s">
        <v>940</v>
      </c>
      <c r="S64" s="46" t="s">
        <v>1017</v>
      </c>
      <c r="T64" s="46" t="s">
        <v>1017</v>
      </c>
      <c r="U64" s="46" t="s">
        <v>1017</v>
      </c>
      <c r="V64" s="46" t="s">
        <v>1017</v>
      </c>
      <c r="W64" s="2">
        <v>1</v>
      </c>
      <c r="X64" s="2" t="s">
        <v>9</v>
      </c>
      <c r="AS64" s="2"/>
      <c r="AW64" s="2"/>
      <c r="BA64" s="2"/>
    </row>
    <row r="65" spans="2:53" x14ac:dyDescent="0.2">
      <c r="B65" s="2">
        <v>100</v>
      </c>
      <c r="C65" s="46" t="s">
        <v>20</v>
      </c>
      <c r="D65" s="2" t="s">
        <v>316</v>
      </c>
      <c r="E65" s="3" t="s">
        <v>119</v>
      </c>
      <c r="F65" s="43" t="s">
        <v>851</v>
      </c>
      <c r="G65" s="3" t="s">
        <v>909</v>
      </c>
      <c r="H65" s="3" t="s">
        <v>881</v>
      </c>
      <c r="K65" s="2">
        <v>1</v>
      </c>
      <c r="O65" s="2">
        <v>0</v>
      </c>
      <c r="P65" s="2">
        <v>10</v>
      </c>
      <c r="Q65" s="2" t="s">
        <v>411</v>
      </c>
      <c r="R65" s="2" t="s">
        <v>940</v>
      </c>
      <c r="S65" s="46" t="s">
        <v>1017</v>
      </c>
      <c r="T65" s="46" t="s">
        <v>1017</v>
      </c>
      <c r="U65" s="46" t="s">
        <v>1017</v>
      </c>
      <c r="V65" s="46" t="s">
        <v>1017</v>
      </c>
      <c r="W65" s="2">
        <v>1</v>
      </c>
      <c r="X65" s="2" t="s">
        <v>9</v>
      </c>
      <c r="Y65" s="2">
        <v>1</v>
      </c>
      <c r="Z65" s="2" t="s">
        <v>221</v>
      </c>
      <c r="AA65" s="27">
        <v>650.25</v>
      </c>
      <c r="AB65" s="2">
        <v>1</v>
      </c>
      <c r="AC65" s="2" t="s">
        <v>565</v>
      </c>
      <c r="AD65" s="27">
        <v>820</v>
      </c>
      <c r="AE65" s="2">
        <v>1</v>
      </c>
      <c r="AF65" s="2" t="s">
        <v>898</v>
      </c>
      <c r="AG65" s="27">
        <v>351.27</v>
      </c>
      <c r="AH65" s="2">
        <v>1</v>
      </c>
      <c r="AI65" s="2" t="s">
        <v>234</v>
      </c>
      <c r="AJ65" s="27">
        <v>484</v>
      </c>
      <c r="AK65" s="2">
        <v>1</v>
      </c>
      <c r="AL65" s="2" t="s">
        <v>206</v>
      </c>
      <c r="AM65" s="2">
        <f>423+33</f>
        <v>456</v>
      </c>
      <c r="AS65" s="2"/>
      <c r="AV65" s="2" t="s">
        <v>293</v>
      </c>
      <c r="AW65" s="2"/>
      <c r="BA65" s="2"/>
    </row>
    <row r="66" spans="2:53" x14ac:dyDescent="0.2">
      <c r="B66" s="2">
        <v>100</v>
      </c>
      <c r="C66" s="46" t="s">
        <v>20</v>
      </c>
      <c r="D66" s="3" t="s">
        <v>316</v>
      </c>
      <c r="E66" s="3" t="s">
        <v>403</v>
      </c>
      <c r="F66" s="43" t="s">
        <v>848</v>
      </c>
      <c r="G66" s="3" t="s">
        <v>909</v>
      </c>
      <c r="H66" s="3" t="s">
        <v>881</v>
      </c>
      <c r="K66" s="2">
        <v>1</v>
      </c>
      <c r="O66" s="2">
        <v>0</v>
      </c>
      <c r="P66" s="2">
        <v>10</v>
      </c>
      <c r="Q66" s="2" t="s">
        <v>411</v>
      </c>
      <c r="R66" s="2" t="s">
        <v>940</v>
      </c>
      <c r="S66" s="46" t="s">
        <v>1017</v>
      </c>
      <c r="T66" s="46" t="s">
        <v>1017</v>
      </c>
      <c r="U66" s="46" t="s">
        <v>1017</v>
      </c>
      <c r="V66" s="46" t="s">
        <v>1017</v>
      </c>
      <c r="W66" s="2">
        <v>1</v>
      </c>
      <c r="X66" s="2" t="s">
        <v>196</v>
      </c>
      <c r="Y66" s="2">
        <v>1</v>
      </c>
      <c r="Z66" s="2" t="s">
        <v>221</v>
      </c>
      <c r="AA66" s="27">
        <v>650.25</v>
      </c>
      <c r="AB66" s="2">
        <v>1</v>
      </c>
      <c r="AC66" s="2" t="s">
        <v>566</v>
      </c>
      <c r="AD66" s="27">
        <v>263</v>
      </c>
      <c r="AE66" s="2">
        <v>1</v>
      </c>
      <c r="AF66" s="2" t="s">
        <v>898</v>
      </c>
      <c r="AG66" s="27">
        <v>351.27</v>
      </c>
      <c r="AH66" s="2">
        <v>1</v>
      </c>
      <c r="AI66" s="2" t="s">
        <v>234</v>
      </c>
      <c r="AJ66" s="27">
        <v>484</v>
      </c>
      <c r="AK66" s="2">
        <v>1</v>
      </c>
      <c r="AL66" s="2" t="s">
        <v>206</v>
      </c>
      <c r="AM66" s="2">
        <f>423+33</f>
        <v>456</v>
      </c>
      <c r="AS66" s="2"/>
      <c r="AV66" s="2" t="s">
        <v>292</v>
      </c>
      <c r="AW66" s="2"/>
      <c r="BA66" s="2"/>
    </row>
    <row r="67" spans="2:53" x14ac:dyDescent="0.2">
      <c r="B67" s="2">
        <v>100</v>
      </c>
      <c r="C67" s="46" t="s">
        <v>20</v>
      </c>
      <c r="D67" s="3" t="s">
        <v>316</v>
      </c>
      <c r="E67" s="3" t="s">
        <v>322</v>
      </c>
      <c r="F67" s="43" t="s">
        <v>510</v>
      </c>
      <c r="H67" s="3" t="s">
        <v>876</v>
      </c>
      <c r="N67" s="2">
        <v>1</v>
      </c>
      <c r="R67" s="2" t="s">
        <v>940</v>
      </c>
      <c r="S67" s="46" t="s">
        <v>997</v>
      </c>
      <c r="T67" s="46">
        <v>1</v>
      </c>
      <c r="U67" s="46">
        <v>92</v>
      </c>
      <c r="V67" s="46" t="s">
        <v>993</v>
      </c>
      <c r="AA67" s="2"/>
      <c r="AG67" s="2"/>
      <c r="AJ67" s="2"/>
      <c r="AS67" s="2"/>
      <c r="AT67" s="2">
        <v>1</v>
      </c>
      <c r="AW67" s="2"/>
      <c r="AX67" s="1">
        <v>3</v>
      </c>
      <c r="AY67" s="2" t="s">
        <v>930</v>
      </c>
      <c r="BA67" s="2"/>
    </row>
    <row r="68" spans="2:53" x14ac:dyDescent="0.2">
      <c r="B68" s="2">
        <v>100</v>
      </c>
      <c r="C68" s="46" t="s">
        <v>21</v>
      </c>
      <c r="D68" s="2" t="s">
        <v>317</v>
      </c>
      <c r="E68" s="2" t="s">
        <v>317</v>
      </c>
      <c r="F68" s="42" t="s">
        <v>362</v>
      </c>
      <c r="H68" s="3" t="s">
        <v>876</v>
      </c>
      <c r="N68" s="2">
        <v>1</v>
      </c>
      <c r="R68" s="2" t="s">
        <v>940</v>
      </c>
      <c r="S68" s="46" t="s">
        <v>997</v>
      </c>
      <c r="T68" s="46">
        <v>1</v>
      </c>
      <c r="U68" s="46">
        <v>100</v>
      </c>
      <c r="V68" s="46" t="s">
        <v>986</v>
      </c>
      <c r="AA68" s="2"/>
      <c r="AG68" s="2"/>
      <c r="AJ68" s="2"/>
      <c r="AS68" s="2"/>
      <c r="AT68" s="2">
        <v>1</v>
      </c>
      <c r="AV68" s="2" t="s">
        <v>248</v>
      </c>
      <c r="AW68" s="27">
        <f>24954*0.9</f>
        <v>22458.600000000002</v>
      </c>
      <c r="AX68" s="1">
        <v>355</v>
      </c>
      <c r="AY68" s="2" t="s">
        <v>877</v>
      </c>
      <c r="BA68" s="2"/>
    </row>
    <row r="69" spans="2:53" x14ac:dyDescent="0.2">
      <c r="B69" s="2">
        <v>100</v>
      </c>
      <c r="C69" s="46" t="s">
        <v>21</v>
      </c>
      <c r="D69" s="2" t="s">
        <v>317</v>
      </c>
      <c r="E69" s="3" t="s">
        <v>101</v>
      </c>
      <c r="F69" s="43" t="s">
        <v>104</v>
      </c>
      <c r="G69" s="3" t="s">
        <v>552</v>
      </c>
      <c r="H69" s="3" t="s">
        <v>881</v>
      </c>
      <c r="K69" s="2">
        <v>1</v>
      </c>
      <c r="R69" s="2" t="s">
        <v>940</v>
      </c>
      <c r="S69" s="46" t="s">
        <v>1017</v>
      </c>
      <c r="T69" s="46" t="s">
        <v>1017</v>
      </c>
      <c r="U69" s="46" t="s">
        <v>1017</v>
      </c>
      <c r="V69" s="46" t="s">
        <v>1017</v>
      </c>
      <c r="AB69" s="2">
        <v>1</v>
      </c>
      <c r="AC69" s="2" t="s">
        <v>564</v>
      </c>
      <c r="AD69" s="27">
        <v>269</v>
      </c>
      <c r="AG69" s="2"/>
      <c r="AH69" s="2">
        <v>1</v>
      </c>
      <c r="AI69" s="2" t="s">
        <v>233</v>
      </c>
      <c r="AJ69" s="2">
        <v>210</v>
      </c>
      <c r="AK69" s="2">
        <v>1</v>
      </c>
      <c r="AL69" s="2" t="s">
        <v>207</v>
      </c>
      <c r="AM69" s="2">
        <f>346+23</f>
        <v>369</v>
      </c>
      <c r="AS69" s="2"/>
      <c r="AV69" s="2" t="s">
        <v>591</v>
      </c>
      <c r="AW69" s="2"/>
      <c r="BA69" s="2"/>
    </row>
    <row r="70" spans="2:53" x14ac:dyDescent="0.2">
      <c r="B70" s="2">
        <v>100</v>
      </c>
      <c r="C70" s="46" t="s">
        <v>21</v>
      </c>
      <c r="D70" s="3" t="s">
        <v>317</v>
      </c>
      <c r="E70" s="3" t="s">
        <v>920</v>
      </c>
      <c r="F70" s="43" t="s">
        <v>855</v>
      </c>
      <c r="G70" s="3" t="s">
        <v>908</v>
      </c>
      <c r="H70" s="3" t="s">
        <v>879</v>
      </c>
      <c r="I70" s="2">
        <v>1</v>
      </c>
      <c r="R70" s="2" t="s">
        <v>940</v>
      </c>
      <c r="S70" s="46" t="s">
        <v>1017</v>
      </c>
      <c r="T70" s="46" t="s">
        <v>1017</v>
      </c>
      <c r="U70" s="46" t="s">
        <v>1017</v>
      </c>
      <c r="V70" s="46" t="s">
        <v>1017</v>
      </c>
      <c r="W70" s="2">
        <v>1</v>
      </c>
      <c r="X70" s="2" t="s">
        <v>236</v>
      </c>
      <c r="Y70" s="2">
        <v>1</v>
      </c>
      <c r="Z70" s="2" t="s">
        <v>297</v>
      </c>
      <c r="AA70" s="27">
        <v>492.8</v>
      </c>
      <c r="AB70" s="2">
        <v>1</v>
      </c>
      <c r="AC70" s="2" t="s">
        <v>43</v>
      </c>
      <c r="AD70" s="27">
        <v>126</v>
      </c>
      <c r="AH70" s="2">
        <v>1</v>
      </c>
      <c r="AI70" s="2" t="s">
        <v>233</v>
      </c>
      <c r="AJ70" s="27">
        <v>465</v>
      </c>
      <c r="AS70" s="2"/>
      <c r="AV70" s="2" t="s">
        <v>592</v>
      </c>
      <c r="AW70" s="2"/>
      <c r="BA70" s="2"/>
    </row>
    <row r="71" spans="2:53" x14ac:dyDescent="0.2">
      <c r="B71" s="2">
        <v>100</v>
      </c>
      <c r="C71" s="46" t="s">
        <v>21</v>
      </c>
      <c r="D71" s="2" t="s">
        <v>317</v>
      </c>
      <c r="E71" s="3" t="s">
        <v>123</v>
      </c>
      <c r="F71" s="43" t="s">
        <v>127</v>
      </c>
      <c r="G71" s="3" t="s">
        <v>909</v>
      </c>
      <c r="H71" s="3" t="s">
        <v>881</v>
      </c>
      <c r="K71" s="2">
        <v>1</v>
      </c>
      <c r="O71" s="2">
        <v>0</v>
      </c>
      <c r="P71" s="2">
        <v>10</v>
      </c>
      <c r="Q71" s="2" t="s">
        <v>411</v>
      </c>
      <c r="R71" s="2" t="s">
        <v>940</v>
      </c>
      <c r="S71" s="46" t="s">
        <v>1017</v>
      </c>
      <c r="T71" s="46" t="s">
        <v>1017</v>
      </c>
      <c r="U71" s="46" t="s">
        <v>1017</v>
      </c>
      <c r="V71" s="46" t="s">
        <v>1017</v>
      </c>
      <c r="W71" s="2">
        <v>1</v>
      </c>
      <c r="X71" s="2" t="s">
        <v>9</v>
      </c>
      <c r="AS71" s="2"/>
      <c r="AW71" s="2"/>
      <c r="BA71" s="2"/>
    </row>
    <row r="72" spans="2:53" x14ac:dyDescent="0.2">
      <c r="B72" s="2">
        <v>100</v>
      </c>
      <c r="C72" s="46" t="s">
        <v>21</v>
      </c>
      <c r="D72" s="2" t="s">
        <v>317</v>
      </c>
      <c r="E72" s="3" t="s">
        <v>120</v>
      </c>
      <c r="F72" s="43" t="s">
        <v>853</v>
      </c>
      <c r="G72" s="3" t="s">
        <v>909</v>
      </c>
      <c r="H72" s="3" t="s">
        <v>881</v>
      </c>
      <c r="K72" s="2">
        <v>1</v>
      </c>
      <c r="O72" s="2">
        <v>0</v>
      </c>
      <c r="P72" s="2">
        <v>10</v>
      </c>
      <c r="Q72" s="2" t="s">
        <v>411</v>
      </c>
      <c r="R72" s="2" t="s">
        <v>940</v>
      </c>
      <c r="S72" s="46" t="s">
        <v>1017</v>
      </c>
      <c r="T72" s="46" t="s">
        <v>1017</v>
      </c>
      <c r="U72" s="46" t="s">
        <v>1017</v>
      </c>
      <c r="V72" s="46" t="s">
        <v>1017</v>
      </c>
      <c r="W72" s="2">
        <v>1</v>
      </c>
      <c r="X72" s="2" t="s">
        <v>9</v>
      </c>
      <c r="Y72" s="2">
        <v>1</v>
      </c>
      <c r="Z72" s="2" t="s">
        <v>221</v>
      </c>
      <c r="AA72" s="27">
        <v>650.25</v>
      </c>
      <c r="AB72" s="2">
        <v>1</v>
      </c>
      <c r="AC72" s="2" t="s">
        <v>565</v>
      </c>
      <c r="AD72" s="27">
        <v>820</v>
      </c>
      <c r="AE72" s="2">
        <v>1</v>
      </c>
      <c r="AF72" s="2" t="s">
        <v>898</v>
      </c>
      <c r="AG72" s="27">
        <v>351.27</v>
      </c>
      <c r="AH72" s="2">
        <v>1</v>
      </c>
      <c r="AI72" s="2" t="s">
        <v>234</v>
      </c>
      <c r="AJ72" s="27">
        <v>484</v>
      </c>
      <c r="AK72" s="2">
        <v>1</v>
      </c>
      <c r="AL72" s="2" t="s">
        <v>206</v>
      </c>
      <c r="AM72" s="2">
        <f>423+33</f>
        <v>456</v>
      </c>
      <c r="AS72" s="2"/>
      <c r="AV72" s="2" t="s">
        <v>293</v>
      </c>
      <c r="AW72" s="2"/>
      <c r="BA72" s="2"/>
    </row>
    <row r="73" spans="2:53" x14ac:dyDescent="0.2">
      <c r="B73" s="2">
        <v>100</v>
      </c>
      <c r="C73" s="46" t="s">
        <v>21</v>
      </c>
      <c r="D73" s="3" t="s">
        <v>317</v>
      </c>
      <c r="E73" s="3" t="s">
        <v>401</v>
      </c>
      <c r="F73" s="43" t="s">
        <v>849</v>
      </c>
      <c r="G73" s="3" t="s">
        <v>909</v>
      </c>
      <c r="H73" s="3" t="s">
        <v>881</v>
      </c>
      <c r="K73" s="2">
        <v>1</v>
      </c>
      <c r="O73" s="2">
        <v>0</v>
      </c>
      <c r="P73" s="2">
        <v>10</v>
      </c>
      <c r="Q73" s="2" t="s">
        <v>411</v>
      </c>
      <c r="R73" s="2" t="s">
        <v>940</v>
      </c>
      <c r="S73" s="46" t="s">
        <v>1017</v>
      </c>
      <c r="T73" s="46" t="s">
        <v>1017</v>
      </c>
      <c r="U73" s="46" t="s">
        <v>1017</v>
      </c>
      <c r="V73" s="46" t="s">
        <v>1017</v>
      </c>
      <c r="W73" s="2">
        <v>1</v>
      </c>
      <c r="X73" s="2" t="s">
        <v>196</v>
      </c>
      <c r="Y73" s="2">
        <v>1</v>
      </c>
      <c r="Z73" s="2" t="s">
        <v>221</v>
      </c>
      <c r="AA73" s="27">
        <v>650.25</v>
      </c>
      <c r="AB73" s="2">
        <v>1</v>
      </c>
      <c r="AC73" s="2" t="s">
        <v>566</v>
      </c>
      <c r="AD73" s="27">
        <v>263</v>
      </c>
      <c r="AE73" s="2">
        <v>1</v>
      </c>
      <c r="AF73" s="2" t="s">
        <v>898</v>
      </c>
      <c r="AG73" s="27">
        <v>351.27</v>
      </c>
      <c r="AH73" s="2">
        <v>1</v>
      </c>
      <c r="AI73" s="2" t="s">
        <v>234</v>
      </c>
      <c r="AJ73" s="27">
        <v>484</v>
      </c>
      <c r="AK73" s="2">
        <v>1</v>
      </c>
      <c r="AL73" s="2" t="s">
        <v>206</v>
      </c>
      <c r="AM73" s="2">
        <f>423+33</f>
        <v>456</v>
      </c>
      <c r="AS73" s="2"/>
      <c r="AV73" s="2" t="s">
        <v>292</v>
      </c>
      <c r="AW73" s="2"/>
      <c r="BA73" s="2"/>
    </row>
    <row r="74" spans="2:53" x14ac:dyDescent="0.2">
      <c r="B74" s="2">
        <v>100</v>
      </c>
      <c r="C74" s="46" t="s">
        <v>21</v>
      </c>
      <c r="D74" s="3" t="s">
        <v>317</v>
      </c>
      <c r="E74" s="3" t="s">
        <v>323</v>
      </c>
      <c r="F74" s="43" t="s">
        <v>512</v>
      </c>
      <c r="H74" s="3" t="s">
        <v>876</v>
      </c>
      <c r="N74" s="2">
        <v>1</v>
      </c>
      <c r="R74" s="2" t="s">
        <v>940</v>
      </c>
      <c r="S74" s="46" t="s">
        <v>997</v>
      </c>
      <c r="T74" s="46">
        <v>1</v>
      </c>
      <c r="U74" s="46">
        <v>102</v>
      </c>
      <c r="V74" s="46" t="s">
        <v>993</v>
      </c>
      <c r="AA74" s="2"/>
      <c r="AG74" s="2"/>
      <c r="AJ74" s="2"/>
      <c r="AS74" s="2"/>
      <c r="AT74" s="2">
        <v>1</v>
      </c>
      <c r="AW74" s="2"/>
      <c r="AX74" s="1">
        <v>3</v>
      </c>
      <c r="AY74" s="2" t="s">
        <v>930</v>
      </c>
      <c r="BA74" s="2"/>
    </row>
    <row r="75" spans="2:53" x14ac:dyDescent="0.2">
      <c r="B75" s="2">
        <v>100</v>
      </c>
      <c r="C75" s="46" t="s">
        <v>22</v>
      </c>
      <c r="D75" s="2" t="s">
        <v>318</v>
      </c>
      <c r="E75" s="2" t="s">
        <v>318</v>
      </c>
      <c r="F75" s="42" t="s">
        <v>363</v>
      </c>
      <c r="H75" s="3" t="s">
        <v>876</v>
      </c>
      <c r="N75" s="2">
        <v>1</v>
      </c>
      <c r="R75" s="2" t="s">
        <v>940</v>
      </c>
      <c r="S75" s="46" t="s">
        <v>997</v>
      </c>
      <c r="T75" s="46">
        <v>1</v>
      </c>
      <c r="U75" s="46">
        <v>110</v>
      </c>
      <c r="V75" s="46" t="s">
        <v>986</v>
      </c>
      <c r="AA75" s="2"/>
      <c r="AG75" s="2"/>
      <c r="AJ75" s="2"/>
      <c r="AS75" s="2"/>
      <c r="AT75" s="2">
        <v>1</v>
      </c>
      <c r="AV75" s="2" t="s">
        <v>248</v>
      </c>
      <c r="AW75" s="27">
        <f>24954*0.9</f>
        <v>22458.600000000002</v>
      </c>
      <c r="AX75" s="1">
        <v>355</v>
      </c>
      <c r="AY75" s="2" t="s">
        <v>877</v>
      </c>
      <c r="BA75" s="2"/>
    </row>
    <row r="76" spans="2:53" x14ac:dyDescent="0.2">
      <c r="B76" s="2">
        <v>100</v>
      </c>
      <c r="C76" s="46" t="s">
        <v>22</v>
      </c>
      <c r="D76" s="2" t="s">
        <v>318</v>
      </c>
      <c r="E76" s="3" t="s">
        <v>102</v>
      </c>
      <c r="F76" s="43" t="s">
        <v>103</v>
      </c>
      <c r="G76" s="3" t="s">
        <v>552</v>
      </c>
      <c r="H76" s="3" t="s">
        <v>881</v>
      </c>
      <c r="K76" s="2">
        <v>1</v>
      </c>
      <c r="R76" s="2" t="s">
        <v>940</v>
      </c>
      <c r="S76" s="46" t="s">
        <v>1017</v>
      </c>
      <c r="T76" s="46" t="s">
        <v>1017</v>
      </c>
      <c r="U76" s="46" t="s">
        <v>1017</v>
      </c>
      <c r="V76" s="46" t="s">
        <v>1017</v>
      </c>
      <c r="AB76" s="2">
        <v>1</v>
      </c>
      <c r="AC76" s="2" t="s">
        <v>564</v>
      </c>
      <c r="AD76" s="27">
        <v>269</v>
      </c>
      <c r="AG76" s="2"/>
      <c r="AH76" s="2">
        <v>1</v>
      </c>
      <c r="AI76" s="2" t="s">
        <v>233</v>
      </c>
      <c r="AJ76" s="2">
        <v>210</v>
      </c>
      <c r="AK76" s="2">
        <v>1</v>
      </c>
      <c r="AL76" s="2" t="s">
        <v>207</v>
      </c>
      <c r="AM76" s="2">
        <f>346+23</f>
        <v>369</v>
      </c>
      <c r="AS76" s="2"/>
      <c r="AV76" s="2" t="s">
        <v>591</v>
      </c>
      <c r="AW76" s="2"/>
      <c r="BA76" s="2"/>
    </row>
    <row r="77" spans="2:53" x14ac:dyDescent="0.2">
      <c r="B77" s="2">
        <v>100</v>
      </c>
      <c r="C77" s="46" t="s">
        <v>22</v>
      </c>
      <c r="D77" s="3" t="s">
        <v>318</v>
      </c>
      <c r="E77" s="3" t="s">
        <v>921</v>
      </c>
      <c r="F77" s="43" t="s">
        <v>856</v>
      </c>
      <c r="G77" s="3" t="s">
        <v>908</v>
      </c>
      <c r="H77" s="3" t="s">
        <v>879</v>
      </c>
      <c r="I77" s="2">
        <v>1</v>
      </c>
      <c r="R77" s="2" t="s">
        <v>940</v>
      </c>
      <c r="S77" s="46" t="s">
        <v>1017</v>
      </c>
      <c r="T77" s="46" t="s">
        <v>1017</v>
      </c>
      <c r="U77" s="46" t="s">
        <v>1017</v>
      </c>
      <c r="V77" s="46" t="s">
        <v>1017</v>
      </c>
      <c r="W77" s="2">
        <v>1</v>
      </c>
      <c r="X77" s="2" t="s">
        <v>236</v>
      </c>
      <c r="Y77" s="2">
        <v>1</v>
      </c>
      <c r="Z77" s="2" t="s">
        <v>297</v>
      </c>
      <c r="AA77" s="27">
        <v>492.8</v>
      </c>
      <c r="AB77" s="2">
        <v>1</v>
      </c>
      <c r="AC77" s="2" t="s">
        <v>43</v>
      </c>
      <c r="AD77" s="27">
        <v>126</v>
      </c>
      <c r="AH77" s="2">
        <v>1</v>
      </c>
      <c r="AI77" s="2" t="s">
        <v>233</v>
      </c>
      <c r="AJ77" s="27">
        <v>465</v>
      </c>
      <c r="AS77" s="2"/>
      <c r="AV77" s="2" t="s">
        <v>592</v>
      </c>
      <c r="AW77" s="2"/>
      <c r="BA77" s="2"/>
    </row>
    <row r="78" spans="2:53" x14ac:dyDescent="0.2">
      <c r="B78" s="2">
        <v>100</v>
      </c>
      <c r="C78" s="46" t="s">
        <v>22</v>
      </c>
      <c r="D78" s="2" t="s">
        <v>318</v>
      </c>
      <c r="E78" s="3" t="s">
        <v>124</v>
      </c>
      <c r="F78" s="43" t="s">
        <v>126</v>
      </c>
      <c r="G78" s="3" t="s">
        <v>909</v>
      </c>
      <c r="H78" s="3" t="s">
        <v>881</v>
      </c>
      <c r="K78" s="2">
        <v>1</v>
      </c>
      <c r="O78" s="2">
        <v>0</v>
      </c>
      <c r="P78" s="2">
        <v>10</v>
      </c>
      <c r="Q78" s="2" t="s">
        <v>411</v>
      </c>
      <c r="R78" s="2" t="s">
        <v>940</v>
      </c>
      <c r="S78" s="46" t="s">
        <v>1017</v>
      </c>
      <c r="T78" s="46" t="s">
        <v>1017</v>
      </c>
      <c r="U78" s="46" t="s">
        <v>1017</v>
      </c>
      <c r="V78" s="46" t="s">
        <v>1017</v>
      </c>
      <c r="W78" s="2">
        <v>1</v>
      </c>
      <c r="X78" s="2" t="s">
        <v>9</v>
      </c>
      <c r="AS78" s="2"/>
      <c r="AW78" s="2"/>
      <c r="BA78" s="2"/>
    </row>
    <row r="79" spans="2:53" x14ac:dyDescent="0.2">
      <c r="B79" s="2">
        <v>100</v>
      </c>
      <c r="C79" s="46" t="s">
        <v>22</v>
      </c>
      <c r="D79" s="2" t="s">
        <v>318</v>
      </c>
      <c r="E79" s="3" t="s">
        <v>121</v>
      </c>
      <c r="F79" s="43" t="s">
        <v>852</v>
      </c>
      <c r="G79" s="3" t="s">
        <v>909</v>
      </c>
      <c r="H79" s="3" t="s">
        <v>881</v>
      </c>
      <c r="K79" s="2">
        <v>1</v>
      </c>
      <c r="O79" s="2">
        <v>0</v>
      </c>
      <c r="P79" s="2">
        <v>10</v>
      </c>
      <c r="Q79" s="2" t="s">
        <v>411</v>
      </c>
      <c r="R79" s="2" t="s">
        <v>940</v>
      </c>
      <c r="S79" s="46" t="s">
        <v>1017</v>
      </c>
      <c r="T79" s="46" t="s">
        <v>1017</v>
      </c>
      <c r="U79" s="46" t="s">
        <v>1017</v>
      </c>
      <c r="V79" s="46" t="s">
        <v>1017</v>
      </c>
      <c r="W79" s="2">
        <v>1</v>
      </c>
      <c r="X79" s="2" t="s">
        <v>9</v>
      </c>
      <c r="Y79" s="2">
        <v>1</v>
      </c>
      <c r="Z79" s="2" t="s">
        <v>221</v>
      </c>
      <c r="AA79" s="27">
        <v>650.25</v>
      </c>
      <c r="AB79" s="2">
        <v>1</v>
      </c>
      <c r="AC79" s="2" t="s">
        <v>565</v>
      </c>
      <c r="AD79" s="27">
        <v>820</v>
      </c>
      <c r="AE79" s="2">
        <v>1</v>
      </c>
      <c r="AF79" s="2" t="s">
        <v>898</v>
      </c>
      <c r="AG79" s="27">
        <v>351.27</v>
      </c>
      <c r="AH79" s="2">
        <v>1</v>
      </c>
      <c r="AI79" s="2" t="s">
        <v>234</v>
      </c>
      <c r="AJ79" s="27">
        <v>484</v>
      </c>
      <c r="AK79" s="2">
        <v>1</v>
      </c>
      <c r="AL79" s="2" t="s">
        <v>206</v>
      </c>
      <c r="AM79" s="2">
        <f>423+33</f>
        <v>456</v>
      </c>
      <c r="AS79" s="2"/>
      <c r="AV79" s="2" t="s">
        <v>293</v>
      </c>
      <c r="AW79" s="2"/>
      <c r="BA79" s="2"/>
    </row>
    <row r="80" spans="2:53" x14ac:dyDescent="0.2">
      <c r="B80" s="2">
        <v>100</v>
      </c>
      <c r="C80" s="46" t="s">
        <v>22</v>
      </c>
      <c r="D80" s="3" t="s">
        <v>318</v>
      </c>
      <c r="E80" s="3" t="s">
        <v>402</v>
      </c>
      <c r="F80" s="43" t="s">
        <v>850</v>
      </c>
      <c r="G80" s="3" t="s">
        <v>909</v>
      </c>
      <c r="H80" s="3" t="s">
        <v>881</v>
      </c>
      <c r="K80" s="2">
        <v>1</v>
      </c>
      <c r="O80" s="2">
        <v>0</v>
      </c>
      <c r="P80" s="2">
        <v>10</v>
      </c>
      <c r="Q80" s="2" t="s">
        <v>411</v>
      </c>
      <c r="R80" s="2" t="s">
        <v>940</v>
      </c>
      <c r="S80" s="46" t="s">
        <v>1017</v>
      </c>
      <c r="T80" s="46" t="s">
        <v>1017</v>
      </c>
      <c r="U80" s="46" t="s">
        <v>1017</v>
      </c>
      <c r="V80" s="46" t="s">
        <v>1017</v>
      </c>
      <c r="W80" s="2">
        <v>1</v>
      </c>
      <c r="X80" s="2" t="s">
        <v>196</v>
      </c>
      <c r="Y80" s="2">
        <v>1</v>
      </c>
      <c r="Z80" s="2" t="s">
        <v>221</v>
      </c>
      <c r="AA80" s="27">
        <v>650.25</v>
      </c>
      <c r="AB80" s="2">
        <v>1</v>
      </c>
      <c r="AC80" s="2" t="s">
        <v>566</v>
      </c>
      <c r="AD80" s="27">
        <v>263</v>
      </c>
      <c r="AE80" s="2">
        <v>1</v>
      </c>
      <c r="AF80" s="2" t="s">
        <v>898</v>
      </c>
      <c r="AG80" s="27">
        <v>351.27</v>
      </c>
      <c r="AH80" s="2">
        <v>1</v>
      </c>
      <c r="AI80" s="2" t="s">
        <v>234</v>
      </c>
      <c r="AJ80" s="27">
        <v>484</v>
      </c>
      <c r="AK80" s="2">
        <v>1</v>
      </c>
      <c r="AL80" s="2" t="s">
        <v>206</v>
      </c>
      <c r="AM80" s="2">
        <f>423+33</f>
        <v>456</v>
      </c>
      <c r="AS80" s="2"/>
      <c r="AV80" s="2" t="s">
        <v>292</v>
      </c>
      <c r="AW80" s="2"/>
      <c r="BA80" s="2"/>
    </row>
    <row r="81" spans="2:53" x14ac:dyDescent="0.2">
      <c r="B81" s="2">
        <v>100</v>
      </c>
      <c r="C81" s="46" t="s">
        <v>22</v>
      </c>
      <c r="D81" s="3" t="s">
        <v>318</v>
      </c>
      <c r="E81" s="3" t="s">
        <v>324</v>
      </c>
      <c r="F81" s="43" t="s">
        <v>511</v>
      </c>
      <c r="H81" s="3" t="s">
        <v>876</v>
      </c>
      <c r="N81" s="2">
        <v>1</v>
      </c>
      <c r="S81" s="46" t="s">
        <v>997</v>
      </c>
      <c r="T81" s="46">
        <v>1</v>
      </c>
      <c r="U81" s="46">
        <v>112</v>
      </c>
      <c r="V81" s="46" t="s">
        <v>993</v>
      </c>
      <c r="AA81" s="2"/>
      <c r="AG81" s="2"/>
      <c r="AJ81" s="2"/>
      <c r="AS81" s="2"/>
      <c r="AT81" s="2">
        <v>1</v>
      </c>
      <c r="AW81" s="2"/>
      <c r="AX81" s="1">
        <v>3</v>
      </c>
      <c r="AY81" s="2" t="s">
        <v>930</v>
      </c>
      <c r="BA81" s="2"/>
    </row>
    <row r="82" spans="2:53" x14ac:dyDescent="0.2">
      <c r="B82" s="2">
        <v>400</v>
      </c>
      <c r="C82" s="46" t="s">
        <v>24</v>
      </c>
      <c r="D82" s="2" t="s">
        <v>337</v>
      </c>
      <c r="E82" s="2" t="s">
        <v>337</v>
      </c>
      <c r="F82" s="42" t="s">
        <v>396</v>
      </c>
      <c r="G82" s="3"/>
      <c r="H82" s="3" t="s">
        <v>876</v>
      </c>
      <c r="N82" s="2">
        <v>1</v>
      </c>
      <c r="S82" s="46" t="s">
        <v>997</v>
      </c>
      <c r="T82" s="46">
        <v>1</v>
      </c>
      <c r="U82" s="46">
        <v>26</v>
      </c>
      <c r="V82" s="46" t="s">
        <v>992</v>
      </c>
      <c r="AA82" s="2"/>
      <c r="AG82" s="2"/>
      <c r="AJ82" s="2"/>
      <c r="AS82" s="2"/>
      <c r="AT82" s="2">
        <v>1</v>
      </c>
      <c r="AW82" s="2"/>
      <c r="AX82" s="1">
        <v>30</v>
      </c>
      <c r="AY82" s="2" t="s">
        <v>930</v>
      </c>
      <c r="BA82" s="2"/>
    </row>
    <row r="83" spans="2:53" x14ac:dyDescent="0.2">
      <c r="B83" s="2">
        <v>400</v>
      </c>
      <c r="C83" s="46" t="s">
        <v>24</v>
      </c>
      <c r="D83" s="2" t="s">
        <v>337</v>
      </c>
      <c r="E83" s="2" t="s">
        <v>869</v>
      </c>
      <c r="F83" s="42" t="s">
        <v>817</v>
      </c>
      <c r="G83" s="2" t="s">
        <v>553</v>
      </c>
      <c r="H83" s="3" t="s">
        <v>357</v>
      </c>
      <c r="N83" s="2">
        <v>1</v>
      </c>
      <c r="O83" s="2">
        <v>2</v>
      </c>
      <c r="P83" s="2">
        <v>12</v>
      </c>
      <c r="Q83" s="2" t="s">
        <v>352</v>
      </c>
      <c r="S83" s="46" t="s">
        <v>997</v>
      </c>
      <c r="T83" s="46">
        <v>2</v>
      </c>
      <c r="U83" s="46">
        <v>10</v>
      </c>
      <c r="V83" s="46" t="s">
        <v>990</v>
      </c>
      <c r="AB83" s="2">
        <v>1</v>
      </c>
      <c r="AC83" s="2" t="s">
        <v>575</v>
      </c>
      <c r="AD83" s="27">
        <f>280+80+910+30+280</f>
        <v>1580</v>
      </c>
      <c r="AE83" s="2">
        <v>1</v>
      </c>
      <c r="AF83" s="2" t="s">
        <v>900</v>
      </c>
      <c r="AG83" s="27">
        <f>631+744</f>
        <v>1375</v>
      </c>
      <c r="AH83" s="2">
        <v>1</v>
      </c>
      <c r="AI83" s="2" t="s">
        <v>953</v>
      </c>
      <c r="AJ83" s="2">
        <f>900.2+378</f>
        <v>1278.2</v>
      </c>
      <c r="AS83" s="2"/>
      <c r="AV83" s="2" t="s">
        <v>595</v>
      </c>
      <c r="AW83" s="2"/>
      <c r="BA83" s="2"/>
    </row>
    <row r="84" spans="2:53" x14ac:dyDescent="0.2">
      <c r="B84" s="2">
        <v>400</v>
      </c>
      <c r="C84" s="46" t="s">
        <v>24</v>
      </c>
      <c r="D84" s="2" t="s">
        <v>337</v>
      </c>
      <c r="E84" s="2" t="s">
        <v>762</v>
      </c>
      <c r="F84" s="42" t="s">
        <v>499</v>
      </c>
      <c r="G84" s="5" t="s">
        <v>929</v>
      </c>
      <c r="H84" s="3" t="s">
        <v>880</v>
      </c>
      <c r="J84" s="2">
        <v>1</v>
      </c>
      <c r="S84" s="46" t="s">
        <v>1017</v>
      </c>
      <c r="T84" s="46" t="s">
        <v>1017</v>
      </c>
      <c r="U84" s="46" t="s">
        <v>1017</v>
      </c>
      <c r="V84" s="46" t="s">
        <v>1017</v>
      </c>
      <c r="AA84" s="2"/>
      <c r="AG84" s="2"/>
      <c r="AJ84" s="2"/>
      <c r="AS84" s="2"/>
      <c r="AU84" s="2">
        <v>1</v>
      </c>
      <c r="AV84" s="2" t="s">
        <v>895</v>
      </c>
      <c r="AW84" s="2"/>
      <c r="BA84" s="2"/>
    </row>
    <row r="85" spans="2:53" x14ac:dyDescent="0.2">
      <c r="B85" s="2">
        <v>400</v>
      </c>
      <c r="C85" s="46" t="s">
        <v>24</v>
      </c>
      <c r="D85" s="2" t="s">
        <v>337</v>
      </c>
      <c r="E85" s="2" t="s">
        <v>771</v>
      </c>
      <c r="F85" s="42" t="s">
        <v>770</v>
      </c>
      <c r="G85" s="5" t="s">
        <v>929</v>
      </c>
      <c r="H85" s="3" t="s">
        <v>880</v>
      </c>
      <c r="J85" s="2">
        <v>1</v>
      </c>
      <c r="S85" s="46" t="s">
        <v>1017</v>
      </c>
      <c r="T85" s="46" t="s">
        <v>1017</v>
      </c>
      <c r="U85" s="46" t="s">
        <v>1017</v>
      </c>
      <c r="V85" s="46" t="s">
        <v>1017</v>
      </c>
      <c r="AA85" s="2"/>
      <c r="AG85" s="2"/>
      <c r="AJ85" s="2"/>
      <c r="AS85" s="2"/>
      <c r="AV85" s="2" t="s">
        <v>895</v>
      </c>
      <c r="AW85" s="2"/>
      <c r="BA85" s="2"/>
    </row>
    <row r="86" spans="2:53" x14ac:dyDescent="0.2">
      <c r="B86" s="2">
        <v>400</v>
      </c>
      <c r="C86" s="46" t="s">
        <v>24</v>
      </c>
      <c r="D86" s="2" t="s">
        <v>338</v>
      </c>
      <c r="E86" s="2" t="s">
        <v>338</v>
      </c>
      <c r="F86" s="42" t="s">
        <v>396</v>
      </c>
      <c r="G86" s="3"/>
      <c r="H86" s="3" t="s">
        <v>876</v>
      </c>
      <c r="N86" s="2">
        <v>1</v>
      </c>
      <c r="S86" s="46" t="s">
        <v>997</v>
      </c>
      <c r="T86" s="46">
        <v>1</v>
      </c>
      <c r="U86" s="46">
        <v>27</v>
      </c>
      <c r="V86" s="46" t="s">
        <v>992</v>
      </c>
      <c r="AA86" s="2"/>
      <c r="AG86" s="2"/>
      <c r="AJ86" s="2"/>
      <c r="AS86" s="2"/>
      <c r="AT86" s="2">
        <v>1</v>
      </c>
      <c r="AW86" s="2"/>
      <c r="AX86" s="1">
        <v>30</v>
      </c>
      <c r="AY86" s="2" t="s">
        <v>930</v>
      </c>
      <c r="BA86" s="2"/>
    </row>
    <row r="87" spans="2:53" x14ac:dyDescent="0.2">
      <c r="B87" s="2">
        <v>400</v>
      </c>
      <c r="C87" s="46" t="s">
        <v>24</v>
      </c>
      <c r="D87" s="2" t="s">
        <v>338</v>
      </c>
      <c r="E87" s="2" t="s">
        <v>761</v>
      </c>
      <c r="F87" s="42" t="s">
        <v>500</v>
      </c>
      <c r="G87" s="5" t="s">
        <v>929</v>
      </c>
      <c r="H87" s="3" t="s">
        <v>880</v>
      </c>
      <c r="J87" s="2">
        <v>1</v>
      </c>
      <c r="S87" s="46" t="s">
        <v>1017</v>
      </c>
      <c r="T87" s="46" t="s">
        <v>1017</v>
      </c>
      <c r="U87" s="46" t="s">
        <v>1017</v>
      </c>
      <c r="V87" s="46" t="s">
        <v>1017</v>
      </c>
      <c r="AA87" s="2"/>
      <c r="AG87" s="2"/>
      <c r="AJ87" s="2"/>
      <c r="AS87" s="2"/>
      <c r="AU87" s="2">
        <v>1</v>
      </c>
      <c r="AV87" s="2" t="s">
        <v>895</v>
      </c>
      <c r="AW87" s="2"/>
      <c r="BA87" s="2"/>
    </row>
    <row r="88" spans="2:53" x14ac:dyDescent="0.2">
      <c r="B88" s="2">
        <v>300</v>
      </c>
      <c r="C88" s="46" t="s">
        <v>25</v>
      </c>
      <c r="D88" s="2" t="s">
        <v>885</v>
      </c>
      <c r="E88" s="2" t="s">
        <v>672</v>
      </c>
      <c r="F88" s="42" t="s">
        <v>283</v>
      </c>
      <c r="H88" s="5" t="s">
        <v>876</v>
      </c>
      <c r="N88" s="2">
        <v>1</v>
      </c>
      <c r="S88" s="46" t="s">
        <v>997</v>
      </c>
      <c r="T88" s="46">
        <v>3</v>
      </c>
      <c r="U88" s="46">
        <v>20</v>
      </c>
      <c r="V88" s="46" t="s">
        <v>993</v>
      </c>
      <c r="AA88" s="2"/>
      <c r="AG88" s="2"/>
      <c r="AJ88" s="2"/>
      <c r="AS88" s="2"/>
      <c r="AW88" s="2"/>
      <c r="BA88" s="2"/>
    </row>
    <row r="89" spans="2:53" x14ac:dyDescent="0.2">
      <c r="B89" s="2">
        <v>300</v>
      </c>
      <c r="C89" s="46" t="s">
        <v>25</v>
      </c>
      <c r="D89" s="2" t="s">
        <v>885</v>
      </c>
      <c r="E89" s="2" t="s">
        <v>673</v>
      </c>
      <c r="F89" s="42" t="s">
        <v>284</v>
      </c>
      <c r="H89" s="5" t="s">
        <v>876</v>
      </c>
      <c r="N89" s="2">
        <v>1</v>
      </c>
      <c r="S89" s="46" t="s">
        <v>997</v>
      </c>
      <c r="T89" s="46">
        <v>3</v>
      </c>
      <c r="U89" s="46">
        <v>21</v>
      </c>
      <c r="V89" s="46" t="s">
        <v>993</v>
      </c>
      <c r="AA89" s="2"/>
      <c r="AG89" s="2"/>
      <c r="AJ89" s="2"/>
      <c r="AS89" s="2"/>
      <c r="AW89" s="2"/>
      <c r="BA89" s="2"/>
    </row>
    <row r="90" spans="2:53" x14ac:dyDescent="0.2">
      <c r="B90" s="2">
        <v>300</v>
      </c>
      <c r="C90" s="46" t="s">
        <v>25</v>
      </c>
      <c r="D90" s="2" t="s">
        <v>885</v>
      </c>
      <c r="E90" s="2" t="s">
        <v>10</v>
      </c>
      <c r="F90" s="42" t="s">
        <v>48</v>
      </c>
      <c r="G90" s="5" t="s">
        <v>951</v>
      </c>
      <c r="H90" s="5" t="s">
        <v>881</v>
      </c>
      <c r="K90" s="2">
        <v>1</v>
      </c>
      <c r="O90" s="2">
        <v>0</v>
      </c>
      <c r="P90" s="2">
        <v>6</v>
      </c>
      <c r="Q90" s="2" t="s">
        <v>190</v>
      </c>
      <c r="S90" s="46" t="s">
        <v>1017</v>
      </c>
      <c r="T90" s="46" t="s">
        <v>1017</v>
      </c>
      <c r="U90" s="46" t="s">
        <v>1017</v>
      </c>
      <c r="V90" s="46" t="s">
        <v>1017</v>
      </c>
      <c r="W90" s="2">
        <v>1</v>
      </c>
      <c r="X90" s="2" t="s">
        <v>238</v>
      </c>
      <c r="Y90" s="2">
        <v>1</v>
      </c>
      <c r="AB90" s="2">
        <v>1</v>
      </c>
      <c r="AC90" s="2" t="s">
        <v>568</v>
      </c>
      <c r="AD90" s="27">
        <v>630</v>
      </c>
      <c r="AE90" s="2">
        <v>1</v>
      </c>
      <c r="AG90" s="2"/>
      <c r="AH90" s="2">
        <v>1</v>
      </c>
      <c r="AJ90" s="2"/>
      <c r="AS90" s="2"/>
      <c r="AV90" s="2" t="s">
        <v>584</v>
      </c>
      <c r="AW90" s="2"/>
      <c r="BA90" s="2"/>
    </row>
    <row r="91" spans="2:53" ht="25.5" x14ac:dyDescent="0.2">
      <c r="B91" s="2">
        <v>300</v>
      </c>
      <c r="C91" s="46" t="s">
        <v>25</v>
      </c>
      <c r="D91" s="3" t="s">
        <v>648</v>
      </c>
      <c r="E91" s="3" t="s">
        <v>11</v>
      </c>
      <c r="F91" s="43" t="s">
        <v>980</v>
      </c>
      <c r="G91" s="5" t="s">
        <v>951</v>
      </c>
      <c r="H91" s="5" t="s">
        <v>881</v>
      </c>
      <c r="K91" s="2">
        <v>1</v>
      </c>
      <c r="O91" s="2">
        <v>0</v>
      </c>
      <c r="P91" s="2">
        <v>6</v>
      </c>
      <c r="Q91" s="2" t="s">
        <v>190</v>
      </c>
      <c r="S91" s="46" t="s">
        <v>1017</v>
      </c>
      <c r="T91" s="46" t="s">
        <v>1017</v>
      </c>
      <c r="U91" s="46" t="s">
        <v>1017</v>
      </c>
      <c r="V91" s="46" t="s">
        <v>1017</v>
      </c>
      <c r="W91" s="2">
        <v>1</v>
      </c>
      <c r="X91" s="2" t="s">
        <v>238</v>
      </c>
      <c r="AA91" s="2"/>
      <c r="AC91" s="2" t="s">
        <v>568</v>
      </c>
      <c r="AD91" s="27">
        <v>630</v>
      </c>
      <c r="AG91" s="2"/>
      <c r="AJ91" s="2"/>
      <c r="AS91" s="2"/>
      <c r="AV91" s="3" t="s">
        <v>803</v>
      </c>
      <c r="AW91" s="3"/>
      <c r="BA91" s="2"/>
    </row>
    <row r="92" spans="2:53" x14ac:dyDescent="0.2">
      <c r="B92" s="2">
        <v>300</v>
      </c>
      <c r="C92" s="46" t="s">
        <v>25</v>
      </c>
      <c r="D92" s="2" t="s">
        <v>648</v>
      </c>
      <c r="E92" s="2" t="s">
        <v>884</v>
      </c>
      <c r="F92" s="42" t="s">
        <v>182</v>
      </c>
      <c r="G92" s="5" t="s">
        <v>929</v>
      </c>
      <c r="H92" s="3" t="s">
        <v>880</v>
      </c>
      <c r="S92" s="46" t="s">
        <v>1017</v>
      </c>
      <c r="T92" s="46" t="s">
        <v>1017</v>
      </c>
      <c r="U92" s="46" t="s">
        <v>1017</v>
      </c>
      <c r="V92" s="46" t="s">
        <v>1017</v>
      </c>
      <c r="AA92" s="2"/>
      <c r="AG92" s="2"/>
      <c r="AJ92" s="2"/>
      <c r="AS92" s="2"/>
      <c r="AV92" s="2" t="s">
        <v>170</v>
      </c>
      <c r="AW92" s="2"/>
      <c r="BA92" s="2"/>
    </row>
    <row r="93" spans="2:53" x14ac:dyDescent="0.2">
      <c r="B93" s="2">
        <v>300</v>
      </c>
      <c r="C93" s="46" t="s">
        <v>25</v>
      </c>
      <c r="D93" s="2" t="s">
        <v>648</v>
      </c>
      <c r="E93" s="2" t="s">
        <v>85</v>
      </c>
      <c r="F93" s="42" t="s">
        <v>183</v>
      </c>
      <c r="G93" s="5" t="s">
        <v>929</v>
      </c>
      <c r="H93" s="3" t="s">
        <v>880</v>
      </c>
      <c r="S93" s="46" t="s">
        <v>1017</v>
      </c>
      <c r="T93" s="46" t="s">
        <v>1017</v>
      </c>
      <c r="U93" s="46" t="s">
        <v>1017</v>
      </c>
      <c r="V93" s="46" t="s">
        <v>1017</v>
      </c>
      <c r="AA93" s="2"/>
      <c r="AG93" s="2"/>
      <c r="AJ93" s="2"/>
      <c r="AS93" s="2"/>
      <c r="AV93" s="2" t="s">
        <v>170</v>
      </c>
      <c r="AW93" s="2"/>
      <c r="BA93" s="2"/>
    </row>
    <row r="94" spans="2:53" x14ac:dyDescent="0.2">
      <c r="B94" s="2">
        <v>200</v>
      </c>
      <c r="C94" s="46" t="s">
        <v>24</v>
      </c>
      <c r="D94" s="3" t="s">
        <v>649</v>
      </c>
      <c r="E94" s="3" t="s">
        <v>698</v>
      </c>
      <c r="F94" s="43" t="s">
        <v>657</v>
      </c>
      <c r="G94" s="3" t="s">
        <v>552</v>
      </c>
      <c r="H94" s="3" t="s">
        <v>881</v>
      </c>
      <c r="K94" s="2">
        <v>1</v>
      </c>
      <c r="O94" s="2">
        <v>0</v>
      </c>
      <c r="P94" s="2">
        <v>200</v>
      </c>
      <c r="Q94" s="2" t="s">
        <v>194</v>
      </c>
      <c r="S94" s="46" t="s">
        <v>1017</v>
      </c>
      <c r="T94" s="46" t="s">
        <v>1017</v>
      </c>
      <c r="U94" s="46" t="s">
        <v>1017</v>
      </c>
      <c r="V94" s="46" t="s">
        <v>1017</v>
      </c>
      <c r="W94" s="2">
        <v>1</v>
      </c>
      <c r="X94" s="2" t="s">
        <v>274</v>
      </c>
      <c r="AB94" s="2">
        <v>1</v>
      </c>
      <c r="AC94" s="2" t="s">
        <v>569</v>
      </c>
      <c r="AD94" s="27">
        <v>2015</v>
      </c>
      <c r="AE94" s="2">
        <v>1</v>
      </c>
      <c r="AF94" s="2" t="s">
        <v>901</v>
      </c>
      <c r="AG94" s="27">
        <v>1709</v>
      </c>
      <c r="AH94" s="2">
        <v>1</v>
      </c>
      <c r="AI94" s="26" t="s">
        <v>230</v>
      </c>
      <c r="AJ94" s="27">
        <f>1021.5+725.4</f>
        <v>1746.9</v>
      </c>
      <c r="AS94" s="2"/>
      <c r="AV94" s="3" t="s">
        <v>981</v>
      </c>
      <c r="AW94" s="3"/>
      <c r="BA94" s="2"/>
    </row>
    <row r="95" spans="2:53" x14ac:dyDescent="0.2">
      <c r="B95" s="2">
        <v>300</v>
      </c>
      <c r="C95" s="46" t="s">
        <v>25</v>
      </c>
      <c r="D95" s="3" t="s">
        <v>649</v>
      </c>
      <c r="E95" s="2" t="s">
        <v>677</v>
      </c>
      <c r="F95" s="42" t="s">
        <v>646</v>
      </c>
      <c r="H95" s="3" t="s">
        <v>876</v>
      </c>
      <c r="N95" s="2">
        <v>1</v>
      </c>
      <c r="S95" s="46" t="s">
        <v>997</v>
      </c>
      <c r="T95" s="46">
        <v>3</v>
      </c>
      <c r="U95" s="46">
        <v>22</v>
      </c>
      <c r="V95" s="46" t="s">
        <v>993</v>
      </c>
      <c r="AA95" s="2"/>
      <c r="AG95" s="2"/>
      <c r="AJ95" s="2"/>
      <c r="AS95" s="2"/>
      <c r="AW95" s="2"/>
      <c r="AX95" s="1">
        <v>2.2000000000000002</v>
      </c>
      <c r="AY95" s="2" t="s">
        <v>930</v>
      </c>
      <c r="BA95" s="2"/>
    </row>
    <row r="96" spans="2:53" x14ac:dyDescent="0.2">
      <c r="B96" s="2">
        <v>300</v>
      </c>
      <c r="C96" s="46" t="s">
        <v>25</v>
      </c>
      <c r="D96" s="3" t="s">
        <v>649</v>
      </c>
      <c r="E96" s="3" t="s">
        <v>650</v>
      </c>
      <c r="F96" s="43" t="s">
        <v>419</v>
      </c>
      <c r="H96" s="3" t="s">
        <v>876</v>
      </c>
      <c r="N96" s="2">
        <v>1</v>
      </c>
      <c r="S96" s="46" t="s">
        <v>997</v>
      </c>
      <c r="T96" s="46">
        <v>3</v>
      </c>
      <c r="U96" s="46">
        <v>30</v>
      </c>
      <c r="V96" s="46" t="s">
        <v>986</v>
      </c>
      <c r="AA96" s="2"/>
      <c r="AG96" s="2"/>
      <c r="AJ96" s="2"/>
      <c r="AS96" s="2"/>
      <c r="AT96" s="2">
        <v>1</v>
      </c>
      <c r="AV96" s="47" t="s">
        <v>372</v>
      </c>
      <c r="AW96" s="48">
        <f>(481+60)*0.9</f>
        <v>486.90000000000003</v>
      </c>
      <c r="AX96" s="1">
        <v>0.55000000000000004</v>
      </c>
      <c r="AY96" s="2" t="s">
        <v>877</v>
      </c>
      <c r="BA96" s="2"/>
    </row>
    <row r="97" spans="2:54" ht="25.5" x14ac:dyDescent="0.2">
      <c r="B97" s="2">
        <v>300</v>
      </c>
      <c r="C97" s="46" t="s">
        <v>25</v>
      </c>
      <c r="D97" s="3" t="s">
        <v>649</v>
      </c>
      <c r="E97" s="3" t="s">
        <v>658</v>
      </c>
      <c r="F97" s="43" t="s">
        <v>421</v>
      </c>
      <c r="H97" s="3" t="s">
        <v>876</v>
      </c>
      <c r="N97" s="2">
        <v>1</v>
      </c>
      <c r="S97" s="46" t="s">
        <v>997</v>
      </c>
      <c r="T97" s="46">
        <v>3</v>
      </c>
      <c r="U97" s="46">
        <v>32</v>
      </c>
      <c r="V97" s="46" t="s">
        <v>986</v>
      </c>
      <c r="AA97" s="2"/>
      <c r="AD97" s="49"/>
      <c r="AG97" s="2"/>
      <c r="AJ97" s="2"/>
      <c r="AS97" s="2"/>
      <c r="AT97" s="2">
        <v>1</v>
      </c>
      <c r="AV97" s="47" t="s">
        <v>372</v>
      </c>
      <c r="AW97" s="48">
        <f>(481+60)*0.9</f>
        <v>486.90000000000003</v>
      </c>
      <c r="AX97" s="1">
        <v>0.55000000000000004</v>
      </c>
      <c r="AY97" s="2" t="s">
        <v>877</v>
      </c>
      <c r="BA97" s="2"/>
    </row>
    <row r="98" spans="2:54" x14ac:dyDescent="0.2">
      <c r="B98" s="2">
        <v>300</v>
      </c>
      <c r="C98" s="46" t="s">
        <v>25</v>
      </c>
      <c r="D98" s="3" t="s">
        <v>649</v>
      </c>
      <c r="E98" s="3" t="s">
        <v>661</v>
      </c>
      <c r="F98" s="43" t="s">
        <v>420</v>
      </c>
      <c r="G98" s="3"/>
      <c r="H98" s="3" t="s">
        <v>876</v>
      </c>
      <c r="N98" s="2">
        <v>1</v>
      </c>
      <c r="S98" s="46" t="s">
        <v>997</v>
      </c>
      <c r="T98" s="46">
        <v>3</v>
      </c>
      <c r="U98" s="46">
        <v>33</v>
      </c>
      <c r="V98" s="46" t="s">
        <v>986</v>
      </c>
      <c r="AA98" s="2"/>
      <c r="AG98" s="2"/>
      <c r="AJ98" s="2"/>
      <c r="AS98" s="2"/>
      <c r="AT98" s="2">
        <v>1</v>
      </c>
      <c r="AV98" s="47" t="s">
        <v>372</v>
      </c>
      <c r="AW98" s="48">
        <f>(481+60)*0.9</f>
        <v>486.90000000000003</v>
      </c>
      <c r="AX98" s="1">
        <v>0.18</v>
      </c>
      <c r="AY98" s="2" t="s">
        <v>877</v>
      </c>
      <c r="BA98" s="2"/>
    </row>
    <row r="99" spans="2:54" x14ac:dyDescent="0.2">
      <c r="B99" s="2">
        <v>300</v>
      </c>
      <c r="C99" s="46" t="s">
        <v>25</v>
      </c>
      <c r="D99" s="3" t="s">
        <v>649</v>
      </c>
      <c r="E99" s="3" t="s">
        <v>1025</v>
      </c>
      <c r="F99" s="43" t="s">
        <v>655</v>
      </c>
      <c r="H99" s="5" t="s">
        <v>0</v>
      </c>
      <c r="S99" s="46" t="s">
        <v>1017</v>
      </c>
      <c r="T99" s="46" t="s">
        <v>1017</v>
      </c>
      <c r="U99" s="46" t="s">
        <v>1017</v>
      </c>
      <c r="V99" s="46" t="s">
        <v>1017</v>
      </c>
      <c r="AA99" s="2"/>
      <c r="AG99" s="2"/>
      <c r="AJ99" s="2"/>
      <c r="AS99" s="2"/>
      <c r="AV99" s="3" t="s">
        <v>866</v>
      </c>
      <c r="AW99" s="3"/>
      <c r="BA99" s="2"/>
    </row>
    <row r="100" spans="2:54" x14ac:dyDescent="0.2">
      <c r="B100" s="2">
        <v>300</v>
      </c>
      <c r="C100" s="46" t="s">
        <v>25</v>
      </c>
      <c r="D100" s="3" t="s">
        <v>649</v>
      </c>
      <c r="E100" s="3" t="s">
        <v>706</v>
      </c>
      <c r="F100" s="43" t="s">
        <v>659</v>
      </c>
      <c r="G100" s="3"/>
      <c r="H100" s="3" t="s">
        <v>0</v>
      </c>
      <c r="S100" s="46" t="s">
        <v>1017</v>
      </c>
      <c r="T100" s="46" t="s">
        <v>1017</v>
      </c>
      <c r="U100" s="46" t="s">
        <v>1017</v>
      </c>
      <c r="V100" s="46" t="s">
        <v>1017</v>
      </c>
      <c r="AA100" s="2"/>
      <c r="AG100" s="2"/>
      <c r="AJ100" s="2"/>
      <c r="AS100" s="2"/>
      <c r="AW100" s="2"/>
      <c r="BA100" s="2"/>
    </row>
    <row r="101" spans="2:54" x14ac:dyDescent="0.2">
      <c r="B101" s="2">
        <v>300</v>
      </c>
      <c r="C101" s="46" t="s">
        <v>25</v>
      </c>
      <c r="D101" s="3" t="s">
        <v>649</v>
      </c>
      <c r="E101" s="3" t="s">
        <v>708</v>
      </c>
      <c r="F101" s="43" t="s">
        <v>662</v>
      </c>
      <c r="G101" s="3"/>
      <c r="H101" s="3" t="s">
        <v>0</v>
      </c>
      <c r="S101" s="46" t="s">
        <v>1017</v>
      </c>
      <c r="T101" s="46" t="s">
        <v>1017</v>
      </c>
      <c r="U101" s="46" t="s">
        <v>1017</v>
      </c>
      <c r="V101" s="46" t="s">
        <v>1017</v>
      </c>
      <c r="AA101" s="2"/>
      <c r="AG101" s="2"/>
      <c r="AJ101" s="2"/>
      <c r="AS101" s="2"/>
      <c r="AV101" s="3"/>
      <c r="AW101" s="3"/>
      <c r="BA101" s="2"/>
    </row>
    <row r="102" spans="2:54" x14ac:dyDescent="0.2">
      <c r="B102" s="2">
        <v>300</v>
      </c>
      <c r="C102" s="46" t="s">
        <v>25</v>
      </c>
      <c r="D102" s="3" t="s">
        <v>649</v>
      </c>
      <c r="E102" s="3" t="s">
        <v>531</v>
      </c>
      <c r="F102" s="43" t="s">
        <v>656</v>
      </c>
      <c r="H102" s="3" t="s">
        <v>931</v>
      </c>
      <c r="L102" s="2">
        <v>1</v>
      </c>
      <c r="S102" s="46" t="s">
        <v>997</v>
      </c>
      <c r="T102" s="46">
        <v>2</v>
      </c>
      <c r="U102" s="46">
        <v>34</v>
      </c>
      <c r="V102" s="46" t="s">
        <v>1008</v>
      </c>
      <c r="AA102" s="2"/>
      <c r="AG102" s="2"/>
      <c r="AJ102" s="2"/>
      <c r="AS102" s="2"/>
      <c r="AV102" s="3" t="s">
        <v>167</v>
      </c>
      <c r="AW102" s="3"/>
      <c r="BA102" s="2"/>
    </row>
    <row r="103" spans="2:54" x14ac:dyDescent="0.2">
      <c r="B103" s="2">
        <v>300</v>
      </c>
      <c r="C103" s="46" t="s">
        <v>25</v>
      </c>
      <c r="D103" s="3" t="s">
        <v>649</v>
      </c>
      <c r="E103" s="3" t="s">
        <v>868</v>
      </c>
      <c r="F103" s="43" t="s">
        <v>660</v>
      </c>
      <c r="G103" s="3"/>
      <c r="H103" s="3" t="s">
        <v>931</v>
      </c>
      <c r="L103" s="2">
        <v>1</v>
      </c>
      <c r="S103" s="46" t="s">
        <v>1017</v>
      </c>
      <c r="T103" s="46" t="s">
        <v>1017</v>
      </c>
      <c r="U103" s="46" t="s">
        <v>1017</v>
      </c>
      <c r="V103" s="46" t="s">
        <v>1017</v>
      </c>
      <c r="AA103" s="2"/>
      <c r="AG103" s="2"/>
      <c r="AJ103" s="2"/>
      <c r="AS103" s="2"/>
      <c r="AV103" s="2" t="s">
        <v>860</v>
      </c>
      <c r="AW103" s="2"/>
      <c r="BA103" s="2"/>
    </row>
    <row r="104" spans="2:54" x14ac:dyDescent="0.2">
      <c r="B104" s="2">
        <v>300</v>
      </c>
      <c r="C104" s="46" t="s">
        <v>25</v>
      </c>
      <c r="D104" s="3" t="s">
        <v>649</v>
      </c>
      <c r="E104" s="3" t="s">
        <v>707</v>
      </c>
      <c r="F104" s="43" t="s">
        <v>663</v>
      </c>
      <c r="G104" s="3"/>
      <c r="H104" s="3" t="s">
        <v>931</v>
      </c>
      <c r="L104" s="2">
        <v>1</v>
      </c>
      <c r="S104" s="46" t="s">
        <v>1017</v>
      </c>
      <c r="T104" s="46" t="s">
        <v>1017</v>
      </c>
      <c r="U104" s="46" t="s">
        <v>1017</v>
      </c>
      <c r="V104" s="46" t="s">
        <v>1017</v>
      </c>
      <c r="AA104" s="2"/>
      <c r="AG104" s="2"/>
      <c r="AJ104" s="2"/>
      <c r="AS104" s="2"/>
      <c r="AV104" s="3"/>
      <c r="AW104" s="3"/>
      <c r="BA104" s="2"/>
    </row>
    <row r="105" spans="2:54" x14ac:dyDescent="0.2">
      <c r="B105" s="2">
        <v>300</v>
      </c>
      <c r="C105" s="46" t="s">
        <v>25</v>
      </c>
      <c r="D105" s="3" t="s">
        <v>649</v>
      </c>
      <c r="E105" s="3" t="s">
        <v>621</v>
      </c>
      <c r="F105" s="43" t="s">
        <v>199</v>
      </c>
      <c r="G105" s="3" t="s">
        <v>552</v>
      </c>
      <c r="H105" s="3" t="s">
        <v>881</v>
      </c>
      <c r="K105" s="2">
        <v>1</v>
      </c>
      <c r="O105" s="2">
        <v>0</v>
      </c>
      <c r="P105" s="2">
        <v>150</v>
      </c>
      <c r="Q105" s="2" t="s">
        <v>194</v>
      </c>
      <c r="S105" s="46" t="s">
        <v>1017</v>
      </c>
      <c r="T105" s="46" t="s">
        <v>1017</v>
      </c>
      <c r="U105" s="46" t="s">
        <v>1017</v>
      </c>
      <c r="V105" s="46" t="s">
        <v>1017</v>
      </c>
      <c r="W105" s="2">
        <v>1</v>
      </c>
      <c r="X105" s="2" t="s">
        <v>218</v>
      </c>
      <c r="AB105" s="2">
        <v>1</v>
      </c>
      <c r="AC105" s="2" t="s">
        <v>576</v>
      </c>
      <c r="AD105" s="27">
        <v>2010</v>
      </c>
      <c r="AE105" s="2">
        <v>1</v>
      </c>
      <c r="AF105" s="2" t="s">
        <v>904</v>
      </c>
      <c r="AG105" s="27">
        <v>1709</v>
      </c>
      <c r="AH105" s="2">
        <v>1</v>
      </c>
      <c r="AI105" s="2" t="s">
        <v>227</v>
      </c>
      <c r="AJ105" s="27">
        <f>606.6+725.6</f>
        <v>1332.2</v>
      </c>
      <c r="AS105" s="2"/>
      <c r="AV105" s="3" t="s">
        <v>947</v>
      </c>
      <c r="AW105" s="3"/>
      <c r="BA105" s="2"/>
    </row>
    <row r="106" spans="2:54" x14ac:dyDescent="0.2">
      <c r="B106" s="35">
        <v>300</v>
      </c>
      <c r="C106" s="46" t="s">
        <v>25</v>
      </c>
      <c r="D106" s="35" t="s">
        <v>649</v>
      </c>
      <c r="E106" s="35" t="s">
        <v>789</v>
      </c>
      <c r="F106" s="50" t="s">
        <v>948</v>
      </c>
      <c r="G106" s="35"/>
      <c r="H106" s="35" t="s">
        <v>881</v>
      </c>
      <c r="I106" s="35"/>
      <c r="J106" s="35"/>
      <c r="K106" s="35">
        <v>1</v>
      </c>
      <c r="L106" s="35"/>
      <c r="M106" s="35"/>
      <c r="N106" s="35"/>
      <c r="O106" s="35"/>
      <c r="P106" s="35"/>
      <c r="Q106" s="35"/>
      <c r="R106" s="35"/>
      <c r="S106" s="46" t="s">
        <v>1017</v>
      </c>
      <c r="T106" s="46" t="s">
        <v>1017</v>
      </c>
      <c r="U106" s="46" t="s">
        <v>1017</v>
      </c>
      <c r="V106" s="46" t="s">
        <v>1017</v>
      </c>
      <c r="W106" s="35"/>
      <c r="X106" s="35"/>
      <c r="Y106" s="35"/>
      <c r="Z106" s="35"/>
      <c r="AA106" s="35"/>
      <c r="AB106" s="35"/>
      <c r="AC106" s="35"/>
      <c r="AD106" s="51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 t="s">
        <v>949</v>
      </c>
      <c r="AW106" s="35"/>
      <c r="AX106" s="36"/>
      <c r="AY106" s="35"/>
      <c r="AZ106" s="35"/>
      <c r="BA106" s="35"/>
      <c r="BB106" s="35"/>
    </row>
    <row r="107" spans="2:54" ht="25.5" x14ac:dyDescent="0.2">
      <c r="B107" s="2">
        <v>300</v>
      </c>
      <c r="C107" s="46" t="s">
        <v>25</v>
      </c>
      <c r="D107" s="3" t="s">
        <v>649</v>
      </c>
      <c r="E107" s="3" t="s">
        <v>12</v>
      </c>
      <c r="F107" s="43" t="s">
        <v>950</v>
      </c>
      <c r="G107" s="5" t="s">
        <v>951</v>
      </c>
      <c r="H107" s="2" t="s">
        <v>881</v>
      </c>
      <c r="K107" s="2">
        <v>1</v>
      </c>
      <c r="O107" s="2">
        <v>0</v>
      </c>
      <c r="P107" s="2">
        <v>6</v>
      </c>
      <c r="Q107" s="2" t="s">
        <v>190</v>
      </c>
      <c r="S107" s="46" t="s">
        <v>1017</v>
      </c>
      <c r="T107" s="46" t="s">
        <v>1017</v>
      </c>
      <c r="U107" s="46" t="s">
        <v>1017</v>
      </c>
      <c r="V107" s="46" t="s">
        <v>1017</v>
      </c>
      <c r="W107" s="2">
        <v>1</v>
      </c>
      <c r="X107" s="2" t="s">
        <v>238</v>
      </c>
      <c r="Y107" s="2">
        <v>1</v>
      </c>
      <c r="AB107" s="2">
        <v>1</v>
      </c>
      <c r="AC107" s="2" t="s">
        <v>568</v>
      </c>
      <c r="AD107" s="27">
        <v>630</v>
      </c>
      <c r="AE107" s="2">
        <v>1</v>
      </c>
      <c r="AG107" s="2"/>
      <c r="AH107" s="2">
        <v>1</v>
      </c>
      <c r="AJ107" s="2"/>
      <c r="AS107" s="2"/>
      <c r="AV107" s="3" t="s">
        <v>804</v>
      </c>
      <c r="AW107" s="3"/>
      <c r="BA107" s="2"/>
    </row>
    <row r="108" spans="2:54" x14ac:dyDescent="0.2">
      <c r="B108" s="2">
        <v>400</v>
      </c>
      <c r="C108" s="46" t="s">
        <v>24</v>
      </c>
      <c r="D108" s="3" t="s">
        <v>649</v>
      </c>
      <c r="E108" s="2" t="s">
        <v>701</v>
      </c>
      <c r="F108" s="43" t="s">
        <v>653</v>
      </c>
      <c r="G108" s="3" t="s">
        <v>552</v>
      </c>
      <c r="H108" s="3" t="s">
        <v>881</v>
      </c>
      <c r="K108" s="2">
        <v>1</v>
      </c>
      <c r="O108" s="2">
        <v>0</v>
      </c>
      <c r="P108" s="2">
        <v>30</v>
      </c>
      <c r="Q108" s="2" t="s">
        <v>194</v>
      </c>
      <c r="S108" s="46" t="s">
        <v>1017</v>
      </c>
      <c r="T108" s="46" t="s">
        <v>1017</v>
      </c>
      <c r="U108" s="46" t="s">
        <v>1017</v>
      </c>
      <c r="V108" s="46" t="s">
        <v>1017</v>
      </c>
      <c r="W108" s="2">
        <v>1</v>
      </c>
      <c r="X108" s="2" t="s">
        <v>278</v>
      </c>
      <c r="AB108" s="2">
        <v>1</v>
      </c>
      <c r="AC108" s="2" t="s">
        <v>576</v>
      </c>
      <c r="AD108" s="27">
        <v>2140</v>
      </c>
      <c r="AE108" s="2">
        <v>1</v>
      </c>
      <c r="AF108" s="2" t="s">
        <v>904</v>
      </c>
      <c r="AG108" s="27">
        <v>1709</v>
      </c>
      <c r="AH108" s="2">
        <v>1</v>
      </c>
      <c r="AI108" s="2" t="s">
        <v>227</v>
      </c>
      <c r="AJ108" s="27">
        <f>606.6+725.6</f>
        <v>1332.2</v>
      </c>
      <c r="AS108" s="2"/>
      <c r="AV108" s="3" t="s">
        <v>952</v>
      </c>
      <c r="AW108" s="3"/>
    </row>
    <row r="109" spans="2:54" x14ac:dyDescent="0.2">
      <c r="B109" s="2">
        <v>400</v>
      </c>
      <c r="C109" s="46" t="s">
        <v>24</v>
      </c>
      <c r="D109" s="3" t="s">
        <v>649</v>
      </c>
      <c r="E109" s="3" t="s">
        <v>710</v>
      </c>
      <c r="F109" s="43" t="s">
        <v>818</v>
      </c>
      <c r="G109" s="2" t="s">
        <v>553</v>
      </c>
      <c r="H109" s="5" t="s">
        <v>357</v>
      </c>
      <c r="M109" s="10"/>
      <c r="N109" s="10">
        <v>1</v>
      </c>
      <c r="O109" s="2">
        <v>2</v>
      </c>
      <c r="P109" s="2">
        <v>12</v>
      </c>
      <c r="Q109" s="2" t="s">
        <v>352</v>
      </c>
      <c r="S109" s="46" t="s">
        <v>997</v>
      </c>
      <c r="T109" s="46">
        <v>2</v>
      </c>
      <c r="U109" s="46">
        <v>11</v>
      </c>
      <c r="V109" s="46" t="s">
        <v>990</v>
      </c>
      <c r="AB109" s="2">
        <v>1</v>
      </c>
      <c r="AC109" s="2" t="s">
        <v>575</v>
      </c>
      <c r="AD109" s="27">
        <f>280+80+910+30+280</f>
        <v>1580</v>
      </c>
      <c r="AE109" s="2">
        <v>1</v>
      </c>
      <c r="AF109" s="2" t="s">
        <v>900</v>
      </c>
      <c r="AG109" s="27">
        <f>631+744</f>
        <v>1375</v>
      </c>
      <c r="AH109" s="2">
        <v>1</v>
      </c>
      <c r="AI109" s="2" t="s">
        <v>953</v>
      </c>
      <c r="AJ109" s="2">
        <f>900.2+378</f>
        <v>1278.2</v>
      </c>
      <c r="AS109" s="2"/>
      <c r="AV109" s="3" t="s">
        <v>595</v>
      </c>
      <c r="AW109" s="3"/>
    </row>
    <row r="110" spans="2:54" x14ac:dyDescent="0.2">
      <c r="B110" s="2">
        <v>400</v>
      </c>
      <c r="C110" s="46" t="s">
        <v>25</v>
      </c>
      <c r="D110" s="3" t="s">
        <v>649</v>
      </c>
      <c r="E110" s="3" t="s">
        <v>651</v>
      </c>
      <c r="F110" s="43" t="s">
        <v>700</v>
      </c>
      <c r="H110" s="3" t="s">
        <v>876</v>
      </c>
      <c r="N110" s="2">
        <v>1</v>
      </c>
      <c r="S110" s="46" t="s">
        <v>997</v>
      </c>
      <c r="T110" s="46">
        <v>3</v>
      </c>
      <c r="U110" s="46">
        <v>31</v>
      </c>
      <c r="V110" s="46" t="s">
        <v>986</v>
      </c>
      <c r="AA110" s="2"/>
      <c r="AG110" s="2"/>
      <c r="AJ110" s="2"/>
      <c r="AS110" s="2"/>
      <c r="AT110" s="2">
        <v>1</v>
      </c>
      <c r="AV110" s="47" t="s">
        <v>372</v>
      </c>
      <c r="AW110" s="48">
        <f>(481+60)*0.9</f>
        <v>486.90000000000003</v>
      </c>
      <c r="AX110" s="1">
        <v>0.18</v>
      </c>
      <c r="AY110" s="2" t="s">
        <v>877</v>
      </c>
    </row>
    <row r="111" spans="2:54" x14ac:dyDescent="0.2">
      <c r="B111" s="2">
        <v>400</v>
      </c>
      <c r="C111" s="46" t="s">
        <v>25</v>
      </c>
      <c r="D111" s="3" t="s">
        <v>649</v>
      </c>
      <c r="E111" s="3" t="s">
        <v>702</v>
      </c>
      <c r="F111" s="43" t="s">
        <v>652</v>
      </c>
      <c r="H111" s="3" t="s">
        <v>931</v>
      </c>
      <c r="L111" s="2">
        <v>1</v>
      </c>
      <c r="S111" s="46" t="s">
        <v>1017</v>
      </c>
      <c r="T111" s="46" t="s">
        <v>1017</v>
      </c>
      <c r="U111" s="46" t="s">
        <v>1017</v>
      </c>
      <c r="V111" s="46" t="s">
        <v>1017</v>
      </c>
      <c r="AA111" s="2"/>
      <c r="AG111" s="2"/>
      <c r="AJ111" s="2"/>
      <c r="AS111" s="2"/>
      <c r="AV111" s="3" t="s">
        <v>857</v>
      </c>
      <c r="AW111" s="3"/>
    </row>
    <row r="112" spans="2:54" x14ac:dyDescent="0.2">
      <c r="B112" s="2">
        <v>400</v>
      </c>
      <c r="C112" s="46" t="s">
        <v>25</v>
      </c>
      <c r="D112" s="3" t="s">
        <v>649</v>
      </c>
      <c r="E112" s="3" t="s">
        <v>709</v>
      </c>
      <c r="F112" s="43" t="s">
        <v>654</v>
      </c>
      <c r="H112" s="3" t="s">
        <v>0</v>
      </c>
      <c r="S112" s="46" t="s">
        <v>1017</v>
      </c>
      <c r="T112" s="46" t="s">
        <v>1017</v>
      </c>
      <c r="U112" s="46" t="s">
        <v>1017</v>
      </c>
      <c r="V112" s="46" t="s">
        <v>1017</v>
      </c>
      <c r="AA112" s="2"/>
      <c r="AG112" s="2"/>
      <c r="AJ112" s="2"/>
      <c r="AS112" s="2"/>
      <c r="AV112" s="3"/>
      <c r="AW112" s="3"/>
    </row>
    <row r="113" spans="2:54" x14ac:dyDescent="0.2">
      <c r="B113" s="2">
        <v>600</v>
      </c>
      <c r="C113" s="46" t="s">
        <v>30</v>
      </c>
      <c r="D113" s="3" t="s">
        <v>649</v>
      </c>
      <c r="E113" s="3" t="s">
        <v>629</v>
      </c>
      <c r="F113" s="43" t="s">
        <v>29</v>
      </c>
      <c r="G113" s="3" t="s">
        <v>552</v>
      </c>
      <c r="H113" s="3" t="s">
        <v>881</v>
      </c>
      <c r="K113" s="2">
        <v>1</v>
      </c>
      <c r="O113" s="2">
        <v>0</v>
      </c>
      <c r="P113" s="2">
        <v>20</v>
      </c>
      <c r="Q113" s="2" t="s">
        <v>194</v>
      </c>
      <c r="S113" s="46" t="s">
        <v>1017</v>
      </c>
      <c r="T113" s="46" t="s">
        <v>1017</v>
      </c>
      <c r="U113" s="46" t="s">
        <v>1017</v>
      </c>
      <c r="V113" s="46" t="s">
        <v>1017</v>
      </c>
      <c r="W113" s="2">
        <v>1</v>
      </c>
      <c r="X113" s="2" t="s">
        <v>218</v>
      </c>
      <c r="AB113" s="2">
        <v>1</v>
      </c>
      <c r="AC113" s="2" t="s">
        <v>576</v>
      </c>
      <c r="AD113" s="27">
        <v>2010</v>
      </c>
      <c r="AE113" s="2">
        <v>1</v>
      </c>
      <c r="AF113" s="2" t="s">
        <v>907</v>
      </c>
      <c r="AG113" s="27">
        <v>2602</v>
      </c>
      <c r="AH113" s="2">
        <v>1</v>
      </c>
      <c r="AI113" s="2" t="s">
        <v>227</v>
      </c>
      <c r="AJ113" s="27">
        <f>606.6+725.6</f>
        <v>1332.2</v>
      </c>
      <c r="AS113" s="2"/>
      <c r="AV113" s="3" t="s">
        <v>954</v>
      </c>
      <c r="AW113" s="3"/>
      <c r="BA113" s="2"/>
    </row>
    <row r="114" spans="2:54" x14ac:dyDescent="0.2">
      <c r="B114" s="2">
        <v>300</v>
      </c>
      <c r="C114" s="46" t="s">
        <v>25</v>
      </c>
      <c r="D114" s="3" t="s">
        <v>676</v>
      </c>
      <c r="E114" s="2" t="s">
        <v>667</v>
      </c>
      <c r="F114" s="43" t="s">
        <v>422</v>
      </c>
      <c r="G114" s="3"/>
      <c r="H114" s="3" t="s">
        <v>876</v>
      </c>
      <c r="N114" s="2">
        <v>1</v>
      </c>
      <c r="S114" s="46" t="s">
        <v>997</v>
      </c>
      <c r="T114" s="46">
        <v>3</v>
      </c>
      <c r="U114" s="46">
        <v>34</v>
      </c>
      <c r="V114" s="46" t="s">
        <v>986</v>
      </c>
      <c r="AA114" s="2"/>
      <c r="AG114" s="2"/>
      <c r="AJ114" s="2"/>
      <c r="AS114" s="2"/>
      <c r="AT114" s="2">
        <v>1</v>
      </c>
      <c r="AV114" s="47" t="s">
        <v>372</v>
      </c>
      <c r="AW114" s="48">
        <f>(481+60)*0.9</f>
        <v>486.90000000000003</v>
      </c>
      <c r="AX114" s="1">
        <v>0.18</v>
      </c>
      <c r="AY114" s="2" t="s">
        <v>877</v>
      </c>
      <c r="BA114" s="2"/>
    </row>
    <row r="115" spans="2:54" x14ac:dyDescent="0.2">
      <c r="B115" s="2">
        <v>300</v>
      </c>
      <c r="C115" s="46" t="s">
        <v>25</v>
      </c>
      <c r="D115" s="2" t="s">
        <v>676</v>
      </c>
      <c r="E115" s="2" t="s">
        <v>671</v>
      </c>
      <c r="F115" s="43" t="s">
        <v>418</v>
      </c>
      <c r="G115" s="3"/>
      <c r="H115" s="3" t="s">
        <v>876</v>
      </c>
      <c r="N115" s="2">
        <v>1</v>
      </c>
      <c r="S115" s="46" t="s">
        <v>997</v>
      </c>
      <c r="T115" s="46">
        <v>3</v>
      </c>
      <c r="U115" s="46">
        <v>35</v>
      </c>
      <c r="V115" s="46" t="s">
        <v>986</v>
      </c>
      <c r="AA115" s="2"/>
      <c r="AG115" s="2"/>
      <c r="AJ115" s="2"/>
      <c r="AS115" s="2"/>
      <c r="AT115" s="2">
        <v>1</v>
      </c>
      <c r="AV115" s="47" t="s">
        <v>372</v>
      </c>
      <c r="AW115" s="48">
        <f>(481+60)*0.9</f>
        <v>486.90000000000003</v>
      </c>
      <c r="AX115" s="1">
        <v>0.18</v>
      </c>
      <c r="AY115" s="2" t="s">
        <v>877</v>
      </c>
    </row>
    <row r="116" spans="2:54" x14ac:dyDescent="0.2">
      <c r="B116" s="2">
        <v>300</v>
      </c>
      <c r="C116" s="46" t="s">
        <v>25</v>
      </c>
      <c r="D116" s="3" t="s">
        <v>676</v>
      </c>
      <c r="E116" s="3" t="s">
        <v>1022</v>
      </c>
      <c r="F116" s="43" t="s">
        <v>668</v>
      </c>
      <c r="G116" s="3"/>
      <c r="H116" s="3" t="s">
        <v>0</v>
      </c>
      <c r="S116" s="46" t="s">
        <v>1017</v>
      </c>
      <c r="T116" s="46" t="s">
        <v>1017</v>
      </c>
      <c r="U116" s="46" t="s">
        <v>1017</v>
      </c>
      <c r="V116" s="46" t="s">
        <v>1017</v>
      </c>
      <c r="AA116" s="2"/>
      <c r="AG116" s="2"/>
      <c r="AJ116" s="2"/>
      <c r="AS116" s="2"/>
      <c r="AW116" s="2"/>
      <c r="BA116" s="2"/>
    </row>
    <row r="117" spans="2:54" ht="25.5" x14ac:dyDescent="0.2">
      <c r="B117" s="2">
        <v>300</v>
      </c>
      <c r="C117" s="46" t="s">
        <v>25</v>
      </c>
      <c r="D117" s="3" t="s">
        <v>676</v>
      </c>
      <c r="E117" s="26" t="s">
        <v>867</v>
      </c>
      <c r="F117" s="52" t="s">
        <v>669</v>
      </c>
      <c r="G117" s="3" t="s">
        <v>552</v>
      </c>
      <c r="H117" s="26" t="s">
        <v>881</v>
      </c>
      <c r="I117" s="26"/>
      <c r="J117" s="26"/>
      <c r="K117" s="26">
        <v>1</v>
      </c>
      <c r="L117" s="26"/>
      <c r="M117" s="26"/>
      <c r="N117" s="26"/>
      <c r="O117" s="26">
        <v>0</v>
      </c>
      <c r="P117" s="26">
        <v>20</v>
      </c>
      <c r="Q117" s="26" t="s">
        <v>194</v>
      </c>
      <c r="R117" s="26"/>
      <c r="S117" s="46" t="s">
        <v>1017</v>
      </c>
      <c r="T117" s="46" t="s">
        <v>1017</v>
      </c>
      <c r="U117" s="46" t="s">
        <v>1017</v>
      </c>
      <c r="V117" s="46" t="s">
        <v>1017</v>
      </c>
      <c r="W117" s="26">
        <v>1</v>
      </c>
      <c r="X117" s="5" t="s">
        <v>218</v>
      </c>
      <c r="Y117" s="26"/>
      <c r="Z117" s="26"/>
      <c r="AA117" s="53"/>
      <c r="AB117" s="26">
        <v>1</v>
      </c>
      <c r="AC117" s="2" t="s">
        <v>576</v>
      </c>
      <c r="AD117" s="53">
        <v>2140</v>
      </c>
      <c r="AE117" s="26">
        <v>1</v>
      </c>
      <c r="AF117" s="5" t="s">
        <v>904</v>
      </c>
      <c r="AG117" s="53">
        <v>1453</v>
      </c>
      <c r="AH117" s="26">
        <v>1</v>
      </c>
      <c r="AI117" s="26" t="s">
        <v>230</v>
      </c>
      <c r="AJ117" s="27">
        <f>1021.5+725.4</f>
        <v>1746.9</v>
      </c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5" t="s">
        <v>955</v>
      </c>
      <c r="AW117" s="26"/>
      <c r="AX117" s="30"/>
      <c r="AY117" s="26"/>
      <c r="AZ117" s="26"/>
      <c r="BA117" s="26"/>
      <c r="BB117" s="26"/>
    </row>
    <row r="118" spans="2:54" x14ac:dyDescent="0.2">
      <c r="B118" s="2">
        <v>300</v>
      </c>
      <c r="C118" s="46" t="s">
        <v>25</v>
      </c>
      <c r="D118" s="3" t="s">
        <v>676</v>
      </c>
      <c r="E118" s="3" t="s">
        <v>13</v>
      </c>
      <c r="F118" s="43" t="s">
        <v>47</v>
      </c>
      <c r="G118" s="5" t="s">
        <v>951</v>
      </c>
      <c r="H118" s="3" t="s">
        <v>881</v>
      </c>
      <c r="K118" s="2">
        <v>1</v>
      </c>
      <c r="O118" s="2">
        <v>0</v>
      </c>
      <c r="P118" s="2">
        <v>6</v>
      </c>
      <c r="Q118" s="2" t="s">
        <v>190</v>
      </c>
      <c r="S118" s="46" t="s">
        <v>1017</v>
      </c>
      <c r="T118" s="46" t="s">
        <v>1017</v>
      </c>
      <c r="U118" s="46" t="s">
        <v>1017</v>
      </c>
      <c r="V118" s="46" t="s">
        <v>1017</v>
      </c>
      <c r="W118" s="2">
        <v>1</v>
      </c>
      <c r="X118" s="2" t="s">
        <v>238</v>
      </c>
      <c r="Y118" s="2">
        <v>1</v>
      </c>
      <c r="AB118" s="2">
        <v>1</v>
      </c>
      <c r="AC118" s="2" t="s">
        <v>568</v>
      </c>
      <c r="AD118" s="27">
        <v>630</v>
      </c>
      <c r="AE118" s="2">
        <v>1</v>
      </c>
      <c r="AG118" s="2"/>
      <c r="AH118" s="2">
        <v>1</v>
      </c>
      <c r="AJ118" s="2"/>
      <c r="AS118" s="2"/>
      <c r="AV118" s="2" t="s">
        <v>802</v>
      </c>
      <c r="AW118" s="2"/>
      <c r="BA118" s="2"/>
    </row>
    <row r="119" spans="2:54" x14ac:dyDescent="0.2">
      <c r="B119" s="2">
        <v>300</v>
      </c>
      <c r="C119" s="46" t="s">
        <v>25</v>
      </c>
      <c r="D119" s="3" t="s">
        <v>676</v>
      </c>
      <c r="E119" s="2" t="s">
        <v>807</v>
      </c>
      <c r="F119" s="42" t="s">
        <v>810</v>
      </c>
      <c r="G119" s="3"/>
      <c r="H119" s="3" t="s">
        <v>0</v>
      </c>
      <c r="S119" s="46" t="s">
        <v>1017</v>
      </c>
      <c r="T119" s="46" t="s">
        <v>1017</v>
      </c>
      <c r="U119" s="46" t="s">
        <v>1017</v>
      </c>
      <c r="V119" s="46" t="s">
        <v>1017</v>
      </c>
      <c r="AA119" s="2"/>
      <c r="AG119" s="2"/>
      <c r="AJ119" s="2"/>
      <c r="AS119" s="2"/>
      <c r="AW119" s="2"/>
      <c r="BA119" s="2"/>
    </row>
    <row r="120" spans="2:54" x14ac:dyDescent="0.2">
      <c r="B120" s="2">
        <v>300</v>
      </c>
      <c r="C120" s="46" t="s">
        <v>25</v>
      </c>
      <c r="D120" s="3" t="s">
        <v>676</v>
      </c>
      <c r="E120" s="3" t="s">
        <v>811</v>
      </c>
      <c r="F120" s="43" t="s">
        <v>670</v>
      </c>
      <c r="G120" s="3"/>
      <c r="H120" s="3" t="s">
        <v>931</v>
      </c>
      <c r="L120" s="2">
        <v>1</v>
      </c>
      <c r="S120" s="46" t="s">
        <v>1017</v>
      </c>
      <c r="T120" s="46" t="s">
        <v>1017</v>
      </c>
      <c r="U120" s="46" t="s">
        <v>1017</v>
      </c>
      <c r="V120" s="46" t="s">
        <v>1017</v>
      </c>
      <c r="AA120" s="2"/>
      <c r="AG120" s="2"/>
      <c r="AJ120" s="2"/>
      <c r="AS120" s="2"/>
      <c r="AV120" s="2" t="s">
        <v>859</v>
      </c>
      <c r="AW120" s="2"/>
      <c r="BA120" s="2"/>
    </row>
    <row r="121" spans="2:54" x14ac:dyDescent="0.2">
      <c r="B121" s="2">
        <v>300</v>
      </c>
      <c r="C121" s="46" t="s">
        <v>30</v>
      </c>
      <c r="D121" s="3" t="s">
        <v>676</v>
      </c>
      <c r="E121" s="2" t="s">
        <v>805</v>
      </c>
      <c r="F121" s="42" t="s">
        <v>815</v>
      </c>
      <c r="G121" s="2" t="s">
        <v>553</v>
      </c>
      <c r="H121" s="5" t="s">
        <v>357</v>
      </c>
      <c r="N121" s="2">
        <v>1</v>
      </c>
      <c r="O121" s="2">
        <v>2</v>
      </c>
      <c r="P121" s="2">
        <v>12</v>
      </c>
      <c r="Q121" s="2" t="s">
        <v>352</v>
      </c>
      <c r="S121" s="46" t="s">
        <v>997</v>
      </c>
      <c r="T121" s="46">
        <v>1</v>
      </c>
      <c r="U121" s="46">
        <v>60</v>
      </c>
      <c r="V121" s="46" t="s">
        <v>990</v>
      </c>
      <c r="AB121" s="2">
        <v>1</v>
      </c>
      <c r="AC121" s="2" t="s">
        <v>575</v>
      </c>
      <c r="AD121" s="27">
        <f>280+80+910+30+280</f>
        <v>1580</v>
      </c>
      <c r="AE121" s="2">
        <v>1</v>
      </c>
      <c r="AF121" s="2" t="s">
        <v>900</v>
      </c>
      <c r="AG121" s="27">
        <f>631+744</f>
        <v>1375</v>
      </c>
      <c r="AH121" s="2">
        <v>1</v>
      </c>
      <c r="AI121" s="2" t="s">
        <v>953</v>
      </c>
      <c r="AJ121" s="2">
        <f>900.2+378</f>
        <v>1278.2</v>
      </c>
      <c r="AS121" s="2"/>
      <c r="AV121" s="2" t="s">
        <v>814</v>
      </c>
      <c r="AW121" s="2"/>
      <c r="BA121" s="2"/>
    </row>
    <row r="122" spans="2:54" x14ac:dyDescent="0.2">
      <c r="B122" s="2">
        <v>400</v>
      </c>
      <c r="C122" s="46" t="s">
        <v>24</v>
      </c>
      <c r="D122" s="2" t="s">
        <v>676</v>
      </c>
      <c r="E122" s="2" t="s">
        <v>1023</v>
      </c>
      <c r="F122" s="43" t="s">
        <v>678</v>
      </c>
      <c r="G122" s="3"/>
      <c r="H122" s="3" t="s">
        <v>0</v>
      </c>
      <c r="S122" s="46" t="s">
        <v>1017</v>
      </c>
      <c r="T122" s="46" t="s">
        <v>1017</v>
      </c>
      <c r="U122" s="46" t="s">
        <v>1017</v>
      </c>
      <c r="V122" s="46" t="s">
        <v>1017</v>
      </c>
      <c r="AA122" s="2"/>
      <c r="AG122" s="2"/>
      <c r="AJ122" s="2"/>
      <c r="AS122" s="2"/>
      <c r="AV122" s="3"/>
      <c r="AW122" s="3"/>
    </row>
    <row r="123" spans="2:54" x14ac:dyDescent="0.2">
      <c r="B123" s="2">
        <v>400</v>
      </c>
      <c r="C123" s="46" t="s">
        <v>24</v>
      </c>
      <c r="D123" s="2" t="s">
        <v>676</v>
      </c>
      <c r="E123" s="2" t="s">
        <v>1024</v>
      </c>
      <c r="F123" s="43" t="s">
        <v>679</v>
      </c>
      <c r="G123" s="3"/>
      <c r="H123" s="3" t="s">
        <v>931</v>
      </c>
      <c r="L123" s="2">
        <v>1</v>
      </c>
      <c r="S123" s="46" t="s">
        <v>1017</v>
      </c>
      <c r="T123" s="46" t="s">
        <v>1017</v>
      </c>
      <c r="U123" s="46" t="s">
        <v>1017</v>
      </c>
      <c r="V123" s="46" t="s">
        <v>1017</v>
      </c>
      <c r="AA123" s="2"/>
      <c r="AG123" s="2"/>
      <c r="AJ123" s="2"/>
      <c r="AS123" s="2"/>
      <c r="AV123" s="3" t="s">
        <v>640</v>
      </c>
      <c r="AW123" s="3"/>
    </row>
    <row r="124" spans="2:54" x14ac:dyDescent="0.2">
      <c r="B124" s="2">
        <v>400</v>
      </c>
      <c r="C124" s="46" t="s">
        <v>24</v>
      </c>
      <c r="D124" s="2" t="s">
        <v>676</v>
      </c>
      <c r="E124" s="2" t="s">
        <v>699</v>
      </c>
      <c r="F124" s="43" t="s">
        <v>680</v>
      </c>
      <c r="G124" s="3" t="s">
        <v>552</v>
      </c>
      <c r="H124" s="3" t="s">
        <v>881</v>
      </c>
      <c r="K124" s="2">
        <v>1</v>
      </c>
      <c r="O124" s="2">
        <v>0</v>
      </c>
      <c r="P124" s="2">
        <v>20</v>
      </c>
      <c r="Q124" s="2" t="s">
        <v>194</v>
      </c>
      <c r="S124" s="46" t="s">
        <v>1017</v>
      </c>
      <c r="T124" s="46" t="s">
        <v>1017</v>
      </c>
      <c r="U124" s="46" t="s">
        <v>1017</v>
      </c>
      <c r="V124" s="46" t="s">
        <v>1017</v>
      </c>
      <c r="W124" s="2">
        <v>1</v>
      </c>
      <c r="X124" s="2" t="s">
        <v>217</v>
      </c>
      <c r="AB124" s="2">
        <v>1</v>
      </c>
      <c r="AC124" s="2" t="s">
        <v>576</v>
      </c>
      <c r="AD124" s="27">
        <v>2140</v>
      </c>
      <c r="AE124" s="2">
        <v>1</v>
      </c>
      <c r="AF124" s="2" t="s">
        <v>904</v>
      </c>
      <c r="AG124" s="27">
        <v>1453</v>
      </c>
      <c r="AH124" s="2">
        <v>1</v>
      </c>
      <c r="AI124" s="2" t="s">
        <v>227</v>
      </c>
      <c r="AJ124" s="27">
        <f>606.6+725.6</f>
        <v>1332.2</v>
      </c>
      <c r="AS124" s="2"/>
      <c r="AV124" s="3" t="s">
        <v>956</v>
      </c>
      <c r="AW124" s="3"/>
    </row>
    <row r="125" spans="2:54" x14ac:dyDescent="0.2">
      <c r="B125" s="2">
        <v>300</v>
      </c>
      <c r="C125" s="46" t="s">
        <v>25</v>
      </c>
      <c r="D125" s="3" t="s">
        <v>675</v>
      </c>
      <c r="E125" s="3" t="s">
        <v>664</v>
      </c>
      <c r="F125" s="43" t="s">
        <v>957</v>
      </c>
      <c r="G125" s="3"/>
      <c r="H125" s="3" t="s">
        <v>876</v>
      </c>
      <c r="N125" s="2">
        <v>1</v>
      </c>
      <c r="S125" s="46" t="s">
        <v>997</v>
      </c>
      <c r="T125" s="46">
        <v>3</v>
      </c>
      <c r="U125" s="46">
        <v>36</v>
      </c>
      <c r="V125" s="46" t="s">
        <v>986</v>
      </c>
      <c r="AA125" s="2"/>
      <c r="AG125" s="2"/>
      <c r="AJ125" s="2"/>
      <c r="AS125" s="2"/>
      <c r="AT125" s="2">
        <v>1</v>
      </c>
      <c r="AV125" s="47" t="s">
        <v>372</v>
      </c>
      <c r="AW125" s="48">
        <f>(481+60)*0.9</f>
        <v>486.90000000000003</v>
      </c>
      <c r="AX125" s="1">
        <v>0.55000000000000004</v>
      </c>
      <c r="AY125" s="2" t="s">
        <v>877</v>
      </c>
      <c r="BA125" s="2"/>
    </row>
    <row r="126" spans="2:54" x14ac:dyDescent="0.2">
      <c r="B126" s="2">
        <v>300</v>
      </c>
      <c r="C126" s="46" t="s">
        <v>25</v>
      </c>
      <c r="D126" s="3" t="s">
        <v>675</v>
      </c>
      <c r="E126" s="3" t="s">
        <v>705</v>
      </c>
      <c r="F126" s="43" t="s">
        <v>665</v>
      </c>
      <c r="G126" s="3"/>
      <c r="H126" s="3" t="s">
        <v>0</v>
      </c>
      <c r="S126" s="46" t="s">
        <v>1017</v>
      </c>
      <c r="T126" s="46" t="s">
        <v>1017</v>
      </c>
      <c r="U126" s="46" t="s">
        <v>1017</v>
      </c>
      <c r="V126" s="46" t="s">
        <v>1017</v>
      </c>
      <c r="AA126" s="2"/>
      <c r="AG126" s="2"/>
      <c r="AJ126" s="2"/>
      <c r="AS126" s="2"/>
      <c r="AW126" s="2"/>
      <c r="BA126" s="2"/>
    </row>
    <row r="127" spans="2:54" x14ac:dyDescent="0.2">
      <c r="B127" s="2">
        <v>300</v>
      </c>
      <c r="C127" s="46" t="s">
        <v>25</v>
      </c>
      <c r="D127" s="3" t="s">
        <v>675</v>
      </c>
      <c r="E127" s="3" t="s">
        <v>631</v>
      </c>
      <c r="F127" s="43" t="s">
        <v>31</v>
      </c>
      <c r="G127" s="3" t="s">
        <v>552</v>
      </c>
      <c r="H127" s="3" t="s">
        <v>881</v>
      </c>
      <c r="K127" s="2">
        <v>1</v>
      </c>
      <c r="O127" s="2">
        <v>0</v>
      </c>
      <c r="P127" s="2">
        <v>300</v>
      </c>
      <c r="Q127" s="2" t="s">
        <v>194</v>
      </c>
      <c r="S127" s="46" t="s">
        <v>1017</v>
      </c>
      <c r="T127" s="46" t="s">
        <v>1017</v>
      </c>
      <c r="U127" s="46" t="s">
        <v>1017</v>
      </c>
      <c r="V127" s="46" t="s">
        <v>1017</v>
      </c>
      <c r="W127" s="2">
        <v>1</v>
      </c>
      <c r="X127" s="2" t="s">
        <v>274</v>
      </c>
      <c r="AB127" s="2">
        <v>1</v>
      </c>
      <c r="AC127" s="2" t="s">
        <v>579</v>
      </c>
      <c r="AD127" s="27">
        <v>2140</v>
      </c>
      <c r="AE127" s="2">
        <v>1</v>
      </c>
      <c r="AF127" s="2" t="s">
        <v>901</v>
      </c>
      <c r="AG127" s="27">
        <v>1453</v>
      </c>
      <c r="AH127" s="2">
        <v>1</v>
      </c>
      <c r="AI127" s="26" t="s">
        <v>230</v>
      </c>
      <c r="AJ127" s="27">
        <f>1021.5+725.4</f>
        <v>1746.9</v>
      </c>
      <c r="AS127" s="2"/>
      <c r="AV127" s="3" t="s">
        <v>958</v>
      </c>
      <c r="AW127" s="3"/>
      <c r="BA127" s="2"/>
    </row>
    <row r="128" spans="2:54" x14ac:dyDescent="0.2">
      <c r="B128" s="2">
        <v>300</v>
      </c>
      <c r="C128" s="46" t="s">
        <v>25</v>
      </c>
      <c r="D128" s="3" t="s">
        <v>675</v>
      </c>
      <c r="E128" s="3" t="s">
        <v>456</v>
      </c>
      <c r="F128" s="43" t="s">
        <v>46</v>
      </c>
      <c r="G128" s="5" t="s">
        <v>951</v>
      </c>
      <c r="H128" s="3" t="s">
        <v>881</v>
      </c>
      <c r="K128" s="2">
        <v>1</v>
      </c>
      <c r="O128" s="2">
        <v>0</v>
      </c>
      <c r="P128" s="2">
        <v>6</v>
      </c>
      <c r="Q128" s="2" t="s">
        <v>190</v>
      </c>
      <c r="S128" s="46" t="s">
        <v>1017</v>
      </c>
      <c r="T128" s="46" t="s">
        <v>1017</v>
      </c>
      <c r="U128" s="46" t="s">
        <v>1017</v>
      </c>
      <c r="V128" s="46" t="s">
        <v>1017</v>
      </c>
      <c r="W128" s="2">
        <v>1</v>
      </c>
      <c r="X128" s="2" t="s">
        <v>238</v>
      </c>
      <c r="Y128" s="2">
        <v>1</v>
      </c>
      <c r="AB128" s="2">
        <v>1</v>
      </c>
      <c r="AC128" s="2" t="s">
        <v>568</v>
      </c>
      <c r="AD128" s="27">
        <v>630</v>
      </c>
      <c r="AE128" s="2">
        <v>1</v>
      </c>
      <c r="AG128" s="2"/>
      <c r="AH128" s="2">
        <v>1</v>
      </c>
      <c r="AJ128" s="2"/>
      <c r="AS128" s="2"/>
      <c r="AV128" s="3" t="s">
        <v>959</v>
      </c>
      <c r="AW128" s="3"/>
      <c r="BA128" s="2"/>
    </row>
    <row r="129" spans="2:53" x14ac:dyDescent="0.2">
      <c r="B129" s="2">
        <v>300</v>
      </c>
      <c r="C129" s="46" t="s">
        <v>25</v>
      </c>
      <c r="D129" s="3" t="s">
        <v>675</v>
      </c>
      <c r="E129" s="2" t="s">
        <v>808</v>
      </c>
      <c r="F129" s="42" t="s">
        <v>809</v>
      </c>
      <c r="G129" s="3"/>
      <c r="H129" s="3" t="s">
        <v>0</v>
      </c>
      <c r="S129" s="46" t="s">
        <v>1017</v>
      </c>
      <c r="T129" s="46" t="s">
        <v>1017</v>
      </c>
      <c r="U129" s="46" t="s">
        <v>1017</v>
      </c>
      <c r="V129" s="46" t="s">
        <v>1017</v>
      </c>
      <c r="AA129" s="2"/>
      <c r="AG129" s="2"/>
      <c r="AJ129" s="2"/>
      <c r="AS129" s="2"/>
      <c r="AW129" s="2"/>
      <c r="BA129" s="2"/>
    </row>
    <row r="130" spans="2:53" x14ac:dyDescent="0.2">
      <c r="B130" s="2">
        <v>300</v>
      </c>
      <c r="C130" s="46" t="s">
        <v>25</v>
      </c>
      <c r="D130" s="3" t="s">
        <v>675</v>
      </c>
      <c r="E130" s="3" t="s">
        <v>812</v>
      </c>
      <c r="F130" s="43" t="s">
        <v>666</v>
      </c>
      <c r="G130" s="3"/>
      <c r="H130" s="3" t="s">
        <v>931</v>
      </c>
      <c r="L130" s="2">
        <v>1</v>
      </c>
      <c r="S130" s="46" t="s">
        <v>1017</v>
      </c>
      <c r="T130" s="46" t="s">
        <v>1017</v>
      </c>
      <c r="U130" s="46" t="s">
        <v>1017</v>
      </c>
      <c r="V130" s="46" t="s">
        <v>1017</v>
      </c>
      <c r="AA130" s="2"/>
      <c r="AG130" s="2"/>
      <c r="AJ130" s="2"/>
      <c r="AS130" s="2"/>
      <c r="AV130" s="2" t="s">
        <v>858</v>
      </c>
      <c r="AW130" s="2"/>
      <c r="BA130" s="2"/>
    </row>
    <row r="131" spans="2:53" x14ac:dyDescent="0.2">
      <c r="B131" s="2">
        <v>300</v>
      </c>
      <c r="C131" s="46" t="s">
        <v>30</v>
      </c>
      <c r="D131" s="3" t="s">
        <v>675</v>
      </c>
      <c r="E131" s="2" t="s">
        <v>806</v>
      </c>
      <c r="F131" s="42" t="s">
        <v>816</v>
      </c>
      <c r="G131" s="2" t="s">
        <v>553</v>
      </c>
      <c r="H131" s="5" t="s">
        <v>357</v>
      </c>
      <c r="N131" s="2">
        <v>1</v>
      </c>
      <c r="O131" s="2">
        <v>2</v>
      </c>
      <c r="P131" s="2">
        <v>12</v>
      </c>
      <c r="Q131" s="2" t="s">
        <v>352</v>
      </c>
      <c r="S131" s="46" t="s">
        <v>997</v>
      </c>
      <c r="T131" s="46">
        <v>1</v>
      </c>
      <c r="U131" s="46">
        <v>61</v>
      </c>
      <c r="V131" s="46" t="s">
        <v>990</v>
      </c>
      <c r="AB131" s="2">
        <v>1</v>
      </c>
      <c r="AC131" s="2" t="s">
        <v>575</v>
      </c>
      <c r="AD131" s="27">
        <f>280+80+910+30+280</f>
        <v>1580</v>
      </c>
      <c r="AE131" s="2">
        <v>1</v>
      </c>
      <c r="AF131" s="2" t="s">
        <v>900</v>
      </c>
      <c r="AG131" s="27">
        <f>631+744</f>
        <v>1375</v>
      </c>
      <c r="AH131" s="2">
        <v>1</v>
      </c>
      <c r="AI131" s="2" t="s">
        <v>953</v>
      </c>
      <c r="AJ131" s="2">
        <f>900.2+378</f>
        <v>1278.2</v>
      </c>
      <c r="AS131" s="2"/>
      <c r="AV131" s="2" t="s">
        <v>813</v>
      </c>
      <c r="AW131" s="2"/>
      <c r="BA131" s="2"/>
    </row>
    <row r="132" spans="2:53" x14ac:dyDescent="0.2">
      <c r="B132" s="2">
        <v>400</v>
      </c>
      <c r="C132" s="46" t="s">
        <v>24</v>
      </c>
      <c r="D132" s="3" t="s">
        <v>697</v>
      </c>
      <c r="E132" s="3" t="s">
        <v>32</v>
      </c>
      <c r="F132" s="43" t="s">
        <v>960</v>
      </c>
      <c r="G132" s="3"/>
      <c r="H132" s="3" t="s">
        <v>876</v>
      </c>
      <c r="N132" s="2">
        <v>1</v>
      </c>
      <c r="S132" s="46" t="s">
        <v>997</v>
      </c>
      <c r="T132" s="46">
        <v>1</v>
      </c>
      <c r="U132" s="46">
        <v>63</v>
      </c>
      <c r="V132" s="46" t="s">
        <v>998</v>
      </c>
      <c r="AA132" s="2"/>
      <c r="AG132" s="2"/>
      <c r="AJ132" s="2"/>
      <c r="AS132" s="2"/>
      <c r="AT132" s="2">
        <v>1</v>
      </c>
      <c r="AV132" s="47" t="s">
        <v>372</v>
      </c>
      <c r="AW132" s="48">
        <f>(481+60)*0.9</f>
        <v>486.90000000000003</v>
      </c>
      <c r="AX132" s="1">
        <v>0.37</v>
      </c>
      <c r="AY132" s="2" t="s">
        <v>877</v>
      </c>
    </row>
    <row r="133" spans="2:53" x14ac:dyDescent="0.2">
      <c r="B133" s="2">
        <v>400</v>
      </c>
      <c r="C133" s="46" t="s">
        <v>24</v>
      </c>
      <c r="D133" s="3" t="s">
        <v>697</v>
      </c>
      <c r="E133" s="3" t="s">
        <v>703</v>
      </c>
      <c r="F133" s="43" t="s">
        <v>1018</v>
      </c>
      <c r="G133" s="3"/>
      <c r="H133" s="3" t="s">
        <v>931</v>
      </c>
      <c r="L133" s="2">
        <v>1</v>
      </c>
      <c r="S133" s="46" t="s">
        <v>1017</v>
      </c>
      <c r="T133" s="46" t="s">
        <v>1017</v>
      </c>
      <c r="U133" s="46" t="s">
        <v>1017</v>
      </c>
      <c r="V133" s="46" t="s">
        <v>1017</v>
      </c>
      <c r="AA133" s="2"/>
      <c r="AG133" s="2"/>
      <c r="AJ133" s="2"/>
      <c r="AS133" s="2"/>
      <c r="AV133" s="3" t="s">
        <v>961</v>
      </c>
      <c r="AW133" s="3"/>
    </row>
    <row r="134" spans="2:53" x14ac:dyDescent="0.2">
      <c r="B134" s="2">
        <v>400</v>
      </c>
      <c r="C134" s="46" t="s">
        <v>24</v>
      </c>
      <c r="D134" s="3" t="s">
        <v>697</v>
      </c>
      <c r="E134" s="3" t="s">
        <v>704</v>
      </c>
      <c r="F134" s="43" t="s">
        <v>1019</v>
      </c>
      <c r="G134" s="3" t="s">
        <v>552</v>
      </c>
      <c r="H134" s="3" t="s">
        <v>881</v>
      </c>
      <c r="K134" s="2">
        <v>1</v>
      </c>
      <c r="O134" s="2">
        <v>0</v>
      </c>
      <c r="P134" s="2">
        <v>100</v>
      </c>
      <c r="Q134" s="2" t="s">
        <v>194</v>
      </c>
      <c r="S134" s="46" t="s">
        <v>1017</v>
      </c>
      <c r="T134" s="46" t="s">
        <v>1017</v>
      </c>
      <c r="U134" s="46" t="s">
        <v>1017</v>
      </c>
      <c r="V134" s="46" t="s">
        <v>1017</v>
      </c>
      <c r="W134" s="2">
        <v>1</v>
      </c>
      <c r="X134" s="2" t="s">
        <v>279</v>
      </c>
      <c r="AB134" s="2">
        <v>1</v>
      </c>
      <c r="AC134" s="2" t="s">
        <v>569</v>
      </c>
      <c r="AD134" s="27">
        <v>2140</v>
      </c>
      <c r="AE134" s="2">
        <v>1</v>
      </c>
      <c r="AF134" s="2" t="s">
        <v>905</v>
      </c>
      <c r="AG134" s="27">
        <v>1249</v>
      </c>
      <c r="AH134" s="2">
        <v>1</v>
      </c>
      <c r="AI134" s="2" t="s">
        <v>227</v>
      </c>
      <c r="AJ134" s="27">
        <f>606.6+725.6</f>
        <v>1332.2</v>
      </c>
      <c r="AS134" s="2"/>
      <c r="AV134" s="3" t="s">
        <v>962</v>
      </c>
      <c r="AW134" s="3"/>
    </row>
    <row r="135" spans="2:53" x14ac:dyDescent="0.2">
      <c r="B135" s="2">
        <v>400</v>
      </c>
      <c r="C135" s="46" t="s">
        <v>24</v>
      </c>
      <c r="D135" s="3" t="s">
        <v>697</v>
      </c>
      <c r="E135" s="3" t="s">
        <v>1021</v>
      </c>
      <c r="F135" s="43" t="s">
        <v>1020</v>
      </c>
      <c r="G135" s="3"/>
      <c r="H135" s="3" t="s">
        <v>0</v>
      </c>
      <c r="S135" s="46" t="s">
        <v>1017</v>
      </c>
      <c r="T135" s="46" t="s">
        <v>1017</v>
      </c>
      <c r="U135" s="46" t="s">
        <v>1017</v>
      </c>
      <c r="V135" s="46" t="s">
        <v>1017</v>
      </c>
      <c r="AA135" s="2"/>
      <c r="AG135" s="2"/>
      <c r="AJ135" s="2"/>
      <c r="AS135" s="2"/>
      <c r="AV135" s="3"/>
      <c r="AW135" s="3"/>
    </row>
    <row r="136" spans="2:53" x14ac:dyDescent="0.2">
      <c r="B136" s="2">
        <v>600</v>
      </c>
      <c r="C136" s="46" t="s">
        <v>30</v>
      </c>
      <c r="D136" s="3" t="s">
        <v>674</v>
      </c>
      <c r="E136" s="3" t="s">
        <v>645</v>
      </c>
      <c r="F136" s="43" t="s">
        <v>423</v>
      </c>
      <c r="G136" s="3"/>
      <c r="H136" s="3" t="s">
        <v>876</v>
      </c>
      <c r="N136" s="2">
        <v>1</v>
      </c>
      <c r="R136" s="3"/>
      <c r="S136" s="46" t="s">
        <v>997</v>
      </c>
      <c r="T136" s="46">
        <v>1</v>
      </c>
      <c r="U136" s="46">
        <v>11</v>
      </c>
      <c r="V136" s="46" t="s">
        <v>986</v>
      </c>
      <c r="AA136" s="2"/>
      <c r="AG136" s="2"/>
      <c r="AJ136" s="2"/>
      <c r="AS136" s="2"/>
      <c r="AT136" s="2">
        <v>1</v>
      </c>
      <c r="AV136" s="47" t="s">
        <v>372</v>
      </c>
      <c r="AW136" s="48">
        <f>(481+60)*0.9</f>
        <v>486.90000000000003</v>
      </c>
      <c r="AX136" s="1">
        <v>0.55000000000000004</v>
      </c>
      <c r="AY136" s="2" t="s">
        <v>877</v>
      </c>
      <c r="BA136" s="2"/>
    </row>
    <row r="137" spans="2:53" x14ac:dyDescent="0.2">
      <c r="B137" s="2">
        <v>600</v>
      </c>
      <c r="C137" s="46" t="s">
        <v>30</v>
      </c>
      <c r="D137" s="3" t="s">
        <v>674</v>
      </c>
      <c r="E137" s="2" t="s">
        <v>88</v>
      </c>
      <c r="F137" s="42" t="s">
        <v>891</v>
      </c>
      <c r="H137" s="3" t="s">
        <v>876</v>
      </c>
      <c r="N137" s="2">
        <v>1</v>
      </c>
      <c r="S137" s="46" t="s">
        <v>997</v>
      </c>
      <c r="T137" s="46">
        <v>1</v>
      </c>
      <c r="U137" s="46">
        <v>49</v>
      </c>
      <c r="V137" s="46">
        <v>0</v>
      </c>
      <c r="AA137" s="2"/>
      <c r="AG137" s="2"/>
      <c r="AJ137" s="2"/>
      <c r="AS137" s="2"/>
      <c r="AW137" s="2"/>
      <c r="AX137" s="1">
        <v>0.37</v>
      </c>
      <c r="AY137" s="2" t="s">
        <v>930</v>
      </c>
      <c r="BA137" s="2"/>
    </row>
    <row r="138" spans="2:53" x14ac:dyDescent="0.2">
      <c r="B138" s="2">
        <v>600</v>
      </c>
      <c r="C138" s="46" t="s">
        <v>30</v>
      </c>
      <c r="D138" s="3" t="s">
        <v>674</v>
      </c>
      <c r="E138" s="2" t="s">
        <v>694</v>
      </c>
      <c r="F138" s="42" t="s">
        <v>696</v>
      </c>
      <c r="H138" s="5" t="s">
        <v>0</v>
      </c>
      <c r="S138" s="46" t="s">
        <v>1017</v>
      </c>
      <c r="T138" s="46" t="s">
        <v>1017</v>
      </c>
      <c r="U138" s="46" t="s">
        <v>1017</v>
      </c>
      <c r="V138" s="46" t="s">
        <v>1017</v>
      </c>
      <c r="AA138" s="2"/>
      <c r="AG138" s="2"/>
      <c r="AJ138" s="2"/>
      <c r="AS138" s="2"/>
      <c r="AW138" s="2"/>
      <c r="BA138" s="2"/>
    </row>
    <row r="139" spans="2:53" x14ac:dyDescent="0.2">
      <c r="B139" s="2">
        <v>600</v>
      </c>
      <c r="C139" s="46" t="s">
        <v>30</v>
      </c>
      <c r="D139" s="3" t="s">
        <v>674</v>
      </c>
      <c r="E139" s="2" t="s">
        <v>693</v>
      </c>
      <c r="F139" s="42" t="s">
        <v>695</v>
      </c>
      <c r="H139" s="2" t="s">
        <v>357</v>
      </c>
      <c r="M139" s="2">
        <v>1</v>
      </c>
      <c r="S139" s="46" t="s">
        <v>997</v>
      </c>
      <c r="T139" s="46">
        <v>1</v>
      </c>
      <c r="U139" s="46">
        <v>81</v>
      </c>
      <c r="V139" s="46" t="s">
        <v>996</v>
      </c>
      <c r="AA139" s="2"/>
      <c r="AE139" s="2">
        <v>1</v>
      </c>
      <c r="AG139" s="2"/>
      <c r="AJ139" s="2"/>
      <c r="AS139" s="2"/>
      <c r="AV139" s="2" t="s">
        <v>963</v>
      </c>
      <c r="AW139" s="2"/>
      <c r="BA139" s="2"/>
    </row>
    <row r="140" spans="2:53" x14ac:dyDescent="0.2">
      <c r="B140" s="2">
        <v>600</v>
      </c>
      <c r="C140" s="46" t="s">
        <v>30</v>
      </c>
      <c r="D140" s="3" t="s">
        <v>674</v>
      </c>
      <c r="E140" s="2" t="s">
        <v>894</v>
      </c>
      <c r="F140" s="42" t="s">
        <v>33</v>
      </c>
      <c r="H140" s="3" t="s">
        <v>881</v>
      </c>
      <c r="K140" s="2">
        <v>1</v>
      </c>
      <c r="S140" s="46" t="s">
        <v>1017</v>
      </c>
      <c r="T140" s="46" t="s">
        <v>1017</v>
      </c>
      <c r="U140" s="46" t="s">
        <v>1017</v>
      </c>
      <c r="V140" s="46" t="s">
        <v>1017</v>
      </c>
      <c r="AA140" s="2"/>
      <c r="AG140" s="2"/>
      <c r="AJ140" s="2"/>
      <c r="AK140" s="2">
        <v>1</v>
      </c>
      <c r="AS140" s="2"/>
      <c r="AW140" s="2"/>
      <c r="BA140" s="2"/>
    </row>
    <row r="141" spans="2:53" x14ac:dyDescent="0.2">
      <c r="B141" s="2">
        <v>600</v>
      </c>
      <c r="C141" s="46" t="s">
        <v>30</v>
      </c>
      <c r="D141" s="3" t="s">
        <v>674</v>
      </c>
      <c r="E141" s="2" t="s">
        <v>691</v>
      </c>
      <c r="F141" s="42" t="s">
        <v>692</v>
      </c>
      <c r="G141" s="2" t="s">
        <v>552</v>
      </c>
      <c r="H141" s="5" t="s">
        <v>881</v>
      </c>
      <c r="K141" s="2">
        <v>1</v>
      </c>
      <c r="O141" s="2">
        <v>0</v>
      </c>
      <c r="P141" s="2">
        <v>5</v>
      </c>
      <c r="Q141" s="2" t="s">
        <v>195</v>
      </c>
      <c r="S141" s="46" t="s">
        <v>1017</v>
      </c>
      <c r="T141" s="46" t="s">
        <v>1017</v>
      </c>
      <c r="U141" s="46" t="s">
        <v>1017</v>
      </c>
      <c r="V141" s="46" t="s">
        <v>1017</v>
      </c>
      <c r="W141" s="2">
        <v>1</v>
      </c>
      <c r="X141" s="2" t="s">
        <v>687</v>
      </c>
      <c r="AB141" s="2">
        <v>1</v>
      </c>
      <c r="AE141" s="2">
        <v>1</v>
      </c>
      <c r="AG141" s="2"/>
      <c r="AH141" s="2">
        <v>1</v>
      </c>
      <c r="AS141" s="2"/>
      <c r="AV141" s="2" t="s">
        <v>49</v>
      </c>
      <c r="AW141" s="2"/>
      <c r="BA141" s="2"/>
    </row>
    <row r="142" spans="2:53" x14ac:dyDescent="0.2">
      <c r="B142" s="2">
        <v>600</v>
      </c>
      <c r="C142" s="46" t="s">
        <v>30</v>
      </c>
      <c r="D142" s="2" t="s">
        <v>674</v>
      </c>
      <c r="E142" s="2" t="s">
        <v>91</v>
      </c>
      <c r="F142" s="42" t="s">
        <v>93</v>
      </c>
      <c r="G142" s="3"/>
      <c r="H142" s="3" t="s">
        <v>94</v>
      </c>
      <c r="S142" s="46" t="s">
        <v>997</v>
      </c>
      <c r="T142" s="46">
        <v>1</v>
      </c>
      <c r="U142" s="46">
        <v>48</v>
      </c>
      <c r="V142" s="46">
        <v>0</v>
      </c>
      <c r="AA142" s="2"/>
      <c r="AG142" s="2"/>
      <c r="AJ142" s="2"/>
      <c r="AS142" s="2"/>
      <c r="AW142" s="2"/>
      <c r="AY142" s="2" t="s">
        <v>930</v>
      </c>
      <c r="BA142" s="2"/>
    </row>
    <row r="143" spans="2:53" x14ac:dyDescent="0.2">
      <c r="B143" s="2">
        <v>600</v>
      </c>
      <c r="C143" s="46" t="s">
        <v>30</v>
      </c>
      <c r="D143" s="3" t="s">
        <v>674</v>
      </c>
      <c r="E143" s="2" t="s">
        <v>886</v>
      </c>
      <c r="F143" s="42" t="s">
        <v>888</v>
      </c>
      <c r="G143" s="5" t="s">
        <v>951</v>
      </c>
      <c r="H143" s="3" t="s">
        <v>881</v>
      </c>
      <c r="K143" s="2">
        <v>1</v>
      </c>
      <c r="O143" s="2">
        <v>0</v>
      </c>
      <c r="P143" s="2">
        <v>2</v>
      </c>
      <c r="Q143" s="2" t="s">
        <v>190</v>
      </c>
      <c r="S143" s="46" t="s">
        <v>1017</v>
      </c>
      <c r="T143" s="46" t="s">
        <v>1017</v>
      </c>
      <c r="U143" s="46" t="s">
        <v>1017</v>
      </c>
      <c r="V143" s="46" t="s">
        <v>1017</v>
      </c>
      <c r="W143" s="2">
        <v>1</v>
      </c>
      <c r="X143" s="2" t="s">
        <v>238</v>
      </c>
      <c r="Y143" s="2">
        <v>1</v>
      </c>
      <c r="Z143" s="2" t="s">
        <v>299</v>
      </c>
      <c r="AA143" s="27">
        <v>570</v>
      </c>
      <c r="AB143" s="2">
        <v>1</v>
      </c>
      <c r="AC143" s="2" t="s">
        <v>568</v>
      </c>
      <c r="AD143" s="27">
        <v>630</v>
      </c>
      <c r="AE143" s="2">
        <v>1</v>
      </c>
      <c r="AG143" s="2"/>
      <c r="AH143" s="2">
        <v>1</v>
      </c>
      <c r="AI143" s="2">
        <v>584</v>
      </c>
      <c r="AJ143" s="2"/>
      <c r="AS143" s="2"/>
      <c r="AW143" s="2"/>
      <c r="BA143" s="2"/>
    </row>
    <row r="144" spans="2:53" x14ac:dyDescent="0.2">
      <c r="B144" s="2">
        <v>600</v>
      </c>
      <c r="C144" s="46" t="s">
        <v>30</v>
      </c>
      <c r="D144" s="3" t="s">
        <v>674</v>
      </c>
      <c r="E144" s="2" t="s">
        <v>887</v>
      </c>
      <c r="F144" s="42" t="s">
        <v>889</v>
      </c>
      <c r="G144" s="5" t="s">
        <v>951</v>
      </c>
      <c r="H144" s="3" t="s">
        <v>881</v>
      </c>
      <c r="K144" s="2">
        <v>1</v>
      </c>
      <c r="O144" s="2">
        <v>0</v>
      </c>
      <c r="P144" s="2">
        <v>2</v>
      </c>
      <c r="Q144" s="2" t="s">
        <v>190</v>
      </c>
      <c r="S144" s="46" t="s">
        <v>1017</v>
      </c>
      <c r="T144" s="46" t="s">
        <v>1017</v>
      </c>
      <c r="U144" s="46" t="s">
        <v>1017</v>
      </c>
      <c r="V144" s="46" t="s">
        <v>1017</v>
      </c>
      <c r="W144" s="2">
        <v>1</v>
      </c>
      <c r="X144" s="2" t="s">
        <v>238</v>
      </c>
      <c r="Y144" s="2">
        <v>1</v>
      </c>
      <c r="Z144" s="2" t="s">
        <v>299</v>
      </c>
      <c r="AA144" s="27">
        <v>570</v>
      </c>
      <c r="AB144" s="2">
        <v>1</v>
      </c>
      <c r="AC144" s="2" t="s">
        <v>568</v>
      </c>
      <c r="AD144" s="27">
        <v>630</v>
      </c>
      <c r="AE144" s="2">
        <v>1</v>
      </c>
      <c r="AG144" s="2"/>
      <c r="AH144" s="2">
        <v>1</v>
      </c>
      <c r="AI144" s="2">
        <v>584</v>
      </c>
      <c r="AJ144" s="2"/>
      <c r="AS144" s="2"/>
      <c r="AW144" s="2"/>
      <c r="BA144" s="2"/>
    </row>
    <row r="145" spans="1:53" x14ac:dyDescent="0.2">
      <c r="B145" s="2">
        <v>600</v>
      </c>
      <c r="C145" s="46" t="s">
        <v>30</v>
      </c>
      <c r="D145" s="3" t="s">
        <v>674</v>
      </c>
      <c r="E145" s="2" t="s">
        <v>682</v>
      </c>
      <c r="F145" s="42" t="s">
        <v>890</v>
      </c>
      <c r="H145" s="3" t="s">
        <v>876</v>
      </c>
      <c r="N145" s="2">
        <v>1</v>
      </c>
      <c r="S145" s="46" t="s">
        <v>997</v>
      </c>
      <c r="T145" s="46">
        <v>1</v>
      </c>
      <c r="U145" s="46">
        <v>45</v>
      </c>
      <c r="V145" s="46">
        <v>0</v>
      </c>
      <c r="AA145" s="2"/>
      <c r="AG145" s="2"/>
      <c r="AJ145" s="2"/>
      <c r="AS145" s="2"/>
      <c r="AW145" s="2"/>
      <c r="AX145" s="1">
        <v>1</v>
      </c>
      <c r="AY145" s="2" t="s">
        <v>930</v>
      </c>
      <c r="BA145" s="2"/>
    </row>
    <row r="146" spans="1:53" x14ac:dyDescent="0.2">
      <c r="B146" s="2">
        <v>600</v>
      </c>
      <c r="C146" s="46" t="s">
        <v>30</v>
      </c>
      <c r="D146" s="3" t="s">
        <v>674</v>
      </c>
      <c r="E146" s="2" t="s">
        <v>681</v>
      </c>
      <c r="F146" s="42" t="s">
        <v>890</v>
      </c>
      <c r="H146" s="3" t="s">
        <v>876</v>
      </c>
      <c r="N146" s="2">
        <v>1</v>
      </c>
      <c r="S146" s="46" t="s">
        <v>997</v>
      </c>
      <c r="T146" s="46">
        <v>1</v>
      </c>
      <c r="U146" s="46">
        <v>46</v>
      </c>
      <c r="V146" s="46">
        <v>0</v>
      </c>
      <c r="AA146" s="2"/>
      <c r="AG146" s="2"/>
      <c r="AJ146" s="2"/>
      <c r="AS146" s="2"/>
      <c r="AW146" s="2"/>
      <c r="AX146" s="1">
        <v>1</v>
      </c>
      <c r="AY146" s="2" t="s">
        <v>930</v>
      </c>
      <c r="BA146" s="2"/>
    </row>
    <row r="147" spans="1:53" x14ac:dyDescent="0.2">
      <c r="B147" s="2">
        <v>600</v>
      </c>
      <c r="C147" s="46" t="s">
        <v>30</v>
      </c>
      <c r="D147" s="2" t="s">
        <v>674</v>
      </c>
      <c r="E147" s="2" t="s">
        <v>90</v>
      </c>
      <c r="F147" s="42" t="s">
        <v>92</v>
      </c>
      <c r="G147" s="3"/>
      <c r="H147" s="3" t="s">
        <v>876</v>
      </c>
      <c r="S147" s="46" t="s">
        <v>997</v>
      </c>
      <c r="T147" s="46">
        <v>1</v>
      </c>
      <c r="U147" s="46">
        <v>47</v>
      </c>
      <c r="V147" s="46">
        <v>0</v>
      </c>
      <c r="AA147" s="2"/>
      <c r="AG147" s="2"/>
      <c r="AJ147" s="2"/>
      <c r="AS147" s="2"/>
      <c r="AW147" s="2"/>
      <c r="AY147" s="2" t="s">
        <v>930</v>
      </c>
      <c r="BA147" s="2"/>
    </row>
    <row r="148" spans="1:53" x14ac:dyDescent="0.2">
      <c r="B148" s="2">
        <v>600</v>
      </c>
      <c r="C148" s="46" t="s">
        <v>30</v>
      </c>
      <c r="D148" s="3" t="s">
        <v>674</v>
      </c>
      <c r="E148" s="2" t="s">
        <v>180</v>
      </c>
      <c r="F148" s="42" t="s">
        <v>892</v>
      </c>
      <c r="G148" s="5" t="s">
        <v>929</v>
      </c>
      <c r="H148" s="3" t="s">
        <v>880</v>
      </c>
      <c r="J148" s="2">
        <v>1</v>
      </c>
      <c r="S148" s="46" t="s">
        <v>1017</v>
      </c>
      <c r="T148" s="46" t="s">
        <v>1017</v>
      </c>
      <c r="U148" s="46" t="s">
        <v>1017</v>
      </c>
      <c r="V148" s="46" t="s">
        <v>1017</v>
      </c>
      <c r="AA148" s="2"/>
      <c r="AG148" s="2"/>
      <c r="AJ148" s="2"/>
      <c r="AS148" s="2"/>
      <c r="AV148" s="2" t="s">
        <v>895</v>
      </c>
      <c r="AW148" s="2"/>
      <c r="BA148" s="2"/>
    </row>
    <row r="149" spans="1:53" x14ac:dyDescent="0.2">
      <c r="B149" s="2">
        <v>600</v>
      </c>
      <c r="C149" s="46" t="s">
        <v>30</v>
      </c>
      <c r="D149" s="3" t="s">
        <v>674</v>
      </c>
      <c r="E149" s="2" t="s">
        <v>181</v>
      </c>
      <c r="F149" s="42" t="s">
        <v>893</v>
      </c>
      <c r="G149" s="5" t="s">
        <v>929</v>
      </c>
      <c r="H149" s="3" t="s">
        <v>880</v>
      </c>
      <c r="J149" s="2">
        <v>1</v>
      </c>
      <c r="S149" s="46" t="s">
        <v>1017</v>
      </c>
      <c r="T149" s="46" t="s">
        <v>1017</v>
      </c>
      <c r="U149" s="46" t="s">
        <v>1017</v>
      </c>
      <c r="V149" s="46" t="s">
        <v>1017</v>
      </c>
      <c r="AA149" s="2"/>
      <c r="AG149" s="2"/>
      <c r="AJ149" s="2"/>
      <c r="AS149" s="2"/>
      <c r="AV149" s="2" t="s">
        <v>895</v>
      </c>
      <c r="AW149" s="2"/>
      <c r="BA149" s="2"/>
    </row>
    <row r="150" spans="1:53" x14ac:dyDescent="0.2">
      <c r="B150" s="2">
        <v>600</v>
      </c>
      <c r="C150" s="46" t="s">
        <v>30</v>
      </c>
      <c r="D150" s="3" t="s">
        <v>674</v>
      </c>
      <c r="E150" s="2" t="s">
        <v>685</v>
      </c>
      <c r="F150" s="42" t="s">
        <v>689</v>
      </c>
      <c r="H150" s="5" t="s">
        <v>0</v>
      </c>
      <c r="S150" s="46" t="s">
        <v>1017</v>
      </c>
      <c r="T150" s="46" t="s">
        <v>1017</v>
      </c>
      <c r="U150" s="46" t="s">
        <v>1017</v>
      </c>
      <c r="V150" s="46" t="s">
        <v>1017</v>
      </c>
      <c r="AA150" s="2"/>
      <c r="AG150" s="2"/>
      <c r="AJ150" s="2"/>
      <c r="AS150" s="2"/>
      <c r="AW150" s="2"/>
      <c r="BA150" s="2"/>
    </row>
    <row r="151" spans="1:53" x14ac:dyDescent="0.2">
      <c r="B151" s="2">
        <v>600</v>
      </c>
      <c r="C151" s="46" t="s">
        <v>30</v>
      </c>
      <c r="D151" s="3" t="s">
        <v>674</v>
      </c>
      <c r="E151" s="2" t="s">
        <v>684</v>
      </c>
      <c r="F151" s="42" t="s">
        <v>688</v>
      </c>
      <c r="H151" s="5" t="s">
        <v>931</v>
      </c>
      <c r="L151" s="2">
        <v>1</v>
      </c>
      <c r="S151" s="46" t="s">
        <v>997</v>
      </c>
      <c r="T151" s="46">
        <v>1</v>
      </c>
      <c r="U151" s="46">
        <v>80</v>
      </c>
      <c r="V151" s="46" t="s">
        <v>996</v>
      </c>
      <c r="AA151" s="2"/>
      <c r="AG151" s="2"/>
      <c r="AJ151" s="2"/>
      <c r="AS151" s="2"/>
      <c r="AW151" s="2"/>
      <c r="BA151" s="2"/>
    </row>
    <row r="152" spans="1:53" x14ac:dyDescent="0.2">
      <c r="B152" s="2">
        <v>600</v>
      </c>
      <c r="C152" s="46" t="s">
        <v>30</v>
      </c>
      <c r="D152" s="3" t="s">
        <v>674</v>
      </c>
      <c r="E152" s="2" t="s">
        <v>683</v>
      </c>
      <c r="F152" s="42" t="s">
        <v>686</v>
      </c>
      <c r="G152" s="2" t="s">
        <v>690</v>
      </c>
      <c r="H152" s="5" t="s">
        <v>881</v>
      </c>
      <c r="K152" s="2">
        <v>1</v>
      </c>
      <c r="O152" s="2">
        <v>0</v>
      </c>
      <c r="P152" s="2">
        <v>100</v>
      </c>
      <c r="Q152" s="2" t="s">
        <v>191</v>
      </c>
      <c r="S152" s="46" t="s">
        <v>1017</v>
      </c>
      <c r="T152" s="46" t="s">
        <v>1017</v>
      </c>
      <c r="U152" s="46" t="s">
        <v>1017</v>
      </c>
      <c r="V152" s="46" t="s">
        <v>1017</v>
      </c>
      <c r="Y152" s="2">
        <v>1</v>
      </c>
      <c r="AB152" s="2">
        <v>1</v>
      </c>
      <c r="AE152" s="2">
        <v>1</v>
      </c>
      <c r="AG152" s="2"/>
      <c r="AH152" s="2">
        <v>1</v>
      </c>
      <c r="AJ152" s="2"/>
      <c r="AK152" s="2">
        <v>1</v>
      </c>
      <c r="AS152" s="2"/>
      <c r="AV152" s="2" t="s">
        <v>50</v>
      </c>
      <c r="AW152" s="2"/>
      <c r="BA152" s="2"/>
    </row>
    <row r="153" spans="1:53" x14ac:dyDescent="0.2">
      <c r="A153" s="46">
        <v>1</v>
      </c>
      <c r="B153" s="2">
        <v>100</v>
      </c>
      <c r="C153" s="46" t="s">
        <v>24</v>
      </c>
      <c r="D153" s="2" t="s">
        <v>313</v>
      </c>
      <c r="E153" s="2" t="s">
        <v>51</v>
      </c>
      <c r="F153" s="42" t="s">
        <v>54</v>
      </c>
      <c r="G153" s="5" t="s">
        <v>929</v>
      </c>
      <c r="H153" s="3" t="s">
        <v>57</v>
      </c>
      <c r="I153" s="2">
        <v>1</v>
      </c>
      <c r="J153" s="2">
        <v>1</v>
      </c>
      <c r="S153" s="46" t="s">
        <v>1017</v>
      </c>
      <c r="T153" s="46" t="s">
        <v>1017</v>
      </c>
      <c r="U153" s="46" t="s">
        <v>1017</v>
      </c>
      <c r="V153" s="46" t="s">
        <v>1017</v>
      </c>
      <c r="AA153" s="2"/>
      <c r="AG153" s="2"/>
      <c r="AJ153" s="2"/>
      <c r="AS153" s="2"/>
      <c r="AV153" s="2" t="s">
        <v>58</v>
      </c>
      <c r="AW153" s="2"/>
      <c r="BA153" s="2"/>
    </row>
    <row r="154" spans="1:53" x14ac:dyDescent="0.2">
      <c r="A154" s="46">
        <v>1</v>
      </c>
      <c r="B154" s="2">
        <v>100</v>
      </c>
      <c r="C154" s="46" t="s">
        <v>24</v>
      </c>
      <c r="D154" s="2" t="s">
        <v>313</v>
      </c>
      <c r="E154" s="2" t="s">
        <v>52</v>
      </c>
      <c r="F154" s="42" t="s">
        <v>55</v>
      </c>
      <c r="G154" s="5" t="s">
        <v>929</v>
      </c>
      <c r="H154" s="3" t="s">
        <v>57</v>
      </c>
      <c r="I154" s="2">
        <v>1</v>
      </c>
      <c r="J154" s="2">
        <v>1</v>
      </c>
      <c r="S154" s="46" t="s">
        <v>1017</v>
      </c>
      <c r="T154" s="46" t="s">
        <v>1017</v>
      </c>
      <c r="U154" s="46" t="s">
        <v>1017</v>
      </c>
      <c r="V154" s="46" t="s">
        <v>1017</v>
      </c>
      <c r="AA154" s="2"/>
      <c r="AG154" s="2"/>
      <c r="AJ154" s="2"/>
      <c r="AS154" s="2"/>
      <c r="AV154" s="2" t="s">
        <v>58</v>
      </c>
      <c r="AW154" s="2"/>
      <c r="BA154" s="2"/>
    </row>
    <row r="155" spans="1:53" x14ac:dyDescent="0.2">
      <c r="A155" s="46">
        <v>1</v>
      </c>
      <c r="B155" s="2">
        <v>100</v>
      </c>
      <c r="C155" s="46" t="s">
        <v>24</v>
      </c>
      <c r="D155" s="2" t="s">
        <v>313</v>
      </c>
      <c r="E155" s="2" t="s">
        <v>53</v>
      </c>
      <c r="F155" s="42" t="s">
        <v>56</v>
      </c>
      <c r="G155" s="5" t="s">
        <v>929</v>
      </c>
      <c r="H155" s="3" t="s">
        <v>57</v>
      </c>
      <c r="I155" s="2">
        <v>1</v>
      </c>
      <c r="J155" s="2">
        <v>1</v>
      </c>
      <c r="S155" s="46" t="s">
        <v>1017</v>
      </c>
      <c r="T155" s="46" t="s">
        <v>1017</v>
      </c>
      <c r="U155" s="46" t="s">
        <v>1017</v>
      </c>
      <c r="V155" s="46" t="s">
        <v>1017</v>
      </c>
      <c r="AA155" s="2"/>
      <c r="AG155" s="2"/>
      <c r="AJ155" s="2"/>
      <c r="AS155" s="2"/>
      <c r="AV155" s="2" t="s">
        <v>58</v>
      </c>
      <c r="AW155" s="2"/>
      <c r="BA155" s="2"/>
    </row>
    <row r="156" spans="1:53" x14ac:dyDescent="0.2">
      <c r="B156" s="2">
        <v>100</v>
      </c>
      <c r="C156" s="46" t="s">
        <v>23</v>
      </c>
      <c r="D156" s="2" t="s">
        <v>313</v>
      </c>
      <c r="E156" s="2" t="s">
        <v>313</v>
      </c>
      <c r="F156" s="42" t="s">
        <v>358</v>
      </c>
      <c r="H156" s="3" t="s">
        <v>876</v>
      </c>
      <c r="S156" s="46" t="s">
        <v>1017</v>
      </c>
      <c r="T156" s="46" t="s">
        <v>1017</v>
      </c>
      <c r="U156" s="46" t="s">
        <v>1017</v>
      </c>
      <c r="V156" s="46" t="s">
        <v>1017</v>
      </c>
      <c r="AA156" s="2"/>
      <c r="AG156" s="2"/>
      <c r="AJ156" s="2"/>
      <c r="AS156" s="2"/>
      <c r="AT156" s="2">
        <v>1</v>
      </c>
      <c r="AW156" s="2"/>
      <c r="AX156" s="1">
        <v>400</v>
      </c>
      <c r="AY156" s="2" t="s">
        <v>111</v>
      </c>
      <c r="BA156" s="2"/>
    </row>
    <row r="157" spans="1:53" x14ac:dyDescent="0.2">
      <c r="B157" s="2">
        <v>100</v>
      </c>
      <c r="C157" s="46" t="s">
        <v>23</v>
      </c>
      <c r="D157" s="2" t="s">
        <v>314</v>
      </c>
      <c r="E157" s="2" t="s">
        <v>314</v>
      </c>
      <c r="F157" s="42" t="s">
        <v>359</v>
      </c>
      <c r="G157" s="3"/>
      <c r="H157" s="3" t="s">
        <v>876</v>
      </c>
      <c r="S157" s="46" t="s">
        <v>1017</v>
      </c>
      <c r="T157" s="46" t="s">
        <v>1017</v>
      </c>
      <c r="U157" s="46" t="s">
        <v>1017</v>
      </c>
      <c r="V157" s="46" t="s">
        <v>1017</v>
      </c>
      <c r="AA157" s="2"/>
      <c r="AG157" s="2"/>
      <c r="AJ157" s="2"/>
      <c r="AS157" s="2"/>
      <c r="AT157" s="2">
        <v>1</v>
      </c>
      <c r="AW157" s="2"/>
      <c r="AX157" s="1">
        <v>400</v>
      </c>
      <c r="AY157" s="2" t="s">
        <v>111</v>
      </c>
      <c r="BA157" s="2"/>
    </row>
    <row r="158" spans="1:53" x14ac:dyDescent="0.2">
      <c r="B158" s="2">
        <v>100</v>
      </c>
      <c r="C158" s="46" t="s">
        <v>23</v>
      </c>
      <c r="D158" s="2" t="s">
        <v>315</v>
      </c>
      <c r="E158" s="2" t="s">
        <v>315</v>
      </c>
      <c r="F158" s="42" t="s">
        <v>360</v>
      </c>
      <c r="G158" s="3"/>
      <c r="H158" s="3" t="s">
        <v>876</v>
      </c>
      <c r="S158" s="46" t="s">
        <v>1017</v>
      </c>
      <c r="T158" s="46" t="s">
        <v>1017</v>
      </c>
      <c r="U158" s="46" t="s">
        <v>1017</v>
      </c>
      <c r="V158" s="46" t="s">
        <v>1017</v>
      </c>
      <c r="AA158" s="2"/>
      <c r="AG158" s="2"/>
      <c r="AJ158" s="2"/>
      <c r="AS158" s="2"/>
      <c r="AT158" s="2">
        <v>1</v>
      </c>
      <c r="AW158" s="2"/>
      <c r="AX158" s="1">
        <v>400</v>
      </c>
      <c r="AY158" s="2" t="s">
        <v>111</v>
      </c>
      <c r="BA158" s="2"/>
    </row>
    <row r="159" spans="1:53" x14ac:dyDescent="0.2">
      <c r="B159" s="2">
        <v>200</v>
      </c>
      <c r="C159" s="46" t="s">
        <v>24</v>
      </c>
      <c r="D159" s="2" t="s">
        <v>471</v>
      </c>
      <c r="E159" s="2" t="s">
        <v>539</v>
      </c>
      <c r="F159" s="42" t="s">
        <v>484</v>
      </c>
      <c r="G159" s="3"/>
      <c r="H159" s="3" t="s">
        <v>0</v>
      </c>
      <c r="S159" s="46" t="s">
        <v>1017</v>
      </c>
      <c r="T159" s="46" t="s">
        <v>1017</v>
      </c>
      <c r="U159" s="46" t="s">
        <v>1017</v>
      </c>
      <c r="V159" s="46" t="s">
        <v>1017</v>
      </c>
      <c r="AA159" s="2"/>
      <c r="AG159" s="2"/>
      <c r="AJ159" s="2"/>
      <c r="AS159" s="2"/>
      <c r="AV159" s="2" t="s">
        <v>866</v>
      </c>
      <c r="AW159" s="2"/>
      <c r="BA159" s="2"/>
    </row>
    <row r="160" spans="1:53" x14ac:dyDescent="0.2">
      <c r="B160" s="2">
        <v>200</v>
      </c>
      <c r="C160" s="46" t="s">
        <v>24</v>
      </c>
      <c r="D160" s="2" t="s">
        <v>471</v>
      </c>
      <c r="E160" s="2" t="s">
        <v>79</v>
      </c>
      <c r="F160" s="42" t="s">
        <v>164</v>
      </c>
      <c r="G160" s="2" t="s">
        <v>247</v>
      </c>
      <c r="H160" s="3" t="s">
        <v>289</v>
      </c>
      <c r="M160" s="2">
        <v>1</v>
      </c>
      <c r="S160" s="46" t="s">
        <v>997</v>
      </c>
      <c r="T160" s="46">
        <v>2</v>
      </c>
      <c r="U160" s="46">
        <v>42</v>
      </c>
      <c r="V160" s="46" t="s">
        <v>1008</v>
      </c>
      <c r="X160" s="2" t="s">
        <v>240</v>
      </c>
      <c r="AA160" s="2"/>
      <c r="AE160" s="2">
        <v>1</v>
      </c>
      <c r="AF160" s="2" t="s">
        <v>964</v>
      </c>
      <c r="AG160" s="27">
        <v>897.03</v>
      </c>
      <c r="AH160" s="2">
        <v>1</v>
      </c>
      <c r="AJ160" s="2"/>
      <c r="AS160" s="2"/>
      <c r="AV160" s="2" t="s">
        <v>965</v>
      </c>
      <c r="AW160" s="2"/>
      <c r="BA160" s="2"/>
    </row>
    <row r="161" spans="2:53" x14ac:dyDescent="0.2">
      <c r="B161" s="2">
        <v>200</v>
      </c>
      <c r="C161" s="46" t="s">
        <v>24</v>
      </c>
      <c r="D161" s="2" t="s">
        <v>471</v>
      </c>
      <c r="E161" s="2" t="s">
        <v>80</v>
      </c>
      <c r="F161" s="42" t="s">
        <v>165</v>
      </c>
      <c r="G161" s="2" t="s">
        <v>247</v>
      </c>
      <c r="H161" s="3" t="s">
        <v>289</v>
      </c>
      <c r="M161" s="2">
        <v>1</v>
      </c>
      <c r="S161" s="46" t="s">
        <v>997</v>
      </c>
      <c r="T161" s="46">
        <v>2</v>
      </c>
      <c r="U161" s="46">
        <v>43</v>
      </c>
      <c r="V161" s="46" t="s">
        <v>1008</v>
      </c>
      <c r="X161" s="2" t="s">
        <v>240</v>
      </c>
      <c r="AA161" s="2"/>
      <c r="AE161" s="2">
        <v>1</v>
      </c>
      <c r="AF161" s="2" t="s">
        <v>964</v>
      </c>
      <c r="AG161" s="27">
        <v>897.03</v>
      </c>
      <c r="AH161" s="2">
        <v>1</v>
      </c>
      <c r="AJ161" s="2"/>
      <c r="AS161" s="2"/>
      <c r="AV161" s="2" t="s">
        <v>965</v>
      </c>
      <c r="AW161" s="2"/>
      <c r="BA161" s="2"/>
    </row>
    <row r="162" spans="2:53" x14ac:dyDescent="0.2">
      <c r="B162" s="2">
        <v>200</v>
      </c>
      <c r="C162" s="46" t="s">
        <v>24</v>
      </c>
      <c r="D162" s="2" t="s">
        <v>471</v>
      </c>
      <c r="E162" s="2" t="s">
        <v>538</v>
      </c>
      <c r="F162" s="42" t="s">
        <v>474</v>
      </c>
      <c r="G162" s="3" t="s">
        <v>909</v>
      </c>
      <c r="H162" s="3" t="s">
        <v>289</v>
      </c>
      <c r="M162" s="2">
        <v>1</v>
      </c>
      <c r="N162" s="2">
        <v>1</v>
      </c>
      <c r="O162" s="2">
        <v>0</v>
      </c>
      <c r="P162" s="2">
        <v>10</v>
      </c>
      <c r="Q162" s="2" t="s">
        <v>276</v>
      </c>
      <c r="S162" s="46" t="s">
        <v>997</v>
      </c>
      <c r="T162" s="46">
        <v>2</v>
      </c>
      <c r="U162" s="46">
        <v>61</v>
      </c>
      <c r="V162" s="46" t="s">
        <v>990</v>
      </c>
      <c r="W162" s="2">
        <v>1</v>
      </c>
      <c r="X162" s="2" t="s">
        <v>241</v>
      </c>
      <c r="Y162" s="2">
        <v>1</v>
      </c>
      <c r="Z162" s="2" t="s">
        <v>298</v>
      </c>
      <c r="AA162" s="27" t="s">
        <v>223</v>
      </c>
      <c r="AB162" s="2">
        <v>1</v>
      </c>
      <c r="AC162" s="2" t="s">
        <v>565</v>
      </c>
      <c r="AD162" s="27">
        <v>820</v>
      </c>
      <c r="AE162" s="2">
        <v>1</v>
      </c>
      <c r="AF162" s="2" t="s">
        <v>899</v>
      </c>
      <c r="AG162" s="27">
        <v>533.22</v>
      </c>
      <c r="AH162" s="2">
        <v>1</v>
      </c>
      <c r="AI162" s="2" t="s">
        <v>235</v>
      </c>
      <c r="AJ162" s="27">
        <f>637+401</f>
        <v>1038</v>
      </c>
      <c r="AS162" s="2"/>
      <c r="AV162" s="2" t="s">
        <v>291</v>
      </c>
      <c r="AW162" s="2"/>
      <c r="BA162" s="2"/>
    </row>
    <row r="163" spans="2:53" x14ac:dyDescent="0.2">
      <c r="B163" s="2">
        <v>200</v>
      </c>
      <c r="C163" s="46" t="s">
        <v>24</v>
      </c>
      <c r="D163" s="2" t="s">
        <v>471</v>
      </c>
      <c r="E163" s="2" t="s">
        <v>541</v>
      </c>
      <c r="F163" s="42" t="s">
        <v>168</v>
      </c>
      <c r="G163" s="3"/>
      <c r="H163" s="3" t="s">
        <v>0</v>
      </c>
      <c r="S163" s="46" t="s">
        <v>1017</v>
      </c>
      <c r="T163" s="46" t="s">
        <v>1017</v>
      </c>
      <c r="U163" s="46" t="s">
        <v>1017</v>
      </c>
      <c r="V163" s="46" t="s">
        <v>1017</v>
      </c>
      <c r="AA163" s="2"/>
      <c r="AG163" s="2"/>
      <c r="AJ163" s="2"/>
      <c r="AS163" s="2"/>
      <c r="AV163" s="2" t="s">
        <v>866</v>
      </c>
      <c r="AW163" s="2"/>
      <c r="BA163" s="2"/>
    </row>
    <row r="164" spans="2:53" x14ac:dyDescent="0.2">
      <c r="B164" s="2">
        <v>200</v>
      </c>
      <c r="C164" s="46" t="s">
        <v>24</v>
      </c>
      <c r="D164" s="2" t="s">
        <v>471</v>
      </c>
      <c r="E164" s="2" t="s">
        <v>540</v>
      </c>
      <c r="F164" s="42" t="s">
        <v>570</v>
      </c>
      <c r="G164" s="3" t="s">
        <v>552</v>
      </c>
      <c r="H164" s="3" t="s">
        <v>881</v>
      </c>
      <c r="K164" s="2">
        <v>1</v>
      </c>
      <c r="O164" s="2">
        <v>0</v>
      </c>
      <c r="P164" s="2">
        <v>250</v>
      </c>
      <c r="Q164" s="2" t="s">
        <v>195</v>
      </c>
      <c r="S164" s="46" t="s">
        <v>1017</v>
      </c>
      <c r="T164" s="46" t="s">
        <v>1017</v>
      </c>
      <c r="U164" s="46" t="s">
        <v>1017</v>
      </c>
      <c r="V164" s="46" t="s">
        <v>1017</v>
      </c>
      <c r="W164" s="2">
        <v>1</v>
      </c>
      <c r="X164" s="2" t="s">
        <v>277</v>
      </c>
      <c r="AB164" s="2">
        <v>1</v>
      </c>
      <c r="AC164" s="2" t="s">
        <v>209</v>
      </c>
      <c r="AD164" s="27">
        <v>1745</v>
      </c>
      <c r="AE164" s="2">
        <v>1</v>
      </c>
      <c r="AF164" s="2" t="s">
        <v>906</v>
      </c>
      <c r="AG164" s="27">
        <v>1420</v>
      </c>
      <c r="AH164" s="2">
        <v>1</v>
      </c>
      <c r="AI164" s="2" t="s">
        <v>228</v>
      </c>
      <c r="AJ164" s="27">
        <f>1858.5+1450.8</f>
        <v>3309.3</v>
      </c>
      <c r="AS164" s="2"/>
      <c r="AV164" s="3" t="s">
        <v>966</v>
      </c>
      <c r="AW164" s="3"/>
      <c r="BA164" s="2"/>
    </row>
    <row r="165" spans="2:53" x14ac:dyDescent="0.2">
      <c r="B165" s="2">
        <v>200</v>
      </c>
      <c r="C165" s="46" t="s">
        <v>24</v>
      </c>
      <c r="D165" s="2" t="s">
        <v>471</v>
      </c>
      <c r="E165" s="2" t="s">
        <v>800</v>
      </c>
      <c r="F165" s="42" t="s">
        <v>799</v>
      </c>
      <c r="G165" s="5" t="s">
        <v>929</v>
      </c>
      <c r="H165" s="3" t="s">
        <v>880</v>
      </c>
      <c r="J165" s="2">
        <v>1</v>
      </c>
      <c r="S165" s="46" t="s">
        <v>1017</v>
      </c>
      <c r="T165" s="46" t="s">
        <v>1017</v>
      </c>
      <c r="U165" s="46" t="s">
        <v>1017</v>
      </c>
      <c r="V165" s="46" t="s">
        <v>1017</v>
      </c>
      <c r="AA165" s="2"/>
      <c r="AG165" s="2"/>
      <c r="AJ165" s="2"/>
      <c r="AS165" s="2"/>
      <c r="AV165" s="2" t="s">
        <v>895</v>
      </c>
      <c r="AW165" s="2"/>
      <c r="BA165" s="2"/>
    </row>
    <row r="166" spans="2:53" x14ac:dyDescent="0.2">
      <c r="B166" s="2">
        <v>200</v>
      </c>
      <c r="C166" s="46" t="s">
        <v>24</v>
      </c>
      <c r="D166" s="2" t="s">
        <v>471</v>
      </c>
      <c r="E166" s="2" t="s">
        <v>328</v>
      </c>
      <c r="F166" s="42" t="s">
        <v>477</v>
      </c>
      <c r="G166" s="3"/>
      <c r="H166" s="3" t="s">
        <v>876</v>
      </c>
      <c r="N166" s="2">
        <v>1</v>
      </c>
      <c r="S166" s="46" t="s">
        <v>997</v>
      </c>
      <c r="T166" s="46">
        <v>1</v>
      </c>
      <c r="U166" s="46">
        <v>82</v>
      </c>
      <c r="V166" s="46" t="s">
        <v>986</v>
      </c>
      <c r="AA166" s="2"/>
      <c r="AG166" s="2"/>
      <c r="AJ166" s="2"/>
      <c r="AS166" s="2"/>
      <c r="AT166" s="2">
        <v>1</v>
      </c>
      <c r="AV166" s="3" t="s">
        <v>375</v>
      </c>
      <c r="AW166" s="29">
        <f>(1610+104)*0.9</f>
        <v>1542.6000000000001</v>
      </c>
      <c r="AX166" s="1">
        <v>11</v>
      </c>
      <c r="AY166" s="2" t="s">
        <v>877</v>
      </c>
      <c r="BA166" s="2"/>
    </row>
    <row r="167" spans="2:53" x14ac:dyDescent="0.2">
      <c r="B167" s="2">
        <v>300</v>
      </c>
      <c r="C167" s="46" t="s">
        <v>25</v>
      </c>
      <c r="D167" s="2" t="s">
        <v>471</v>
      </c>
      <c r="E167" s="2" t="s">
        <v>178</v>
      </c>
      <c r="F167" s="42" t="s">
        <v>967</v>
      </c>
      <c r="G167" s="5" t="s">
        <v>929</v>
      </c>
      <c r="H167" s="3" t="s">
        <v>880</v>
      </c>
      <c r="J167" s="2">
        <v>1</v>
      </c>
      <c r="S167" s="46" t="s">
        <v>1017</v>
      </c>
      <c r="T167" s="46" t="s">
        <v>1017</v>
      </c>
      <c r="U167" s="46" t="s">
        <v>1017</v>
      </c>
      <c r="V167" s="46" t="s">
        <v>1017</v>
      </c>
      <c r="AA167" s="2"/>
      <c r="AG167" s="2"/>
      <c r="AJ167" s="2"/>
      <c r="AS167" s="2"/>
      <c r="AV167" s="2" t="s">
        <v>895</v>
      </c>
      <c r="AW167" s="2"/>
      <c r="BA167" s="2"/>
    </row>
    <row r="168" spans="2:53" x14ac:dyDescent="0.2">
      <c r="B168" s="2">
        <v>200</v>
      </c>
      <c r="C168" s="46" t="s">
        <v>24</v>
      </c>
      <c r="D168" s="2" t="s">
        <v>472</v>
      </c>
      <c r="E168" s="2" t="s">
        <v>544</v>
      </c>
      <c r="F168" s="42" t="s">
        <v>485</v>
      </c>
      <c r="G168" s="3"/>
      <c r="H168" s="3" t="s">
        <v>0</v>
      </c>
      <c r="S168" s="46" t="s">
        <v>1017</v>
      </c>
      <c r="T168" s="46" t="s">
        <v>1017</v>
      </c>
      <c r="U168" s="46" t="s">
        <v>1017</v>
      </c>
      <c r="V168" s="46" t="s">
        <v>1017</v>
      </c>
      <c r="AA168" s="2"/>
      <c r="AG168" s="2"/>
      <c r="AJ168" s="2"/>
      <c r="AS168" s="2"/>
      <c r="AV168" s="2" t="s">
        <v>866</v>
      </c>
      <c r="AW168" s="2"/>
      <c r="BA168" s="2"/>
    </row>
    <row r="169" spans="2:53" x14ac:dyDescent="0.2">
      <c r="B169" s="2">
        <v>200</v>
      </c>
      <c r="C169" s="46" t="s">
        <v>24</v>
      </c>
      <c r="D169" s="2" t="s">
        <v>472</v>
      </c>
      <c r="E169" s="2" t="s">
        <v>81</v>
      </c>
      <c r="F169" s="42" t="s">
        <v>478</v>
      </c>
      <c r="G169" s="2" t="s">
        <v>247</v>
      </c>
      <c r="H169" s="3" t="s">
        <v>289</v>
      </c>
      <c r="M169" s="2">
        <v>1</v>
      </c>
      <c r="S169" s="46" t="s">
        <v>997</v>
      </c>
      <c r="T169" s="46">
        <v>2</v>
      </c>
      <c r="U169" s="46">
        <v>44</v>
      </c>
      <c r="V169" s="46" t="s">
        <v>1008</v>
      </c>
      <c r="X169" s="2" t="s">
        <v>240</v>
      </c>
      <c r="AA169" s="2"/>
      <c r="AE169" s="2">
        <v>1</v>
      </c>
      <c r="AF169" s="2" t="s">
        <v>964</v>
      </c>
      <c r="AG169" s="27">
        <v>897.03</v>
      </c>
      <c r="AH169" s="2">
        <v>1</v>
      </c>
      <c r="AJ169" s="2"/>
      <c r="AS169" s="2"/>
      <c r="AV169" s="2" t="s">
        <v>965</v>
      </c>
      <c r="AW169" s="2"/>
      <c r="BA169" s="2"/>
    </row>
    <row r="170" spans="2:53" x14ac:dyDescent="0.2">
      <c r="B170" s="2">
        <v>200</v>
      </c>
      <c r="C170" s="46" t="s">
        <v>24</v>
      </c>
      <c r="D170" s="2" t="s">
        <v>472</v>
      </c>
      <c r="E170" s="2" t="s">
        <v>82</v>
      </c>
      <c r="F170" s="42" t="s">
        <v>479</v>
      </c>
      <c r="G170" s="2" t="s">
        <v>247</v>
      </c>
      <c r="H170" s="3" t="s">
        <v>289</v>
      </c>
      <c r="M170" s="2">
        <v>1</v>
      </c>
      <c r="S170" s="46" t="s">
        <v>997</v>
      </c>
      <c r="T170" s="46">
        <v>2</v>
      </c>
      <c r="U170" s="46">
        <v>45</v>
      </c>
      <c r="V170" s="46" t="s">
        <v>1008</v>
      </c>
      <c r="X170" s="2" t="s">
        <v>240</v>
      </c>
      <c r="AA170" s="2"/>
      <c r="AE170" s="2">
        <v>1</v>
      </c>
      <c r="AF170" s="2" t="s">
        <v>964</v>
      </c>
      <c r="AG170" s="27">
        <v>897.03</v>
      </c>
      <c r="AH170" s="2">
        <v>1</v>
      </c>
      <c r="AJ170" s="2"/>
      <c r="AS170" s="2"/>
      <c r="AV170" s="2" t="s">
        <v>965</v>
      </c>
      <c r="AW170" s="2"/>
      <c r="BA170" s="2"/>
    </row>
    <row r="171" spans="2:53" x14ac:dyDescent="0.2">
      <c r="B171" s="2">
        <v>200</v>
      </c>
      <c r="C171" s="46" t="s">
        <v>24</v>
      </c>
      <c r="D171" s="2" t="s">
        <v>472</v>
      </c>
      <c r="E171" s="2" t="s">
        <v>83</v>
      </c>
      <c r="F171" s="42" t="s">
        <v>482</v>
      </c>
      <c r="G171" s="2" t="s">
        <v>247</v>
      </c>
      <c r="H171" s="3" t="s">
        <v>289</v>
      </c>
      <c r="M171" s="2">
        <v>1</v>
      </c>
      <c r="S171" s="46" t="s">
        <v>997</v>
      </c>
      <c r="T171" s="46">
        <v>2</v>
      </c>
      <c r="U171" s="46">
        <v>46</v>
      </c>
      <c r="V171" s="46" t="s">
        <v>1008</v>
      </c>
      <c r="X171" s="2" t="s">
        <v>240</v>
      </c>
      <c r="AA171" s="2"/>
      <c r="AE171" s="2">
        <v>1</v>
      </c>
      <c r="AF171" s="2" t="s">
        <v>964</v>
      </c>
      <c r="AG171" s="27">
        <v>897.03</v>
      </c>
      <c r="AH171" s="2">
        <v>1</v>
      </c>
      <c r="AJ171" s="2"/>
      <c r="AS171" s="2"/>
      <c r="AV171" s="2" t="s">
        <v>965</v>
      </c>
      <c r="AW171" s="2"/>
      <c r="BA171" s="2"/>
    </row>
    <row r="172" spans="2:53" x14ac:dyDescent="0.2">
      <c r="B172" s="2">
        <v>200</v>
      </c>
      <c r="C172" s="46" t="s">
        <v>24</v>
      </c>
      <c r="D172" s="2" t="s">
        <v>472</v>
      </c>
      <c r="E172" s="2" t="s">
        <v>84</v>
      </c>
      <c r="F172" s="42" t="s">
        <v>483</v>
      </c>
      <c r="G172" s="2" t="s">
        <v>247</v>
      </c>
      <c r="H172" s="3" t="s">
        <v>289</v>
      </c>
      <c r="M172" s="2">
        <v>1</v>
      </c>
      <c r="S172" s="46" t="s">
        <v>997</v>
      </c>
      <c r="T172" s="46">
        <v>2</v>
      </c>
      <c r="U172" s="46">
        <v>47</v>
      </c>
      <c r="V172" s="46" t="s">
        <v>1008</v>
      </c>
      <c r="X172" s="2" t="s">
        <v>240</v>
      </c>
      <c r="AA172" s="2"/>
      <c r="AE172" s="2">
        <v>1</v>
      </c>
      <c r="AF172" s="2" t="s">
        <v>964</v>
      </c>
      <c r="AG172" s="27">
        <v>897.03</v>
      </c>
      <c r="AH172" s="2">
        <v>1</v>
      </c>
      <c r="AJ172" s="2"/>
      <c r="AS172" s="2"/>
      <c r="AV172" s="2" t="s">
        <v>965</v>
      </c>
      <c r="AW172" s="2"/>
      <c r="BA172" s="2"/>
    </row>
    <row r="173" spans="2:53" x14ac:dyDescent="0.2">
      <c r="B173" s="2">
        <v>200</v>
      </c>
      <c r="C173" s="46" t="s">
        <v>24</v>
      </c>
      <c r="D173" s="2" t="s">
        <v>472</v>
      </c>
      <c r="E173" s="2" t="s">
        <v>542</v>
      </c>
      <c r="F173" s="42" t="s">
        <v>476</v>
      </c>
      <c r="G173" s="3" t="s">
        <v>909</v>
      </c>
      <c r="H173" s="3" t="s">
        <v>289</v>
      </c>
      <c r="M173" s="2">
        <v>1</v>
      </c>
      <c r="N173" s="2">
        <v>1</v>
      </c>
      <c r="O173" s="2">
        <v>0</v>
      </c>
      <c r="P173" s="2">
        <v>10</v>
      </c>
      <c r="Q173" s="2" t="s">
        <v>275</v>
      </c>
      <c r="S173" s="46" t="s">
        <v>997</v>
      </c>
      <c r="T173" s="46">
        <v>2</v>
      </c>
      <c r="U173" s="46">
        <v>62</v>
      </c>
      <c r="V173" s="46" t="s">
        <v>990</v>
      </c>
      <c r="W173" s="2">
        <v>1</v>
      </c>
      <c r="X173" s="2" t="s">
        <v>241</v>
      </c>
      <c r="Y173" s="2">
        <v>1</v>
      </c>
      <c r="Z173" s="2" t="s">
        <v>298</v>
      </c>
      <c r="AA173" s="27" t="s">
        <v>223</v>
      </c>
      <c r="AB173" s="2">
        <v>1</v>
      </c>
      <c r="AC173" s="2" t="s">
        <v>565</v>
      </c>
      <c r="AD173" s="27">
        <v>820</v>
      </c>
      <c r="AE173" s="2">
        <v>1</v>
      </c>
      <c r="AF173" s="2" t="s">
        <v>899</v>
      </c>
      <c r="AG173" s="27">
        <v>533.22</v>
      </c>
      <c r="AH173" s="2">
        <v>1</v>
      </c>
      <c r="AI173" s="2" t="s">
        <v>235</v>
      </c>
      <c r="AJ173" s="27">
        <f>637+401</f>
        <v>1038</v>
      </c>
      <c r="AS173" s="2"/>
      <c r="AV173" s="3" t="s">
        <v>291</v>
      </c>
      <c r="AW173" s="3"/>
      <c r="BA173" s="2"/>
    </row>
    <row r="174" spans="2:53" x14ac:dyDescent="0.2">
      <c r="B174" s="2">
        <v>200</v>
      </c>
      <c r="C174" s="46" t="s">
        <v>24</v>
      </c>
      <c r="D174" s="2" t="s">
        <v>472</v>
      </c>
      <c r="E174" s="2" t="s">
        <v>546</v>
      </c>
      <c r="F174" s="42" t="s">
        <v>169</v>
      </c>
      <c r="G174" s="3"/>
      <c r="H174" s="3" t="s">
        <v>0</v>
      </c>
      <c r="S174" s="46" t="s">
        <v>1017</v>
      </c>
      <c r="T174" s="46" t="s">
        <v>1017</v>
      </c>
      <c r="U174" s="46" t="s">
        <v>1017</v>
      </c>
      <c r="V174" s="46" t="s">
        <v>1017</v>
      </c>
      <c r="AA174" s="2"/>
      <c r="AG174" s="2"/>
      <c r="AJ174" s="2"/>
      <c r="AS174" s="2"/>
      <c r="AV174" s="2" t="s">
        <v>866</v>
      </c>
      <c r="AW174" s="2"/>
      <c r="BA174" s="2"/>
    </row>
    <row r="175" spans="2:53" x14ac:dyDescent="0.2">
      <c r="B175" s="2">
        <v>200</v>
      </c>
      <c r="C175" s="46" t="s">
        <v>24</v>
      </c>
      <c r="D175" s="2" t="s">
        <v>472</v>
      </c>
      <c r="E175" s="2" t="s">
        <v>528</v>
      </c>
      <c r="F175" s="42" t="s">
        <v>486</v>
      </c>
      <c r="G175" s="3"/>
      <c r="H175" s="3" t="s">
        <v>357</v>
      </c>
      <c r="N175" s="2">
        <v>1</v>
      </c>
      <c r="S175" s="46" t="s">
        <v>997</v>
      </c>
      <c r="T175" s="46">
        <v>2</v>
      </c>
      <c r="U175" s="46">
        <v>28</v>
      </c>
      <c r="V175" s="46" t="s">
        <v>1008</v>
      </c>
      <c r="AA175" s="2"/>
      <c r="AJ175" s="2"/>
      <c r="AS175" s="2"/>
      <c r="AV175" s="3" t="s">
        <v>862</v>
      </c>
      <c r="AW175" s="3"/>
      <c r="BA175" s="2"/>
    </row>
    <row r="176" spans="2:53" x14ac:dyDescent="0.2">
      <c r="B176" s="2">
        <v>200</v>
      </c>
      <c r="C176" s="46" t="s">
        <v>24</v>
      </c>
      <c r="D176" s="2" t="s">
        <v>472</v>
      </c>
      <c r="E176" s="2" t="s">
        <v>545</v>
      </c>
      <c r="F176" s="42" t="s">
        <v>571</v>
      </c>
      <c r="G176" s="3" t="s">
        <v>552</v>
      </c>
      <c r="H176" s="3" t="s">
        <v>881</v>
      </c>
      <c r="K176" s="2">
        <v>1</v>
      </c>
      <c r="O176" s="2">
        <v>0</v>
      </c>
      <c r="P176" s="2">
        <v>200</v>
      </c>
      <c r="Q176" s="10" t="s">
        <v>195</v>
      </c>
      <c r="R176" s="10"/>
      <c r="S176" s="46" t="s">
        <v>1017</v>
      </c>
      <c r="T176" s="46" t="s">
        <v>1017</v>
      </c>
      <c r="U176" s="46" t="s">
        <v>1017</v>
      </c>
      <c r="V176" s="46" t="s">
        <v>1017</v>
      </c>
      <c r="W176" s="2">
        <v>1</v>
      </c>
      <c r="X176" s="2" t="s">
        <v>277</v>
      </c>
      <c r="AB176" s="2">
        <v>1</v>
      </c>
      <c r="AC176" s="2" t="s">
        <v>209</v>
      </c>
      <c r="AD176" s="27">
        <v>1745</v>
      </c>
      <c r="AE176" s="2">
        <v>1</v>
      </c>
      <c r="AF176" s="2" t="s">
        <v>906</v>
      </c>
      <c r="AG176" s="27">
        <v>1420</v>
      </c>
      <c r="AH176" s="2">
        <v>1</v>
      </c>
      <c r="AI176" s="2" t="s">
        <v>228</v>
      </c>
      <c r="AJ176" s="27">
        <f>1858.5+1450.8</f>
        <v>3309.3</v>
      </c>
      <c r="AS176" s="2"/>
      <c r="AV176" s="3" t="s">
        <v>966</v>
      </c>
      <c r="AW176" s="3"/>
      <c r="BA176" s="2"/>
    </row>
    <row r="177" spans="2:53" x14ac:dyDescent="0.2">
      <c r="B177" s="2">
        <v>200</v>
      </c>
      <c r="C177" s="46" t="s">
        <v>24</v>
      </c>
      <c r="D177" s="2" t="s">
        <v>472</v>
      </c>
      <c r="E177" s="2" t="s">
        <v>329</v>
      </c>
      <c r="F177" s="42" t="s">
        <v>163</v>
      </c>
      <c r="G177" s="3"/>
      <c r="H177" s="3" t="s">
        <v>876</v>
      </c>
      <c r="N177" s="2">
        <v>1</v>
      </c>
      <c r="S177" s="46" t="s">
        <v>997</v>
      </c>
      <c r="T177" s="46">
        <v>1</v>
      </c>
      <c r="U177" s="46">
        <v>83</v>
      </c>
      <c r="V177" s="46" t="s">
        <v>986</v>
      </c>
      <c r="AA177" s="2"/>
      <c r="AG177" s="2"/>
      <c r="AJ177" s="2"/>
      <c r="AS177" s="2"/>
      <c r="AT177" s="2">
        <v>1</v>
      </c>
      <c r="AV177" s="3" t="s">
        <v>376</v>
      </c>
      <c r="AW177" s="29">
        <f>(1610+104)*0.9</f>
        <v>1542.6000000000001</v>
      </c>
      <c r="AX177" s="1">
        <v>7.5</v>
      </c>
      <c r="AY177" s="2" t="s">
        <v>877</v>
      </c>
      <c r="BA177" s="2"/>
    </row>
    <row r="178" spans="2:53" x14ac:dyDescent="0.2">
      <c r="B178" s="2">
        <v>400</v>
      </c>
      <c r="C178" s="46" t="s">
        <v>24</v>
      </c>
      <c r="D178" s="2" t="s">
        <v>405</v>
      </c>
      <c r="E178" s="2" t="s">
        <v>746</v>
      </c>
      <c r="F178" s="42" t="s">
        <v>747</v>
      </c>
      <c r="G178" s="3"/>
      <c r="H178" s="3" t="s">
        <v>748</v>
      </c>
      <c r="S178" s="46" t="s">
        <v>1017</v>
      </c>
      <c r="T178" s="46" t="s">
        <v>1017</v>
      </c>
      <c r="U178" s="46" t="s">
        <v>1017</v>
      </c>
      <c r="V178" s="46" t="s">
        <v>1017</v>
      </c>
      <c r="AA178" s="2"/>
      <c r="AG178" s="2"/>
      <c r="AJ178" s="2"/>
      <c r="AS178" s="2"/>
      <c r="AW178" s="2"/>
      <c r="BA178" s="2"/>
    </row>
    <row r="179" spans="2:53" x14ac:dyDescent="0.2">
      <c r="B179" s="2">
        <v>400</v>
      </c>
      <c r="C179" s="46" t="s">
        <v>24</v>
      </c>
      <c r="D179" s="2" t="s">
        <v>405</v>
      </c>
      <c r="E179" s="2" t="s">
        <v>613</v>
      </c>
      <c r="F179" s="42" t="s">
        <v>614</v>
      </c>
      <c r="G179" s="3"/>
      <c r="H179" s="3" t="s">
        <v>0</v>
      </c>
      <c r="S179" s="46" t="s">
        <v>1017</v>
      </c>
      <c r="T179" s="46" t="s">
        <v>1017</v>
      </c>
      <c r="U179" s="46" t="s">
        <v>1017</v>
      </c>
      <c r="V179" s="46" t="s">
        <v>1017</v>
      </c>
      <c r="AA179" s="2"/>
      <c r="AG179" s="2"/>
      <c r="AJ179" s="2"/>
      <c r="AS179" s="2"/>
      <c r="AV179" s="2" t="s">
        <v>866</v>
      </c>
      <c r="AW179" s="2"/>
      <c r="BA179" s="2"/>
    </row>
    <row r="180" spans="2:53" x14ac:dyDescent="0.2">
      <c r="B180" s="2">
        <v>400</v>
      </c>
      <c r="C180" s="46" t="s">
        <v>24</v>
      </c>
      <c r="D180" s="2" t="s">
        <v>405</v>
      </c>
      <c r="E180" s="2" t="s">
        <v>612</v>
      </c>
      <c r="F180" s="42" t="s">
        <v>769</v>
      </c>
      <c r="G180" s="3"/>
      <c r="H180" s="3" t="s">
        <v>357</v>
      </c>
      <c r="S180" s="46" t="s">
        <v>997</v>
      </c>
      <c r="T180" s="46">
        <v>2</v>
      </c>
      <c r="U180" s="46">
        <v>48</v>
      </c>
      <c r="V180" s="46" t="s">
        <v>1008</v>
      </c>
      <c r="AA180" s="2"/>
      <c r="AG180" s="2"/>
      <c r="AJ180" s="2"/>
      <c r="AS180" s="2"/>
      <c r="AV180" s="2" t="s">
        <v>917</v>
      </c>
      <c r="AW180" s="2"/>
      <c r="BA180" s="2"/>
    </row>
    <row r="181" spans="2:53" x14ac:dyDescent="0.2">
      <c r="B181" s="2">
        <v>400</v>
      </c>
      <c r="C181" s="46" t="s">
        <v>24</v>
      </c>
      <c r="D181" s="2" t="s">
        <v>405</v>
      </c>
      <c r="E181" s="2" t="s">
        <v>413</v>
      </c>
      <c r="F181" s="42" t="s">
        <v>414</v>
      </c>
      <c r="G181" s="3" t="s">
        <v>909</v>
      </c>
      <c r="H181" s="3" t="s">
        <v>289</v>
      </c>
      <c r="M181" s="2">
        <v>1</v>
      </c>
      <c r="N181" s="2">
        <v>1</v>
      </c>
      <c r="O181" s="2">
        <v>0</v>
      </c>
      <c r="P181" s="2">
        <v>10</v>
      </c>
      <c r="Q181" s="2" t="s">
        <v>275</v>
      </c>
      <c r="S181" s="46" t="s">
        <v>997</v>
      </c>
      <c r="T181" s="46">
        <v>2</v>
      </c>
      <c r="U181" s="46">
        <v>60</v>
      </c>
      <c r="V181" s="46" t="s">
        <v>990</v>
      </c>
      <c r="W181" s="2">
        <v>1</v>
      </c>
      <c r="X181" s="2" t="s">
        <v>241</v>
      </c>
      <c r="Y181" s="2">
        <v>1</v>
      </c>
      <c r="Z181" s="2" t="s">
        <v>224</v>
      </c>
      <c r="AB181" s="2">
        <v>1</v>
      </c>
      <c r="AC181" s="2" t="s">
        <v>565</v>
      </c>
      <c r="AD181" s="27">
        <v>820</v>
      </c>
      <c r="AE181" s="2">
        <v>1</v>
      </c>
      <c r="AF181" s="2" t="s">
        <v>899</v>
      </c>
      <c r="AG181" s="27">
        <v>533.22</v>
      </c>
      <c r="AH181" s="2">
        <v>1</v>
      </c>
      <c r="AI181" s="2" t="s">
        <v>235</v>
      </c>
      <c r="AJ181" s="27">
        <f>637+401</f>
        <v>1038</v>
      </c>
      <c r="AS181" s="2"/>
      <c r="AW181" s="2"/>
      <c r="BA181" s="2"/>
    </row>
    <row r="182" spans="2:53" x14ac:dyDescent="0.2">
      <c r="B182" s="2">
        <v>400</v>
      </c>
      <c r="C182" s="46" t="s">
        <v>24</v>
      </c>
      <c r="D182" s="2" t="s">
        <v>405</v>
      </c>
      <c r="E182" s="2" t="s">
        <v>725</v>
      </c>
      <c r="F182" s="42" t="s">
        <v>726</v>
      </c>
      <c r="G182" s="3"/>
      <c r="H182" s="3" t="s">
        <v>0</v>
      </c>
      <c r="S182" s="46" t="s">
        <v>1017</v>
      </c>
      <c r="T182" s="46" t="s">
        <v>1017</v>
      </c>
      <c r="U182" s="46" t="s">
        <v>1017</v>
      </c>
      <c r="V182" s="46" t="s">
        <v>1017</v>
      </c>
      <c r="AA182" s="2"/>
      <c r="AG182" s="2"/>
      <c r="AJ182" s="2"/>
      <c r="AS182" s="2"/>
      <c r="AV182" s="2" t="s">
        <v>866</v>
      </c>
      <c r="AW182" s="2"/>
      <c r="BA182" s="2"/>
    </row>
    <row r="183" spans="2:53" x14ac:dyDescent="0.2">
      <c r="B183" s="2">
        <v>400</v>
      </c>
      <c r="C183" s="46" t="s">
        <v>24</v>
      </c>
      <c r="D183" s="2" t="s">
        <v>405</v>
      </c>
      <c r="E183" s="2" t="s">
        <v>405</v>
      </c>
      <c r="F183" s="42" t="s">
        <v>397</v>
      </c>
      <c r="G183" s="3"/>
      <c r="H183" s="3" t="s">
        <v>876</v>
      </c>
      <c r="N183" s="2">
        <v>1</v>
      </c>
      <c r="S183" s="46" t="s">
        <v>997</v>
      </c>
      <c r="T183" s="46">
        <v>1</v>
      </c>
      <c r="U183" s="46">
        <v>28</v>
      </c>
      <c r="V183" s="46" t="s">
        <v>992</v>
      </c>
      <c r="AA183" s="2"/>
      <c r="AG183" s="2"/>
      <c r="AJ183" s="2"/>
      <c r="AS183" s="2"/>
      <c r="AT183" s="2">
        <v>1</v>
      </c>
      <c r="AW183" s="2"/>
      <c r="AX183" s="1">
        <v>45</v>
      </c>
      <c r="AY183" s="2" t="s">
        <v>930</v>
      </c>
      <c r="BA183" s="2"/>
    </row>
    <row r="184" spans="2:53" x14ac:dyDescent="0.2">
      <c r="B184" s="2">
        <v>400</v>
      </c>
      <c r="C184" s="46" t="s">
        <v>24</v>
      </c>
      <c r="D184" s="2" t="s">
        <v>405</v>
      </c>
      <c r="E184" s="2" t="s">
        <v>722</v>
      </c>
      <c r="F184" s="42" t="s">
        <v>723</v>
      </c>
      <c r="G184" s="5" t="s">
        <v>247</v>
      </c>
      <c r="H184" s="3" t="s">
        <v>719</v>
      </c>
      <c r="S184" s="46" t="s">
        <v>1017</v>
      </c>
      <c r="T184" s="46" t="s">
        <v>1017</v>
      </c>
      <c r="U184" s="46" t="s">
        <v>1017</v>
      </c>
      <c r="V184" s="46" t="s">
        <v>1017</v>
      </c>
      <c r="AA184" s="2"/>
      <c r="AG184" s="2"/>
      <c r="AJ184" s="2"/>
      <c r="AS184" s="2"/>
      <c r="AU184" s="2">
        <v>1</v>
      </c>
      <c r="AV184" s="3" t="s">
        <v>911</v>
      </c>
      <c r="AW184" s="3"/>
      <c r="BA184" s="2"/>
    </row>
    <row r="185" spans="2:53" x14ac:dyDescent="0.2">
      <c r="B185" s="2">
        <v>400</v>
      </c>
      <c r="C185" s="46" t="s">
        <v>24</v>
      </c>
      <c r="D185" s="2" t="s">
        <v>405</v>
      </c>
      <c r="E185" s="3" t="s">
        <v>724</v>
      </c>
      <c r="F185" s="43" t="s">
        <v>727</v>
      </c>
      <c r="G185" s="3" t="s">
        <v>552</v>
      </c>
      <c r="H185" s="2" t="s">
        <v>719</v>
      </c>
      <c r="S185" s="46" t="s">
        <v>1017</v>
      </c>
      <c r="T185" s="46" t="s">
        <v>1017</v>
      </c>
      <c r="U185" s="46" t="s">
        <v>1017</v>
      </c>
      <c r="V185" s="46" t="s">
        <v>1017</v>
      </c>
      <c r="AA185" s="2"/>
      <c r="AG185" s="2"/>
      <c r="AJ185" s="2"/>
      <c r="AS185" s="2"/>
      <c r="AU185" s="2">
        <v>1</v>
      </c>
      <c r="AV185" s="3" t="s">
        <v>911</v>
      </c>
      <c r="AW185" s="3"/>
    </row>
    <row r="186" spans="2:53" x14ac:dyDescent="0.2">
      <c r="B186" s="2">
        <v>400</v>
      </c>
      <c r="C186" s="46" t="s">
        <v>24</v>
      </c>
      <c r="D186" s="2" t="s">
        <v>405</v>
      </c>
      <c r="E186" s="2" t="s">
        <v>712</v>
      </c>
      <c r="F186" s="42" t="s">
        <v>496</v>
      </c>
      <c r="H186" s="5" t="s">
        <v>0</v>
      </c>
      <c r="S186" s="46" t="s">
        <v>1017</v>
      </c>
      <c r="T186" s="46" t="s">
        <v>1017</v>
      </c>
      <c r="U186" s="46" t="s">
        <v>1017</v>
      </c>
      <c r="V186" s="46" t="s">
        <v>1017</v>
      </c>
      <c r="AA186" s="2"/>
      <c r="AG186" s="2"/>
      <c r="AJ186" s="2"/>
      <c r="AS186" s="2"/>
      <c r="AU186" s="2">
        <v>1</v>
      </c>
      <c r="AV186" s="2" t="s">
        <v>866</v>
      </c>
      <c r="AW186" s="2"/>
    </row>
    <row r="187" spans="2:53" x14ac:dyDescent="0.2">
      <c r="B187" s="2">
        <v>400</v>
      </c>
      <c r="C187" s="46" t="s">
        <v>24</v>
      </c>
      <c r="D187" s="2" t="s">
        <v>405</v>
      </c>
      <c r="E187" s="2" t="s">
        <v>176</v>
      </c>
      <c r="F187" s="42" t="s">
        <v>749</v>
      </c>
      <c r="G187" s="5" t="s">
        <v>247</v>
      </c>
      <c r="H187" s="3" t="s">
        <v>719</v>
      </c>
      <c r="S187" s="46" t="s">
        <v>1017</v>
      </c>
      <c r="T187" s="46" t="s">
        <v>1017</v>
      </c>
      <c r="U187" s="46" t="s">
        <v>1017</v>
      </c>
      <c r="V187" s="46" t="s">
        <v>1017</v>
      </c>
      <c r="AA187" s="2"/>
      <c r="AG187" s="2"/>
      <c r="AJ187" s="2"/>
      <c r="AS187" s="2"/>
      <c r="AU187" s="2">
        <v>1</v>
      </c>
      <c r="AV187" s="2" t="s">
        <v>917</v>
      </c>
      <c r="AW187" s="2"/>
      <c r="BA187" s="2"/>
    </row>
    <row r="188" spans="2:53" x14ac:dyDescent="0.2">
      <c r="B188" s="2">
        <v>400</v>
      </c>
      <c r="C188" s="46" t="s">
        <v>24</v>
      </c>
      <c r="D188" s="2" t="s">
        <v>405</v>
      </c>
      <c r="E188" s="2" t="s">
        <v>177</v>
      </c>
      <c r="F188" s="42" t="s">
        <v>914</v>
      </c>
      <c r="G188" s="5" t="s">
        <v>247</v>
      </c>
      <c r="H188" s="3" t="s">
        <v>719</v>
      </c>
      <c r="S188" s="46" t="s">
        <v>1017</v>
      </c>
      <c r="T188" s="46" t="s">
        <v>1017</v>
      </c>
      <c r="U188" s="46" t="s">
        <v>1017</v>
      </c>
      <c r="V188" s="46" t="s">
        <v>1017</v>
      </c>
      <c r="AA188" s="2"/>
      <c r="AG188" s="2"/>
      <c r="AJ188" s="2"/>
      <c r="AS188" s="2"/>
      <c r="AU188" s="2">
        <v>1</v>
      </c>
      <c r="AV188" s="2" t="s">
        <v>917</v>
      </c>
      <c r="AW188" s="2"/>
      <c r="BA188" s="2"/>
    </row>
    <row r="189" spans="2:53" x14ac:dyDescent="0.2">
      <c r="B189" s="2">
        <v>400</v>
      </c>
      <c r="C189" s="46" t="s">
        <v>24</v>
      </c>
      <c r="D189" s="2" t="s">
        <v>405</v>
      </c>
      <c r="E189" s="2" t="s">
        <v>582</v>
      </c>
      <c r="F189" s="42" t="s">
        <v>210</v>
      </c>
      <c r="G189" s="5" t="s">
        <v>951</v>
      </c>
      <c r="H189" s="3" t="s">
        <v>719</v>
      </c>
      <c r="O189" s="2">
        <v>0</v>
      </c>
      <c r="P189" s="2">
        <v>2</v>
      </c>
      <c r="Q189" s="2" t="s">
        <v>190</v>
      </c>
      <c r="S189" s="46" t="s">
        <v>1017</v>
      </c>
      <c r="T189" s="46" t="s">
        <v>1017</v>
      </c>
      <c r="U189" s="46" t="s">
        <v>1017</v>
      </c>
      <c r="V189" s="46" t="s">
        <v>1017</v>
      </c>
      <c r="Y189" s="2">
        <v>1</v>
      </c>
      <c r="Z189" s="2" t="s">
        <v>913</v>
      </c>
      <c r="AA189" s="2"/>
      <c r="AH189" s="2">
        <v>1</v>
      </c>
      <c r="AJ189" s="2"/>
      <c r="AS189" s="2"/>
      <c r="AU189" s="2">
        <v>1</v>
      </c>
      <c r="AV189" s="2" t="s">
        <v>918</v>
      </c>
      <c r="AW189" s="2"/>
      <c r="BA189" s="2"/>
    </row>
    <row r="190" spans="2:53" x14ac:dyDescent="0.2">
      <c r="B190" s="2">
        <v>400</v>
      </c>
      <c r="C190" s="46" t="s">
        <v>24</v>
      </c>
      <c r="D190" s="2" t="s">
        <v>405</v>
      </c>
      <c r="E190" s="2" t="s">
        <v>750</v>
      </c>
      <c r="F190" s="42" t="s">
        <v>606</v>
      </c>
      <c r="G190" s="5" t="s">
        <v>929</v>
      </c>
      <c r="H190" s="3" t="s">
        <v>880</v>
      </c>
      <c r="J190" s="2">
        <v>1</v>
      </c>
      <c r="S190" s="46" t="s">
        <v>1017</v>
      </c>
      <c r="T190" s="46" t="s">
        <v>1017</v>
      </c>
      <c r="U190" s="46" t="s">
        <v>1017</v>
      </c>
      <c r="V190" s="46" t="s">
        <v>1017</v>
      </c>
      <c r="AA190" s="2"/>
      <c r="AG190" s="2"/>
      <c r="AJ190" s="2"/>
      <c r="AS190" s="2"/>
      <c r="AU190" s="2">
        <v>1</v>
      </c>
      <c r="AV190" s="2" t="s">
        <v>895</v>
      </c>
      <c r="AW190" s="2"/>
    </row>
    <row r="191" spans="2:53" x14ac:dyDescent="0.2">
      <c r="B191" s="2">
        <v>400</v>
      </c>
      <c r="C191" s="46" t="s">
        <v>24</v>
      </c>
      <c r="D191" s="2" t="s">
        <v>405</v>
      </c>
      <c r="E191" s="2" t="s">
        <v>773</v>
      </c>
      <c r="F191" s="42" t="s">
        <v>772</v>
      </c>
      <c r="G191" s="5" t="s">
        <v>929</v>
      </c>
      <c r="H191" s="3" t="s">
        <v>880</v>
      </c>
      <c r="J191" s="2">
        <v>1</v>
      </c>
      <c r="S191" s="46" t="s">
        <v>1017</v>
      </c>
      <c r="T191" s="46" t="s">
        <v>1017</v>
      </c>
      <c r="U191" s="46" t="s">
        <v>1017</v>
      </c>
      <c r="V191" s="46" t="s">
        <v>1017</v>
      </c>
      <c r="AA191" s="2"/>
      <c r="AG191" s="2"/>
      <c r="AJ191" s="2"/>
      <c r="AS191" s="2"/>
      <c r="AU191" s="2">
        <v>1</v>
      </c>
      <c r="AV191" s="2" t="s">
        <v>895</v>
      </c>
      <c r="AW191" s="2"/>
      <c r="BA191" s="2"/>
    </row>
    <row r="192" spans="2:53" x14ac:dyDescent="0.2">
      <c r="B192" s="2">
        <v>400</v>
      </c>
      <c r="C192" s="46" t="s">
        <v>24</v>
      </c>
      <c r="D192" s="2" t="s">
        <v>406</v>
      </c>
      <c r="E192" s="2" t="s">
        <v>730</v>
      </c>
      <c r="F192" s="42" t="s">
        <v>733</v>
      </c>
      <c r="G192" s="3"/>
      <c r="H192" s="3" t="s">
        <v>0</v>
      </c>
      <c r="S192" s="46" t="s">
        <v>1017</v>
      </c>
      <c r="T192" s="46" t="s">
        <v>1017</v>
      </c>
      <c r="U192" s="46" t="s">
        <v>1017</v>
      </c>
      <c r="V192" s="46" t="s">
        <v>1017</v>
      </c>
      <c r="AA192" s="2"/>
      <c r="AG192" s="2"/>
      <c r="AJ192" s="2"/>
      <c r="AS192" s="2"/>
      <c r="AV192" s="2" t="s">
        <v>866</v>
      </c>
      <c r="AW192" s="2"/>
      <c r="BA192" s="2"/>
    </row>
    <row r="193" spans="2:53" x14ac:dyDescent="0.2">
      <c r="B193" s="2">
        <v>400</v>
      </c>
      <c r="C193" s="46" t="s">
        <v>24</v>
      </c>
      <c r="D193" s="2" t="s">
        <v>406</v>
      </c>
      <c r="E193" s="2" t="s">
        <v>406</v>
      </c>
      <c r="F193" s="42" t="s">
        <v>397</v>
      </c>
      <c r="G193" s="3"/>
      <c r="H193" s="3" t="s">
        <v>876</v>
      </c>
      <c r="N193" s="2">
        <v>1</v>
      </c>
      <c r="S193" s="46" t="s">
        <v>997</v>
      </c>
      <c r="T193" s="46">
        <v>1</v>
      </c>
      <c r="U193" s="46">
        <v>29</v>
      </c>
      <c r="V193" s="46" t="s">
        <v>992</v>
      </c>
      <c r="AA193" s="2"/>
      <c r="AG193" s="2"/>
      <c r="AJ193" s="2"/>
      <c r="AS193" s="2"/>
      <c r="AT193" s="2">
        <v>1</v>
      </c>
      <c r="AW193" s="2"/>
      <c r="AX193" s="1">
        <v>45</v>
      </c>
      <c r="AY193" s="2" t="s">
        <v>930</v>
      </c>
      <c r="BA193" s="2"/>
    </row>
    <row r="194" spans="2:53" x14ac:dyDescent="0.2">
      <c r="B194" s="2">
        <v>400</v>
      </c>
      <c r="C194" s="46" t="s">
        <v>24</v>
      </c>
      <c r="D194" s="2" t="s">
        <v>406</v>
      </c>
      <c r="E194" s="2" t="s">
        <v>729</v>
      </c>
      <c r="F194" s="42" t="s">
        <v>732</v>
      </c>
      <c r="G194" s="2" t="s">
        <v>247</v>
      </c>
      <c r="H194" s="3" t="s">
        <v>719</v>
      </c>
      <c r="S194" s="46" t="s">
        <v>1017</v>
      </c>
      <c r="T194" s="46" t="s">
        <v>1017</v>
      </c>
      <c r="U194" s="46" t="s">
        <v>1017</v>
      </c>
      <c r="V194" s="46" t="s">
        <v>1017</v>
      </c>
      <c r="AA194" s="2"/>
      <c r="AG194" s="2"/>
      <c r="AJ194" s="2"/>
      <c r="AS194" s="2"/>
      <c r="AU194" s="2">
        <v>1</v>
      </c>
      <c r="AV194" s="2" t="s">
        <v>917</v>
      </c>
      <c r="AW194" s="2"/>
      <c r="BA194" s="2"/>
    </row>
    <row r="195" spans="2:53" x14ac:dyDescent="0.2">
      <c r="B195" s="2">
        <v>400</v>
      </c>
      <c r="C195" s="46" t="s">
        <v>24</v>
      </c>
      <c r="D195" s="2" t="s">
        <v>406</v>
      </c>
      <c r="E195" s="3" t="s">
        <v>728</v>
      </c>
      <c r="F195" s="43" t="s">
        <v>731</v>
      </c>
      <c r="G195" s="3" t="s">
        <v>552</v>
      </c>
      <c r="H195" s="2" t="s">
        <v>719</v>
      </c>
      <c r="S195" s="46" t="s">
        <v>1017</v>
      </c>
      <c r="T195" s="46" t="s">
        <v>1017</v>
      </c>
      <c r="U195" s="46" t="s">
        <v>1017</v>
      </c>
      <c r="V195" s="46" t="s">
        <v>1017</v>
      </c>
      <c r="AA195" s="2"/>
      <c r="AG195" s="2"/>
      <c r="AJ195" s="2"/>
      <c r="AS195" s="2"/>
      <c r="AU195" s="2">
        <v>1</v>
      </c>
      <c r="AV195" s="3" t="s">
        <v>911</v>
      </c>
      <c r="AW195" s="3"/>
    </row>
    <row r="196" spans="2:53" x14ac:dyDescent="0.2">
      <c r="B196" s="2">
        <v>400</v>
      </c>
      <c r="C196" s="46" t="s">
        <v>24</v>
      </c>
      <c r="D196" s="2" t="s">
        <v>406</v>
      </c>
      <c r="E196" s="2" t="s">
        <v>713</v>
      </c>
      <c r="F196" s="42" t="s">
        <v>498</v>
      </c>
      <c r="H196" s="5" t="s">
        <v>0</v>
      </c>
      <c r="S196" s="46" t="s">
        <v>1017</v>
      </c>
      <c r="T196" s="46" t="s">
        <v>1017</v>
      </c>
      <c r="U196" s="46" t="s">
        <v>1017</v>
      </c>
      <c r="V196" s="46" t="s">
        <v>1017</v>
      </c>
      <c r="AA196" s="2"/>
      <c r="AG196" s="2"/>
      <c r="AJ196" s="2"/>
      <c r="AS196" s="2"/>
      <c r="AU196" s="2">
        <v>1</v>
      </c>
      <c r="AV196" s="2" t="s">
        <v>866</v>
      </c>
      <c r="AW196" s="2"/>
      <c r="BA196" s="2"/>
    </row>
    <row r="197" spans="2:53" x14ac:dyDescent="0.2">
      <c r="B197" s="2">
        <v>400</v>
      </c>
      <c r="C197" s="46" t="s">
        <v>24</v>
      </c>
      <c r="D197" s="2" t="s">
        <v>406</v>
      </c>
      <c r="E197" s="2" t="s">
        <v>174</v>
      </c>
      <c r="F197" s="42" t="s">
        <v>610</v>
      </c>
      <c r="G197" s="5" t="s">
        <v>247</v>
      </c>
      <c r="H197" s="3" t="s">
        <v>719</v>
      </c>
      <c r="S197" s="46" t="s">
        <v>1017</v>
      </c>
      <c r="T197" s="46" t="s">
        <v>1017</v>
      </c>
      <c r="U197" s="46" t="s">
        <v>1017</v>
      </c>
      <c r="V197" s="46" t="s">
        <v>1017</v>
      </c>
      <c r="AA197" s="2"/>
      <c r="AG197" s="2"/>
      <c r="AJ197" s="2"/>
      <c r="AS197" s="2"/>
      <c r="AU197" s="2">
        <v>1</v>
      </c>
      <c r="AV197" s="2" t="s">
        <v>917</v>
      </c>
      <c r="AW197" s="2"/>
      <c r="BA197" s="2"/>
    </row>
    <row r="198" spans="2:53" x14ac:dyDescent="0.2">
      <c r="B198" s="2">
        <v>400</v>
      </c>
      <c r="C198" s="46" t="s">
        <v>24</v>
      </c>
      <c r="D198" s="2" t="s">
        <v>406</v>
      </c>
      <c r="E198" s="2" t="s">
        <v>175</v>
      </c>
      <c r="F198" s="42" t="s">
        <v>915</v>
      </c>
      <c r="G198" s="5" t="s">
        <v>247</v>
      </c>
      <c r="H198" s="3" t="s">
        <v>719</v>
      </c>
      <c r="S198" s="46" t="s">
        <v>1017</v>
      </c>
      <c r="T198" s="46" t="s">
        <v>1017</v>
      </c>
      <c r="U198" s="46" t="s">
        <v>1017</v>
      </c>
      <c r="V198" s="46" t="s">
        <v>1017</v>
      </c>
      <c r="AA198" s="2"/>
      <c r="AG198" s="2"/>
      <c r="AJ198" s="2"/>
      <c r="AS198" s="2"/>
      <c r="AU198" s="2">
        <v>1</v>
      </c>
      <c r="AV198" s="2" t="s">
        <v>917</v>
      </c>
      <c r="AW198" s="2"/>
      <c r="BA198" s="2"/>
    </row>
    <row r="199" spans="2:53" x14ac:dyDescent="0.2">
      <c r="B199" s="2">
        <v>400</v>
      </c>
      <c r="C199" s="46" t="s">
        <v>24</v>
      </c>
      <c r="D199" s="2" t="s">
        <v>406</v>
      </c>
      <c r="E199" s="2" t="s">
        <v>714</v>
      </c>
      <c r="F199" s="42" t="s">
        <v>211</v>
      </c>
      <c r="G199" s="5" t="s">
        <v>951</v>
      </c>
      <c r="H199" s="3" t="s">
        <v>719</v>
      </c>
      <c r="O199" s="2">
        <v>0</v>
      </c>
      <c r="P199" s="2">
        <v>2</v>
      </c>
      <c r="Q199" s="2" t="s">
        <v>190</v>
      </c>
      <c r="S199" s="46" t="s">
        <v>1017</v>
      </c>
      <c r="T199" s="46" t="s">
        <v>1017</v>
      </c>
      <c r="U199" s="46" t="s">
        <v>1017</v>
      </c>
      <c r="V199" s="46" t="s">
        <v>1017</v>
      </c>
      <c r="Y199" s="2">
        <v>1</v>
      </c>
      <c r="Z199" s="2" t="s">
        <v>913</v>
      </c>
      <c r="AA199" s="2"/>
      <c r="AH199" s="2">
        <v>1</v>
      </c>
      <c r="AJ199" s="2"/>
      <c r="AS199" s="2"/>
      <c r="AU199" s="2">
        <v>1</v>
      </c>
      <c r="AV199" s="2" t="s">
        <v>918</v>
      </c>
      <c r="AW199" s="2"/>
      <c r="BA199" s="2"/>
    </row>
    <row r="200" spans="2:53" x14ac:dyDescent="0.2">
      <c r="B200" s="2">
        <v>400</v>
      </c>
      <c r="C200" s="46" t="s">
        <v>24</v>
      </c>
      <c r="D200" s="2" t="s">
        <v>406</v>
      </c>
      <c r="E200" s="2" t="s">
        <v>752</v>
      </c>
      <c r="F200" s="42" t="s">
        <v>607</v>
      </c>
      <c r="G200" s="5" t="s">
        <v>929</v>
      </c>
      <c r="H200" s="3" t="s">
        <v>880</v>
      </c>
      <c r="J200" s="2">
        <v>1</v>
      </c>
      <c r="S200" s="46" t="s">
        <v>1017</v>
      </c>
      <c r="T200" s="46" t="s">
        <v>1017</v>
      </c>
      <c r="U200" s="46" t="s">
        <v>1017</v>
      </c>
      <c r="V200" s="46" t="s">
        <v>1017</v>
      </c>
      <c r="AA200" s="2"/>
      <c r="AG200" s="2"/>
      <c r="AJ200" s="2"/>
      <c r="AS200" s="2"/>
      <c r="AU200" s="2">
        <v>1</v>
      </c>
      <c r="AV200" s="2" t="s">
        <v>895</v>
      </c>
      <c r="AW200" s="2"/>
      <c r="BA200" s="2"/>
    </row>
    <row r="201" spans="2:53" x14ac:dyDescent="0.2">
      <c r="B201" s="2">
        <v>400</v>
      </c>
      <c r="C201" s="46" t="s">
        <v>24</v>
      </c>
      <c r="D201" s="2" t="s">
        <v>407</v>
      </c>
      <c r="E201" s="2" t="s">
        <v>736</v>
      </c>
      <c r="F201" s="42" t="s">
        <v>737</v>
      </c>
      <c r="G201" s="3"/>
      <c r="H201" s="3" t="s">
        <v>0</v>
      </c>
      <c r="S201" s="46" t="s">
        <v>1017</v>
      </c>
      <c r="T201" s="46" t="s">
        <v>1017</v>
      </c>
      <c r="U201" s="46" t="s">
        <v>1017</v>
      </c>
      <c r="V201" s="46" t="s">
        <v>1017</v>
      </c>
      <c r="AA201" s="2"/>
      <c r="AG201" s="2"/>
      <c r="AJ201" s="2"/>
      <c r="AS201" s="2"/>
      <c r="AV201" s="2" t="s">
        <v>866</v>
      </c>
      <c r="AW201" s="2"/>
      <c r="BA201" s="2"/>
    </row>
    <row r="202" spans="2:53" x14ac:dyDescent="0.2">
      <c r="B202" s="2">
        <v>400</v>
      </c>
      <c r="C202" s="46" t="s">
        <v>24</v>
      </c>
      <c r="D202" s="2" t="s">
        <v>407</v>
      </c>
      <c r="E202" s="2" t="s">
        <v>407</v>
      </c>
      <c r="F202" s="42" t="s">
        <v>397</v>
      </c>
      <c r="G202" s="3"/>
      <c r="H202" s="3" t="s">
        <v>876</v>
      </c>
      <c r="N202" s="2">
        <v>1</v>
      </c>
      <c r="S202" s="46" t="s">
        <v>997</v>
      </c>
      <c r="T202" s="46">
        <v>1</v>
      </c>
      <c r="U202" s="46">
        <v>30</v>
      </c>
      <c r="V202" s="46" t="s">
        <v>992</v>
      </c>
      <c r="AA202" s="2"/>
      <c r="AG202" s="2"/>
      <c r="AJ202" s="2"/>
      <c r="AS202" s="2"/>
      <c r="AT202" s="2">
        <v>1</v>
      </c>
      <c r="AW202" s="2"/>
      <c r="AX202" s="1">
        <v>45</v>
      </c>
      <c r="AY202" s="2" t="s">
        <v>930</v>
      </c>
      <c r="BA202" s="2"/>
    </row>
    <row r="203" spans="2:53" x14ac:dyDescent="0.2">
      <c r="B203" s="2">
        <v>400</v>
      </c>
      <c r="C203" s="46" t="s">
        <v>24</v>
      </c>
      <c r="D203" s="2" t="s">
        <v>407</v>
      </c>
      <c r="E203" s="2" t="s">
        <v>735</v>
      </c>
      <c r="F203" s="42" t="s">
        <v>738</v>
      </c>
      <c r="G203" s="2" t="s">
        <v>247</v>
      </c>
      <c r="H203" s="3" t="s">
        <v>719</v>
      </c>
      <c r="S203" s="46" t="s">
        <v>1017</v>
      </c>
      <c r="T203" s="46" t="s">
        <v>1017</v>
      </c>
      <c r="U203" s="46" t="s">
        <v>1017</v>
      </c>
      <c r="V203" s="46" t="s">
        <v>1017</v>
      </c>
      <c r="AA203" s="2"/>
      <c r="AG203" s="2"/>
      <c r="AJ203" s="2"/>
      <c r="AS203" s="2"/>
      <c r="AU203" s="2">
        <v>1</v>
      </c>
      <c r="AV203" s="2" t="s">
        <v>917</v>
      </c>
      <c r="AW203" s="2"/>
      <c r="BA203" s="2"/>
    </row>
    <row r="204" spans="2:53" x14ac:dyDescent="0.2">
      <c r="B204" s="2">
        <v>400</v>
      </c>
      <c r="C204" s="46" t="s">
        <v>24</v>
      </c>
      <c r="D204" s="2" t="s">
        <v>407</v>
      </c>
      <c r="E204" s="3" t="s">
        <v>734</v>
      </c>
      <c r="F204" s="43" t="s">
        <v>739</v>
      </c>
      <c r="G204" s="3" t="s">
        <v>552</v>
      </c>
      <c r="H204" s="2" t="s">
        <v>719</v>
      </c>
      <c r="S204" s="46" t="s">
        <v>1017</v>
      </c>
      <c r="T204" s="46" t="s">
        <v>1017</v>
      </c>
      <c r="U204" s="46" t="s">
        <v>1017</v>
      </c>
      <c r="V204" s="46" t="s">
        <v>1017</v>
      </c>
      <c r="AA204" s="2"/>
      <c r="AG204" s="2"/>
      <c r="AJ204" s="2"/>
      <c r="AS204" s="2"/>
      <c r="AU204" s="2">
        <v>1</v>
      </c>
      <c r="AV204" s="3" t="s">
        <v>911</v>
      </c>
      <c r="AW204" s="3"/>
    </row>
    <row r="205" spans="2:53" x14ac:dyDescent="0.2">
      <c r="B205" s="2">
        <v>400</v>
      </c>
      <c r="C205" s="46" t="s">
        <v>24</v>
      </c>
      <c r="D205" s="2" t="s">
        <v>407</v>
      </c>
      <c r="E205" s="2" t="s">
        <v>86</v>
      </c>
      <c r="F205" s="42" t="s">
        <v>608</v>
      </c>
      <c r="G205" s="5" t="s">
        <v>929</v>
      </c>
      <c r="H205" s="3" t="s">
        <v>880</v>
      </c>
      <c r="J205" s="2">
        <v>1</v>
      </c>
      <c r="S205" s="46" t="s">
        <v>1017</v>
      </c>
      <c r="T205" s="46" t="s">
        <v>1017</v>
      </c>
      <c r="U205" s="46" t="s">
        <v>1017</v>
      </c>
      <c r="V205" s="46" t="s">
        <v>1017</v>
      </c>
      <c r="AA205" s="2"/>
      <c r="AG205" s="2"/>
      <c r="AJ205" s="2"/>
      <c r="AS205" s="2"/>
      <c r="AU205" s="2">
        <v>1</v>
      </c>
      <c r="AV205" s="2" t="s">
        <v>895</v>
      </c>
      <c r="AW205" s="2"/>
      <c r="BA205" s="2"/>
    </row>
    <row r="206" spans="2:53" x14ac:dyDescent="0.2">
      <c r="B206" s="2">
        <v>400</v>
      </c>
      <c r="C206" s="46" t="s">
        <v>24</v>
      </c>
      <c r="D206" s="2" t="s">
        <v>408</v>
      </c>
      <c r="E206" s="2" t="s">
        <v>742</v>
      </c>
      <c r="F206" s="42" t="s">
        <v>745</v>
      </c>
      <c r="G206" s="3"/>
      <c r="H206" s="3" t="s">
        <v>0</v>
      </c>
      <c r="S206" s="46" t="s">
        <v>1017</v>
      </c>
      <c r="T206" s="46" t="s">
        <v>1017</v>
      </c>
      <c r="U206" s="46" t="s">
        <v>1017</v>
      </c>
      <c r="V206" s="46" t="s">
        <v>1017</v>
      </c>
      <c r="AA206" s="2"/>
      <c r="AG206" s="2"/>
      <c r="AJ206" s="2"/>
      <c r="AS206" s="2"/>
      <c r="AV206" s="2" t="s">
        <v>866</v>
      </c>
      <c r="AW206" s="2"/>
      <c r="BA206" s="2"/>
    </row>
    <row r="207" spans="2:53" x14ac:dyDescent="0.2">
      <c r="B207" s="2">
        <v>400</v>
      </c>
      <c r="C207" s="46" t="s">
        <v>24</v>
      </c>
      <c r="D207" s="2" t="s">
        <v>408</v>
      </c>
      <c r="E207" s="2" t="s">
        <v>408</v>
      </c>
      <c r="F207" s="42" t="s">
        <v>397</v>
      </c>
      <c r="G207" s="3"/>
      <c r="H207" s="3" t="s">
        <v>876</v>
      </c>
      <c r="N207" s="2">
        <v>1</v>
      </c>
      <c r="S207" s="46" t="s">
        <v>997</v>
      </c>
      <c r="T207" s="46">
        <v>1</v>
      </c>
      <c r="U207" s="46">
        <v>31</v>
      </c>
      <c r="V207" s="46" t="s">
        <v>992</v>
      </c>
      <c r="AA207" s="2"/>
      <c r="AG207" s="2"/>
      <c r="AJ207" s="2"/>
      <c r="AS207" s="2"/>
      <c r="AT207" s="2">
        <v>1</v>
      </c>
      <c r="AW207" s="2"/>
      <c r="AX207" s="1">
        <v>45</v>
      </c>
      <c r="AY207" s="2" t="s">
        <v>930</v>
      </c>
      <c r="BA207" s="2"/>
    </row>
    <row r="208" spans="2:53" x14ac:dyDescent="0.2">
      <c r="B208" s="2">
        <v>400</v>
      </c>
      <c r="C208" s="46" t="s">
        <v>24</v>
      </c>
      <c r="D208" s="2" t="s">
        <v>408</v>
      </c>
      <c r="E208" s="2" t="s">
        <v>741</v>
      </c>
      <c r="F208" s="42" t="s">
        <v>744</v>
      </c>
      <c r="G208" s="2" t="s">
        <v>247</v>
      </c>
      <c r="H208" s="3" t="s">
        <v>719</v>
      </c>
      <c r="S208" s="46" t="s">
        <v>1017</v>
      </c>
      <c r="T208" s="46" t="s">
        <v>1017</v>
      </c>
      <c r="U208" s="46" t="s">
        <v>1017</v>
      </c>
      <c r="V208" s="46" t="s">
        <v>1017</v>
      </c>
      <c r="AA208" s="2"/>
      <c r="AG208" s="2"/>
      <c r="AJ208" s="2"/>
      <c r="AS208" s="2"/>
      <c r="AU208" s="2">
        <v>1</v>
      </c>
      <c r="AV208" s="2" t="s">
        <v>917</v>
      </c>
      <c r="AW208" s="2"/>
      <c r="BA208" s="2"/>
    </row>
    <row r="209" spans="2:53" x14ac:dyDescent="0.2">
      <c r="B209" s="2">
        <v>400</v>
      </c>
      <c r="C209" s="46" t="s">
        <v>24</v>
      </c>
      <c r="D209" s="2" t="s">
        <v>408</v>
      </c>
      <c r="E209" s="3" t="s">
        <v>740</v>
      </c>
      <c r="F209" s="43" t="s">
        <v>743</v>
      </c>
      <c r="G209" s="3" t="s">
        <v>552</v>
      </c>
      <c r="H209" s="2" t="s">
        <v>719</v>
      </c>
      <c r="S209" s="46" t="s">
        <v>1017</v>
      </c>
      <c r="T209" s="46" t="s">
        <v>1017</v>
      </c>
      <c r="U209" s="46" t="s">
        <v>1017</v>
      </c>
      <c r="V209" s="46" t="s">
        <v>1017</v>
      </c>
      <c r="AA209" s="2"/>
      <c r="AG209" s="2"/>
      <c r="AJ209" s="2"/>
      <c r="AS209" s="2"/>
      <c r="AU209" s="2">
        <v>1</v>
      </c>
      <c r="AV209" s="3" t="s">
        <v>911</v>
      </c>
      <c r="AW209" s="3"/>
    </row>
    <row r="210" spans="2:53" x14ac:dyDescent="0.2">
      <c r="B210" s="2">
        <v>400</v>
      </c>
      <c r="C210" s="46" t="s">
        <v>24</v>
      </c>
      <c r="D210" s="2" t="s">
        <v>408</v>
      </c>
      <c r="E210" s="2" t="s">
        <v>715</v>
      </c>
      <c r="F210" s="42" t="s">
        <v>497</v>
      </c>
      <c r="H210" s="5" t="s">
        <v>0</v>
      </c>
      <c r="S210" s="46" t="s">
        <v>1017</v>
      </c>
      <c r="T210" s="46" t="s">
        <v>1017</v>
      </c>
      <c r="U210" s="46" t="s">
        <v>1017</v>
      </c>
      <c r="V210" s="46" t="s">
        <v>1017</v>
      </c>
      <c r="AA210" s="2"/>
      <c r="AG210" s="2"/>
      <c r="AJ210" s="2"/>
      <c r="AS210" s="2"/>
      <c r="AU210" s="2">
        <v>1</v>
      </c>
      <c r="AV210" s="2" t="s">
        <v>866</v>
      </c>
      <c r="AW210" s="2"/>
    </row>
    <row r="211" spans="2:53" x14ac:dyDescent="0.2">
      <c r="B211" s="2">
        <v>400</v>
      </c>
      <c r="C211" s="46" t="s">
        <v>24</v>
      </c>
      <c r="D211" s="2" t="s">
        <v>408</v>
      </c>
      <c r="E211" s="2" t="s">
        <v>172</v>
      </c>
      <c r="F211" s="42" t="s">
        <v>611</v>
      </c>
      <c r="G211" s="5" t="s">
        <v>247</v>
      </c>
      <c r="H211" s="3" t="s">
        <v>719</v>
      </c>
      <c r="S211" s="46" t="s">
        <v>1017</v>
      </c>
      <c r="T211" s="46" t="s">
        <v>1017</v>
      </c>
      <c r="U211" s="46" t="s">
        <v>1017</v>
      </c>
      <c r="V211" s="46" t="s">
        <v>1017</v>
      </c>
      <c r="AA211" s="2"/>
      <c r="AG211" s="2"/>
      <c r="AJ211" s="2"/>
      <c r="AS211" s="2"/>
      <c r="AU211" s="2">
        <v>1</v>
      </c>
      <c r="AV211" s="2" t="s">
        <v>917</v>
      </c>
      <c r="AW211" s="2"/>
    </row>
    <row r="212" spans="2:53" x14ac:dyDescent="0.2">
      <c r="B212" s="2">
        <v>400</v>
      </c>
      <c r="C212" s="46" t="s">
        <v>24</v>
      </c>
      <c r="D212" s="2" t="s">
        <v>408</v>
      </c>
      <c r="E212" s="2" t="s">
        <v>173</v>
      </c>
      <c r="F212" s="42" t="s">
        <v>916</v>
      </c>
      <c r="G212" s="5" t="s">
        <v>247</v>
      </c>
      <c r="H212" s="3" t="s">
        <v>719</v>
      </c>
      <c r="S212" s="46" t="s">
        <v>1017</v>
      </c>
      <c r="T212" s="46" t="s">
        <v>1017</v>
      </c>
      <c r="U212" s="46" t="s">
        <v>1017</v>
      </c>
      <c r="V212" s="46" t="s">
        <v>1017</v>
      </c>
      <c r="AA212" s="2"/>
      <c r="AG212" s="2"/>
      <c r="AJ212" s="2"/>
      <c r="AS212" s="2"/>
      <c r="AU212" s="2">
        <v>1</v>
      </c>
      <c r="AV212" s="2" t="s">
        <v>917</v>
      </c>
      <c r="AW212" s="2"/>
    </row>
    <row r="213" spans="2:53" x14ac:dyDescent="0.2">
      <c r="B213" s="2">
        <v>400</v>
      </c>
      <c r="C213" s="46" t="s">
        <v>24</v>
      </c>
      <c r="D213" s="2" t="s">
        <v>408</v>
      </c>
      <c r="E213" s="2" t="s">
        <v>716</v>
      </c>
      <c r="F213" s="42" t="s">
        <v>212</v>
      </c>
      <c r="G213" s="5" t="s">
        <v>951</v>
      </c>
      <c r="H213" s="3" t="s">
        <v>719</v>
      </c>
      <c r="O213" s="2">
        <v>0</v>
      </c>
      <c r="P213" s="2">
        <v>2</v>
      </c>
      <c r="Q213" s="2" t="s">
        <v>190</v>
      </c>
      <c r="S213" s="46" t="s">
        <v>1017</v>
      </c>
      <c r="T213" s="46" t="s">
        <v>1017</v>
      </c>
      <c r="U213" s="46" t="s">
        <v>1017</v>
      </c>
      <c r="V213" s="46" t="s">
        <v>1017</v>
      </c>
      <c r="Y213" s="2">
        <v>1</v>
      </c>
      <c r="Z213" s="2" t="s">
        <v>913</v>
      </c>
      <c r="AA213" s="2"/>
      <c r="AH213" s="2">
        <v>1</v>
      </c>
      <c r="AJ213" s="2"/>
      <c r="AS213" s="2"/>
      <c r="AU213" s="2">
        <v>1</v>
      </c>
      <c r="AV213" s="2" t="s">
        <v>918</v>
      </c>
      <c r="AW213" s="2"/>
      <c r="BA213" s="2"/>
    </row>
    <row r="214" spans="2:53" x14ac:dyDescent="0.2">
      <c r="B214" s="2">
        <v>400</v>
      </c>
      <c r="C214" s="46" t="s">
        <v>24</v>
      </c>
      <c r="D214" s="2" t="s">
        <v>408</v>
      </c>
      <c r="E214" s="2" t="s">
        <v>751</v>
      </c>
      <c r="F214" s="42" t="s">
        <v>609</v>
      </c>
      <c r="G214" s="5" t="s">
        <v>929</v>
      </c>
      <c r="H214" s="3" t="s">
        <v>880</v>
      </c>
      <c r="J214" s="2">
        <v>1</v>
      </c>
      <c r="S214" s="46" t="s">
        <v>1017</v>
      </c>
      <c r="T214" s="46" t="s">
        <v>1017</v>
      </c>
      <c r="U214" s="46" t="s">
        <v>1017</v>
      </c>
      <c r="V214" s="46" t="s">
        <v>1017</v>
      </c>
      <c r="AA214" s="2"/>
      <c r="AG214" s="2"/>
      <c r="AJ214" s="2"/>
      <c r="AS214" s="2"/>
      <c r="AU214" s="2">
        <v>1</v>
      </c>
      <c r="AV214" s="2" t="s">
        <v>895</v>
      </c>
      <c r="AW214" s="2"/>
    </row>
    <row r="215" spans="2:53" x14ac:dyDescent="0.2">
      <c r="B215" s="2">
        <v>600</v>
      </c>
      <c r="C215" s="46" t="s">
        <v>24</v>
      </c>
      <c r="D215" s="3" t="s">
        <v>345</v>
      </c>
      <c r="E215" s="3" t="s">
        <v>647</v>
      </c>
      <c r="F215" s="43" t="s">
        <v>968</v>
      </c>
      <c r="G215" s="3"/>
      <c r="H215" s="3" t="s">
        <v>876</v>
      </c>
      <c r="N215" s="2">
        <v>1</v>
      </c>
      <c r="S215" s="46" t="s">
        <v>997</v>
      </c>
      <c r="T215" s="46">
        <v>1</v>
      </c>
      <c r="U215" s="46">
        <v>86</v>
      </c>
      <c r="V215" s="46" t="s">
        <v>986</v>
      </c>
      <c r="AA215" s="2"/>
      <c r="AG215" s="2"/>
      <c r="AJ215" s="2"/>
      <c r="AS215" s="2"/>
      <c r="AT215" s="2">
        <v>1</v>
      </c>
      <c r="AV215" s="47" t="s">
        <v>373</v>
      </c>
      <c r="AW215" s="48">
        <f>(611+60)*0.9</f>
        <v>603.9</v>
      </c>
      <c r="AX215" s="1">
        <v>1.5</v>
      </c>
      <c r="AY215" s="2" t="s">
        <v>877</v>
      </c>
    </row>
    <row r="216" spans="2:53" x14ac:dyDescent="0.2">
      <c r="B216" s="2">
        <v>600</v>
      </c>
      <c r="C216" s="46" t="s">
        <v>24</v>
      </c>
      <c r="D216" s="2" t="s">
        <v>345</v>
      </c>
      <c r="E216" s="2" t="s">
        <v>383</v>
      </c>
      <c r="F216" s="42" t="s">
        <v>384</v>
      </c>
      <c r="G216" s="3" t="s">
        <v>929</v>
      </c>
      <c r="H216" s="3" t="s">
        <v>289</v>
      </c>
      <c r="M216" s="2">
        <v>1</v>
      </c>
      <c r="S216" s="46" t="s">
        <v>997</v>
      </c>
      <c r="T216" s="46">
        <v>2</v>
      </c>
      <c r="U216" s="46">
        <v>49</v>
      </c>
      <c r="V216" s="46" t="s">
        <v>1008</v>
      </c>
      <c r="AA216" s="2"/>
      <c r="AG216" s="2"/>
      <c r="AJ216" s="2"/>
      <c r="AS216" s="2"/>
      <c r="AW216" s="2"/>
      <c r="BA216" s="2"/>
    </row>
    <row r="217" spans="2:53" x14ac:dyDescent="0.2">
      <c r="B217" s="2">
        <v>600</v>
      </c>
      <c r="C217" s="46" t="s">
        <v>24</v>
      </c>
      <c r="D217" s="2" t="s">
        <v>345</v>
      </c>
      <c r="E217" s="2" t="s">
        <v>345</v>
      </c>
      <c r="F217" s="54" t="s">
        <v>364</v>
      </c>
      <c r="G217" s="3"/>
      <c r="H217" s="3" t="s">
        <v>876</v>
      </c>
      <c r="N217" s="2">
        <v>1</v>
      </c>
      <c r="S217" s="46" t="s">
        <v>997</v>
      </c>
      <c r="T217" s="46">
        <v>1</v>
      </c>
      <c r="U217" s="46">
        <v>87</v>
      </c>
      <c r="V217" s="46" t="s">
        <v>986</v>
      </c>
      <c r="AA217" s="2"/>
      <c r="AG217" s="2"/>
      <c r="AJ217" s="2"/>
      <c r="AS217" s="2"/>
      <c r="AV217" s="47" t="s">
        <v>372</v>
      </c>
      <c r="AW217" s="48">
        <f>(481+60)*0.9</f>
        <v>486.90000000000003</v>
      </c>
      <c r="AX217" s="1">
        <v>0.37</v>
      </c>
      <c r="AY217" s="2" t="s">
        <v>877</v>
      </c>
      <c r="BA217" s="2"/>
    </row>
    <row r="218" spans="2:53" x14ac:dyDescent="0.2">
      <c r="B218" s="2">
        <v>600</v>
      </c>
      <c r="C218" s="46" t="s">
        <v>24</v>
      </c>
      <c r="D218" s="3" t="s">
        <v>345</v>
      </c>
      <c r="E218" s="2" t="s">
        <v>874</v>
      </c>
      <c r="F218" s="42" t="s">
        <v>367</v>
      </c>
      <c r="G218" s="3"/>
      <c r="H218" s="3" t="s">
        <v>876</v>
      </c>
      <c r="N218" s="2">
        <v>1</v>
      </c>
      <c r="S218" s="46" t="s">
        <v>997</v>
      </c>
      <c r="T218" s="46">
        <v>1</v>
      </c>
      <c r="U218" s="46">
        <v>88</v>
      </c>
      <c r="V218" s="46" t="s">
        <v>986</v>
      </c>
      <c r="AA218" s="2"/>
      <c r="AG218" s="2"/>
      <c r="AJ218" s="2"/>
      <c r="AS218" s="2"/>
      <c r="AV218" s="47" t="s">
        <v>373</v>
      </c>
      <c r="AW218" s="48">
        <f>(611+60)*0.9</f>
        <v>603.9</v>
      </c>
      <c r="AX218" s="1">
        <v>2.2000000000000002</v>
      </c>
      <c r="AY218" s="2" t="s">
        <v>877</v>
      </c>
      <c r="BA218" s="2"/>
    </row>
    <row r="219" spans="2:53" x14ac:dyDescent="0.2">
      <c r="B219" s="2">
        <v>600</v>
      </c>
      <c r="C219" s="46" t="s">
        <v>24</v>
      </c>
      <c r="D219" s="2" t="s">
        <v>345</v>
      </c>
      <c r="E219" s="2" t="s">
        <v>379</v>
      </c>
      <c r="F219" s="42" t="s">
        <v>381</v>
      </c>
      <c r="G219" s="3" t="s">
        <v>552</v>
      </c>
      <c r="H219" s="3" t="s">
        <v>881</v>
      </c>
      <c r="K219" s="2">
        <v>1</v>
      </c>
      <c r="O219" s="2">
        <v>0</v>
      </c>
      <c r="P219" s="2" t="s">
        <v>604</v>
      </c>
      <c r="S219" s="46" t="s">
        <v>1017</v>
      </c>
      <c r="T219" s="46" t="s">
        <v>1017</v>
      </c>
      <c r="U219" s="46" t="s">
        <v>1017</v>
      </c>
      <c r="V219" s="46" t="s">
        <v>1017</v>
      </c>
      <c r="W219" s="2">
        <v>1</v>
      </c>
      <c r="X219" s="2" t="s">
        <v>208</v>
      </c>
      <c r="AA219" s="2"/>
      <c r="AE219" s="2">
        <v>1</v>
      </c>
      <c r="AG219" s="2"/>
      <c r="AJ219" s="2"/>
      <c r="AS219" s="2"/>
      <c r="AW219" s="2"/>
      <c r="BA219" s="2"/>
    </row>
    <row r="220" spans="2:53" x14ac:dyDescent="0.2">
      <c r="B220" s="2">
        <v>600</v>
      </c>
      <c r="C220" s="46" t="s">
        <v>24</v>
      </c>
      <c r="D220" s="3" t="s">
        <v>345</v>
      </c>
      <c r="E220" s="2" t="s">
        <v>380</v>
      </c>
      <c r="F220" s="42" t="s">
        <v>382</v>
      </c>
      <c r="G220" s="3" t="s">
        <v>552</v>
      </c>
      <c r="H220" s="3" t="s">
        <v>881</v>
      </c>
      <c r="K220" s="2">
        <v>1</v>
      </c>
      <c r="O220" s="2">
        <v>0</v>
      </c>
      <c r="P220" s="2" t="s">
        <v>604</v>
      </c>
      <c r="S220" s="46" t="s">
        <v>1017</v>
      </c>
      <c r="T220" s="46" t="s">
        <v>1017</v>
      </c>
      <c r="U220" s="46" t="s">
        <v>1017</v>
      </c>
      <c r="V220" s="46" t="s">
        <v>1017</v>
      </c>
      <c r="W220" s="2">
        <v>1</v>
      </c>
      <c r="X220" s="2" t="s">
        <v>208</v>
      </c>
      <c r="AA220" s="2"/>
      <c r="AE220" s="2">
        <v>1</v>
      </c>
      <c r="AG220" s="2"/>
      <c r="AJ220" s="2"/>
      <c r="AS220" s="2"/>
      <c r="AW220" s="2"/>
      <c r="BA220" s="2"/>
    </row>
    <row r="221" spans="2:53" x14ac:dyDescent="0.2">
      <c r="B221" s="2">
        <v>600</v>
      </c>
      <c r="C221" s="46" t="s">
        <v>24</v>
      </c>
      <c r="D221" s="3" t="s">
        <v>345</v>
      </c>
      <c r="E221" s="2" t="s">
        <v>385</v>
      </c>
      <c r="F221" s="42" t="s">
        <v>387</v>
      </c>
      <c r="G221" s="3" t="s">
        <v>951</v>
      </c>
      <c r="H221" s="3" t="s">
        <v>881</v>
      </c>
      <c r="S221" s="46" t="s">
        <v>1017</v>
      </c>
      <c r="T221" s="46" t="s">
        <v>1017</v>
      </c>
      <c r="U221" s="46" t="s">
        <v>1017</v>
      </c>
      <c r="V221" s="46" t="s">
        <v>1017</v>
      </c>
      <c r="W221" s="2">
        <v>1</v>
      </c>
      <c r="X221" s="2" t="s">
        <v>238</v>
      </c>
      <c r="Y221" s="2">
        <v>1</v>
      </c>
      <c r="AA221" s="2"/>
      <c r="AG221" s="2"/>
      <c r="AJ221" s="2"/>
      <c r="AS221" s="2"/>
      <c r="AW221" s="2"/>
      <c r="BA221" s="2"/>
    </row>
    <row r="222" spans="2:53" x14ac:dyDescent="0.2">
      <c r="B222" s="2">
        <v>600</v>
      </c>
      <c r="C222" s="46" t="s">
        <v>24</v>
      </c>
      <c r="D222" s="2" t="s">
        <v>345</v>
      </c>
      <c r="E222" s="2" t="s">
        <v>386</v>
      </c>
      <c r="F222" s="42" t="s">
        <v>388</v>
      </c>
      <c r="G222" s="3" t="s">
        <v>951</v>
      </c>
      <c r="H222" s="3" t="s">
        <v>881</v>
      </c>
      <c r="S222" s="46" t="s">
        <v>1017</v>
      </c>
      <c r="T222" s="46" t="s">
        <v>1017</v>
      </c>
      <c r="U222" s="46" t="s">
        <v>1017</v>
      </c>
      <c r="V222" s="46" t="s">
        <v>1017</v>
      </c>
      <c r="W222" s="2">
        <v>1</v>
      </c>
      <c r="X222" s="2" t="s">
        <v>238</v>
      </c>
      <c r="Y222" s="2">
        <v>1</v>
      </c>
      <c r="AA222" s="2"/>
      <c r="AG222" s="2"/>
      <c r="AJ222" s="2"/>
      <c r="AS222" s="2"/>
      <c r="AW222" s="2"/>
      <c r="BA222" s="2"/>
    </row>
    <row r="223" spans="2:53" x14ac:dyDescent="0.2">
      <c r="B223" s="2">
        <v>600</v>
      </c>
      <c r="C223" s="46" t="s">
        <v>24</v>
      </c>
      <c r="D223" s="3" t="s">
        <v>345</v>
      </c>
      <c r="E223" s="2" t="s">
        <v>368</v>
      </c>
      <c r="F223" s="42" t="s">
        <v>369</v>
      </c>
      <c r="G223" s="3"/>
      <c r="H223" s="3" t="s">
        <v>876</v>
      </c>
      <c r="N223" s="2">
        <v>1</v>
      </c>
      <c r="S223" s="46" t="s">
        <v>997</v>
      </c>
      <c r="T223" s="46">
        <v>1</v>
      </c>
      <c r="U223" s="46">
        <v>76</v>
      </c>
      <c r="V223" s="46" t="s">
        <v>998</v>
      </c>
      <c r="AA223" s="2"/>
      <c r="AG223" s="2"/>
      <c r="AJ223" s="2"/>
      <c r="AS223" s="2"/>
      <c r="AW223" s="2"/>
      <c r="AX223" s="1">
        <v>1.1000000000000001</v>
      </c>
      <c r="AY223" s="2" t="s">
        <v>930</v>
      </c>
      <c r="BA223" s="2"/>
    </row>
    <row r="224" spans="2:53" x14ac:dyDescent="0.2">
      <c r="B224" s="2">
        <v>600</v>
      </c>
      <c r="C224" s="46" t="s">
        <v>24</v>
      </c>
      <c r="D224" s="2" t="s">
        <v>345</v>
      </c>
      <c r="E224" s="2" t="s">
        <v>875</v>
      </c>
      <c r="F224" s="42" t="s">
        <v>370</v>
      </c>
      <c r="G224" s="3"/>
      <c r="H224" s="3" t="s">
        <v>876</v>
      </c>
      <c r="N224" s="2">
        <v>1</v>
      </c>
      <c r="S224" s="46" t="s">
        <v>997</v>
      </c>
      <c r="T224" s="46">
        <v>1</v>
      </c>
      <c r="U224" s="46">
        <v>77</v>
      </c>
      <c r="V224" s="46" t="s">
        <v>998</v>
      </c>
      <c r="AA224" s="2"/>
      <c r="AG224" s="2"/>
      <c r="AJ224" s="2"/>
      <c r="AS224" s="2"/>
      <c r="AW224" s="2"/>
      <c r="AX224" s="1" t="s">
        <v>311</v>
      </c>
      <c r="AY224" s="2" t="s">
        <v>930</v>
      </c>
      <c r="BA224" s="2"/>
    </row>
    <row r="225" spans="2:53" x14ac:dyDescent="0.2">
      <c r="B225" s="2">
        <v>600</v>
      </c>
      <c r="C225" s="46" t="s">
        <v>24</v>
      </c>
      <c r="D225" s="2" t="s">
        <v>345</v>
      </c>
      <c r="E225" s="2" t="s">
        <v>186</v>
      </c>
      <c r="F225" s="42" t="s">
        <v>819</v>
      </c>
      <c r="G225" s="3" t="s">
        <v>202</v>
      </c>
      <c r="H225" s="3" t="s">
        <v>357</v>
      </c>
      <c r="N225" s="10">
        <v>1</v>
      </c>
      <c r="O225" s="10">
        <v>0</v>
      </c>
      <c r="P225" s="10">
        <v>10000</v>
      </c>
      <c r="Q225" s="2" t="s">
        <v>202</v>
      </c>
      <c r="S225" s="46" t="s">
        <v>1017</v>
      </c>
      <c r="T225" s="46" t="s">
        <v>1017</v>
      </c>
      <c r="U225" s="46" t="s">
        <v>1017</v>
      </c>
      <c r="V225" s="46" t="s">
        <v>1017</v>
      </c>
      <c r="AA225" s="2"/>
      <c r="AB225" s="2">
        <v>1</v>
      </c>
      <c r="AC225" s="2" t="s">
        <v>45</v>
      </c>
      <c r="AD225" s="27">
        <f>1680+860+1160</f>
        <v>3700</v>
      </c>
      <c r="AE225" s="2">
        <v>1</v>
      </c>
      <c r="AG225" s="2"/>
      <c r="AJ225" s="2"/>
      <c r="AS225" s="2"/>
      <c r="AV225" s="2" t="s">
        <v>192</v>
      </c>
      <c r="AW225" s="2"/>
      <c r="BA225" s="2"/>
    </row>
    <row r="226" spans="2:53" x14ac:dyDescent="0.2">
      <c r="B226" s="2">
        <v>600</v>
      </c>
      <c r="C226" s="46" t="s">
        <v>24</v>
      </c>
      <c r="D226" s="3" t="s">
        <v>345</v>
      </c>
      <c r="E226" s="2" t="s">
        <v>503</v>
      </c>
      <c r="F226" s="42" t="s">
        <v>371</v>
      </c>
      <c r="G226" s="3"/>
      <c r="H226" s="3" t="s">
        <v>876</v>
      </c>
      <c r="N226" s="2">
        <v>1</v>
      </c>
      <c r="S226" s="46" t="s">
        <v>997</v>
      </c>
      <c r="T226" s="46">
        <v>1</v>
      </c>
      <c r="U226" s="46">
        <v>78</v>
      </c>
      <c r="V226" s="46" t="s">
        <v>998</v>
      </c>
      <c r="AA226" s="2"/>
      <c r="AG226" s="2"/>
      <c r="AJ226" s="2"/>
      <c r="AS226" s="2"/>
      <c r="AW226" s="2"/>
      <c r="AX226" s="1">
        <v>0.37</v>
      </c>
      <c r="AY226" s="2" t="s">
        <v>930</v>
      </c>
      <c r="BA226" s="2"/>
    </row>
    <row r="227" spans="2:53" x14ac:dyDescent="0.2">
      <c r="B227" s="2">
        <v>600</v>
      </c>
      <c r="C227" s="46" t="s">
        <v>24</v>
      </c>
      <c r="D227" s="2" t="s">
        <v>345</v>
      </c>
      <c r="E227" s="2" t="s">
        <v>982</v>
      </c>
      <c r="F227" s="42" t="s">
        <v>377</v>
      </c>
      <c r="G227" s="3" t="s">
        <v>929</v>
      </c>
      <c r="H227" s="3" t="s">
        <v>880</v>
      </c>
      <c r="J227" s="2">
        <v>1</v>
      </c>
      <c r="S227" s="46" t="s">
        <v>1017</v>
      </c>
      <c r="T227" s="46" t="s">
        <v>1017</v>
      </c>
      <c r="U227" s="46" t="s">
        <v>1017</v>
      </c>
      <c r="V227" s="46" t="s">
        <v>1017</v>
      </c>
      <c r="AA227" s="2"/>
      <c r="AG227" s="2"/>
      <c r="AJ227" s="2"/>
      <c r="AS227" s="2"/>
      <c r="AW227" s="2"/>
      <c r="BA227" s="2"/>
    </row>
    <row r="228" spans="2:53" x14ac:dyDescent="0.2">
      <c r="B228" s="2">
        <v>600</v>
      </c>
      <c r="C228" s="46" t="s">
        <v>24</v>
      </c>
      <c r="D228" s="3" t="s">
        <v>345</v>
      </c>
      <c r="E228" s="2" t="s">
        <v>983</v>
      </c>
      <c r="F228" s="42" t="s">
        <v>378</v>
      </c>
      <c r="G228" s="3" t="s">
        <v>929</v>
      </c>
      <c r="H228" s="3" t="s">
        <v>880</v>
      </c>
      <c r="J228" s="2">
        <v>1</v>
      </c>
      <c r="S228" s="46" t="s">
        <v>1017</v>
      </c>
      <c r="T228" s="46" t="s">
        <v>1017</v>
      </c>
      <c r="U228" s="46" t="s">
        <v>1017</v>
      </c>
      <c r="V228" s="46" t="s">
        <v>1017</v>
      </c>
      <c r="AA228" s="2"/>
      <c r="AG228" s="2"/>
      <c r="AJ228" s="2"/>
      <c r="AS228" s="2"/>
      <c r="AW228" s="2"/>
      <c r="BA228" s="2"/>
    </row>
    <row r="229" spans="2:53" x14ac:dyDescent="0.2">
      <c r="B229" s="2">
        <v>600</v>
      </c>
      <c r="C229" s="46" t="s">
        <v>24</v>
      </c>
      <c r="D229" s="2" t="s">
        <v>345</v>
      </c>
      <c r="E229" s="2" t="s">
        <v>365</v>
      </c>
      <c r="F229" s="42" t="s">
        <v>366</v>
      </c>
      <c r="G229" s="3"/>
      <c r="H229" s="3" t="s">
        <v>876</v>
      </c>
      <c r="N229" s="2">
        <v>1</v>
      </c>
      <c r="S229" s="46" t="s">
        <v>997</v>
      </c>
      <c r="T229" s="46">
        <v>1</v>
      </c>
      <c r="U229" s="46">
        <v>75</v>
      </c>
      <c r="V229" s="46" t="s">
        <v>998</v>
      </c>
      <c r="AA229" s="2"/>
      <c r="AG229" s="2"/>
      <c r="AJ229" s="2"/>
      <c r="AS229" s="2"/>
      <c r="AW229" s="2"/>
      <c r="AX229" s="1">
        <v>13</v>
      </c>
      <c r="AY229" s="2" t="s">
        <v>930</v>
      </c>
      <c r="BA229" s="2"/>
    </row>
    <row r="230" spans="2:53" x14ac:dyDescent="0.2">
      <c r="B230" s="2">
        <v>100</v>
      </c>
      <c r="C230" s="46" t="s">
        <v>30</v>
      </c>
      <c r="D230" s="2" t="s">
        <v>547</v>
      </c>
      <c r="E230" s="2" t="s">
        <v>922</v>
      </c>
      <c r="F230" s="42" t="s">
        <v>593</v>
      </c>
      <c r="G230" s="2" t="s">
        <v>908</v>
      </c>
      <c r="H230" s="3" t="s">
        <v>879</v>
      </c>
      <c r="I230" s="2">
        <v>1</v>
      </c>
      <c r="S230" s="46" t="s">
        <v>1017</v>
      </c>
      <c r="T230" s="46" t="s">
        <v>1017</v>
      </c>
      <c r="U230" s="46" t="s">
        <v>1017</v>
      </c>
      <c r="V230" s="46" t="s">
        <v>1017</v>
      </c>
      <c r="W230" s="2">
        <v>1</v>
      </c>
      <c r="X230" s="2" t="s">
        <v>16</v>
      </c>
      <c r="Y230" s="2">
        <v>1</v>
      </c>
      <c r="Z230" s="2" t="s">
        <v>222</v>
      </c>
      <c r="AA230" s="27">
        <v>492.8</v>
      </c>
      <c r="AB230" s="2">
        <v>1</v>
      </c>
      <c r="AC230" s="2" t="s">
        <v>567</v>
      </c>
      <c r="AD230" s="27">
        <v>560</v>
      </c>
      <c r="AH230" s="2">
        <v>1</v>
      </c>
      <c r="AI230" s="2" t="s">
        <v>233</v>
      </c>
      <c r="AJ230" s="27">
        <v>465</v>
      </c>
      <c r="AS230" s="2"/>
      <c r="AV230" s="2" t="s">
        <v>594</v>
      </c>
      <c r="AW230" s="2"/>
      <c r="BA230" s="2"/>
    </row>
    <row r="231" spans="2:53" x14ac:dyDescent="0.2">
      <c r="B231" s="2">
        <v>400</v>
      </c>
      <c r="C231" s="46" t="s">
        <v>24</v>
      </c>
      <c r="D231" s="2" t="s">
        <v>554</v>
      </c>
      <c r="E231" s="2" t="s">
        <v>554</v>
      </c>
      <c r="F231" s="42" t="s">
        <v>424</v>
      </c>
      <c r="G231" s="3"/>
      <c r="H231" s="3" t="s">
        <v>876</v>
      </c>
      <c r="N231" s="2">
        <v>1</v>
      </c>
      <c r="S231" s="46" t="s">
        <v>997</v>
      </c>
      <c r="T231" s="46">
        <v>1</v>
      </c>
      <c r="U231" s="46">
        <v>36</v>
      </c>
      <c r="V231" s="46" t="s">
        <v>992</v>
      </c>
      <c r="AA231" s="2"/>
      <c r="AG231" s="2"/>
      <c r="AJ231" s="2"/>
      <c r="AS231" s="2"/>
      <c r="AT231" s="2">
        <v>1</v>
      </c>
      <c r="AW231" s="2"/>
      <c r="AX231" s="1">
        <v>15</v>
      </c>
      <c r="AY231" s="2" t="s">
        <v>930</v>
      </c>
      <c r="BA231" s="2"/>
    </row>
    <row r="232" spans="2:53" x14ac:dyDescent="0.2">
      <c r="B232" s="2">
        <v>400</v>
      </c>
      <c r="C232" s="46" t="s">
        <v>24</v>
      </c>
      <c r="D232" s="2" t="s">
        <v>554</v>
      </c>
      <c r="E232" s="2" t="s">
        <v>790</v>
      </c>
      <c r="F232" s="42" t="s">
        <v>555</v>
      </c>
      <c r="G232" s="5" t="s">
        <v>929</v>
      </c>
      <c r="H232" s="3" t="s">
        <v>880</v>
      </c>
      <c r="J232" s="2">
        <v>1</v>
      </c>
      <c r="S232" s="46" t="s">
        <v>1017</v>
      </c>
      <c r="T232" s="46" t="s">
        <v>1017</v>
      </c>
      <c r="U232" s="46" t="s">
        <v>1017</v>
      </c>
      <c r="V232" s="46" t="s">
        <v>1017</v>
      </c>
      <c r="AA232" s="2"/>
      <c r="AG232" s="2"/>
      <c r="AJ232" s="2"/>
      <c r="AS232" s="2"/>
      <c r="AV232" s="2" t="s">
        <v>895</v>
      </c>
      <c r="AW232" s="2"/>
      <c r="BA232" s="2"/>
    </row>
    <row r="233" spans="2:53" x14ac:dyDescent="0.2">
      <c r="B233" s="2">
        <v>400</v>
      </c>
      <c r="C233" s="46" t="s">
        <v>24</v>
      </c>
      <c r="D233" s="2" t="s">
        <v>554</v>
      </c>
      <c r="E233" s="2" t="s">
        <v>791</v>
      </c>
      <c r="F233" s="42" t="s">
        <v>556</v>
      </c>
      <c r="G233" s="5" t="s">
        <v>929</v>
      </c>
      <c r="H233" s="3" t="s">
        <v>880</v>
      </c>
      <c r="J233" s="2">
        <v>1</v>
      </c>
      <c r="S233" s="46" t="s">
        <v>1017</v>
      </c>
      <c r="T233" s="46" t="s">
        <v>1017</v>
      </c>
      <c r="U233" s="46" t="s">
        <v>1017</v>
      </c>
      <c r="V233" s="46" t="s">
        <v>1017</v>
      </c>
      <c r="AA233" s="2"/>
      <c r="AG233" s="2"/>
      <c r="AJ233" s="2"/>
      <c r="AS233" s="2"/>
      <c r="AV233" s="2" t="s">
        <v>895</v>
      </c>
      <c r="AW233" s="2"/>
      <c r="BA233" s="2"/>
    </row>
    <row r="234" spans="2:53" x14ac:dyDescent="0.2">
      <c r="B234" s="2">
        <v>400</v>
      </c>
      <c r="C234" s="46" t="s">
        <v>24</v>
      </c>
      <c r="D234" s="2" t="s">
        <v>554</v>
      </c>
      <c r="E234" s="2" t="s">
        <v>792</v>
      </c>
      <c r="F234" s="42" t="s">
        <v>557</v>
      </c>
      <c r="G234" s="5" t="s">
        <v>929</v>
      </c>
      <c r="H234" s="3" t="s">
        <v>880</v>
      </c>
      <c r="J234" s="2">
        <v>1</v>
      </c>
      <c r="S234" s="46" t="s">
        <v>1017</v>
      </c>
      <c r="T234" s="46" t="s">
        <v>1017</v>
      </c>
      <c r="U234" s="46" t="s">
        <v>1017</v>
      </c>
      <c r="V234" s="46" t="s">
        <v>1017</v>
      </c>
      <c r="AA234" s="2"/>
      <c r="AG234" s="2"/>
      <c r="AJ234" s="2"/>
      <c r="AS234" s="2"/>
      <c r="AV234" s="2" t="s">
        <v>895</v>
      </c>
      <c r="AW234" s="2"/>
      <c r="BA234" s="2"/>
    </row>
    <row r="235" spans="2:53" x14ac:dyDescent="0.2">
      <c r="B235" s="2">
        <v>400</v>
      </c>
      <c r="C235" s="46" t="s">
        <v>24</v>
      </c>
      <c r="D235" s="2" t="s">
        <v>554</v>
      </c>
      <c r="E235" s="2" t="s">
        <v>794</v>
      </c>
      <c r="F235" s="42" t="s">
        <v>795</v>
      </c>
      <c r="G235" s="5" t="s">
        <v>929</v>
      </c>
      <c r="H235" s="3" t="s">
        <v>880</v>
      </c>
      <c r="J235" s="2">
        <v>1</v>
      </c>
      <c r="S235" s="46" t="s">
        <v>1017</v>
      </c>
      <c r="T235" s="46" t="s">
        <v>1017</v>
      </c>
      <c r="U235" s="46" t="s">
        <v>1017</v>
      </c>
      <c r="V235" s="46" t="s">
        <v>1017</v>
      </c>
      <c r="AA235" s="2"/>
      <c r="AG235" s="2"/>
      <c r="AJ235" s="2"/>
      <c r="AS235" s="2"/>
      <c r="AV235" s="2" t="s">
        <v>895</v>
      </c>
      <c r="AW235" s="2"/>
      <c r="BA235" s="2"/>
    </row>
    <row r="236" spans="2:53" x14ac:dyDescent="0.2">
      <c r="B236" s="2">
        <v>500</v>
      </c>
      <c r="C236" s="46" t="s">
        <v>24</v>
      </c>
      <c r="D236" s="2" t="s">
        <v>641</v>
      </c>
      <c r="E236" s="2" t="s">
        <v>830</v>
      </c>
      <c r="F236" s="42" t="s">
        <v>842</v>
      </c>
      <c r="H236" s="3" t="s">
        <v>879</v>
      </c>
      <c r="I236" s="2">
        <v>1</v>
      </c>
      <c r="S236" s="46" t="s">
        <v>1017</v>
      </c>
      <c r="T236" s="46" t="s">
        <v>1017</v>
      </c>
      <c r="U236" s="46" t="s">
        <v>1017</v>
      </c>
      <c r="V236" s="46" t="s">
        <v>1017</v>
      </c>
      <c r="AA236" s="2"/>
      <c r="AG236" s="2"/>
      <c r="AJ236" s="2"/>
      <c r="AK236" s="2">
        <v>1</v>
      </c>
      <c r="AS236" s="2"/>
      <c r="AV236" s="2" t="s">
        <v>969</v>
      </c>
      <c r="AW236" s="2"/>
      <c r="BA236" s="2"/>
    </row>
    <row r="237" spans="2:53" x14ac:dyDescent="0.2">
      <c r="B237" s="2">
        <v>500</v>
      </c>
      <c r="C237" s="46" t="s">
        <v>24</v>
      </c>
      <c r="D237" s="2" t="s">
        <v>641</v>
      </c>
      <c r="E237" s="2" t="s">
        <v>831</v>
      </c>
      <c r="F237" s="42" t="s">
        <v>842</v>
      </c>
      <c r="H237" s="3" t="s">
        <v>879</v>
      </c>
      <c r="I237" s="2">
        <v>1</v>
      </c>
      <c r="S237" s="46" t="s">
        <v>1017</v>
      </c>
      <c r="T237" s="46" t="s">
        <v>1017</v>
      </c>
      <c r="U237" s="46" t="s">
        <v>1017</v>
      </c>
      <c r="V237" s="46" t="s">
        <v>1017</v>
      </c>
      <c r="AA237" s="2"/>
      <c r="AG237" s="2"/>
      <c r="AJ237" s="2"/>
      <c r="AK237" s="2">
        <v>1</v>
      </c>
      <c r="AS237" s="2"/>
      <c r="AV237" s="2" t="s">
        <v>969</v>
      </c>
      <c r="AW237" s="2"/>
      <c r="BA237" s="2"/>
    </row>
    <row r="238" spans="2:53" x14ac:dyDescent="0.2">
      <c r="B238" s="2">
        <v>500</v>
      </c>
      <c r="C238" s="46" t="s">
        <v>24</v>
      </c>
      <c r="D238" s="2" t="s">
        <v>641</v>
      </c>
      <c r="E238" s="2" t="s">
        <v>832</v>
      </c>
      <c r="F238" s="42" t="s">
        <v>842</v>
      </c>
      <c r="H238" s="3" t="s">
        <v>879</v>
      </c>
      <c r="I238" s="2">
        <v>1</v>
      </c>
      <c r="S238" s="46" t="s">
        <v>1017</v>
      </c>
      <c r="T238" s="46" t="s">
        <v>1017</v>
      </c>
      <c r="U238" s="46" t="s">
        <v>1017</v>
      </c>
      <c r="V238" s="46" t="s">
        <v>1017</v>
      </c>
      <c r="AA238" s="2"/>
      <c r="AG238" s="2"/>
      <c r="AJ238" s="2"/>
      <c r="AK238" s="2">
        <v>1</v>
      </c>
      <c r="AS238" s="2"/>
      <c r="AV238" s="2" t="s">
        <v>969</v>
      </c>
      <c r="AW238" s="2"/>
      <c r="BA238" s="2"/>
    </row>
    <row r="239" spans="2:53" x14ac:dyDescent="0.2">
      <c r="B239" s="2">
        <v>500</v>
      </c>
      <c r="C239" s="46" t="s">
        <v>24</v>
      </c>
      <c r="D239" s="2" t="s">
        <v>641</v>
      </c>
      <c r="E239" s="2" t="s">
        <v>601</v>
      </c>
      <c r="F239" s="42" t="s">
        <v>287</v>
      </c>
      <c r="G239" s="5" t="s">
        <v>951</v>
      </c>
      <c r="H239" s="3" t="s">
        <v>881</v>
      </c>
      <c r="K239" s="2">
        <v>1</v>
      </c>
      <c r="O239" s="2">
        <v>0</v>
      </c>
      <c r="P239" s="2">
        <v>10</v>
      </c>
      <c r="Q239" s="2" t="s">
        <v>190</v>
      </c>
      <c r="S239" s="46" t="s">
        <v>1017</v>
      </c>
      <c r="T239" s="46" t="s">
        <v>1017</v>
      </c>
      <c r="U239" s="46" t="s">
        <v>1017</v>
      </c>
      <c r="V239" s="46" t="s">
        <v>1017</v>
      </c>
      <c r="W239" s="2">
        <v>1</v>
      </c>
      <c r="X239" s="2" t="s">
        <v>18</v>
      </c>
      <c r="Y239" s="2">
        <v>1</v>
      </c>
      <c r="Z239" s="2" t="s">
        <v>301</v>
      </c>
      <c r="AA239" s="27">
        <v>1206.0999999999999</v>
      </c>
      <c r="AB239" s="2">
        <v>1</v>
      </c>
      <c r="AC239" s="2" t="s">
        <v>577</v>
      </c>
      <c r="AD239" s="27">
        <f>650+250+650+100</f>
        <v>1650</v>
      </c>
      <c r="AE239" s="2">
        <v>1</v>
      </c>
      <c r="AH239" s="2">
        <v>1</v>
      </c>
      <c r="AJ239" s="2"/>
      <c r="AS239" s="2"/>
      <c r="AV239" s="2" t="s">
        <v>584</v>
      </c>
      <c r="AW239" s="2"/>
      <c r="BA239" s="2"/>
    </row>
    <row r="240" spans="2:53" x14ac:dyDescent="0.2">
      <c r="B240" s="2">
        <v>500</v>
      </c>
      <c r="C240" s="46" t="s">
        <v>24</v>
      </c>
      <c r="D240" s="2" t="s">
        <v>641</v>
      </c>
      <c r="E240" s="2" t="s">
        <v>641</v>
      </c>
      <c r="F240" s="42" t="s">
        <v>632</v>
      </c>
      <c r="H240" s="3" t="s">
        <v>876</v>
      </c>
      <c r="N240" s="2">
        <v>1</v>
      </c>
      <c r="S240" s="46" t="s">
        <v>997</v>
      </c>
      <c r="T240" s="46">
        <v>1</v>
      </c>
      <c r="U240" s="46">
        <v>68</v>
      </c>
      <c r="V240" s="46" t="s">
        <v>998</v>
      </c>
      <c r="AA240" s="2"/>
      <c r="AG240" s="2"/>
      <c r="AJ240" s="2"/>
      <c r="AS240" s="2"/>
      <c r="AT240" s="2">
        <v>1</v>
      </c>
      <c r="AW240" s="2"/>
      <c r="AX240" s="1">
        <v>0.55000000000000004</v>
      </c>
      <c r="AY240" s="2" t="s">
        <v>847</v>
      </c>
      <c r="BA240" s="2"/>
    </row>
    <row r="241" spans="2:53" x14ac:dyDescent="0.2">
      <c r="B241" s="2">
        <v>500</v>
      </c>
      <c r="C241" s="46" t="s">
        <v>24</v>
      </c>
      <c r="D241" s="2" t="s">
        <v>641</v>
      </c>
      <c r="E241" s="2" t="s">
        <v>305</v>
      </c>
      <c r="F241" s="42" t="s">
        <v>63</v>
      </c>
      <c r="G241" s="2" t="s">
        <v>909</v>
      </c>
      <c r="H241" s="3" t="s">
        <v>881</v>
      </c>
      <c r="K241" s="2">
        <v>1</v>
      </c>
      <c r="O241" s="2">
        <v>0</v>
      </c>
      <c r="P241" s="2">
        <v>10</v>
      </c>
      <c r="Q241" s="2" t="s">
        <v>411</v>
      </c>
      <c r="S241" s="46" t="s">
        <v>1017</v>
      </c>
      <c r="T241" s="46" t="s">
        <v>1017</v>
      </c>
      <c r="U241" s="46" t="s">
        <v>1017</v>
      </c>
      <c r="V241" s="46" t="s">
        <v>1017</v>
      </c>
      <c r="W241" s="2">
        <v>1</v>
      </c>
      <c r="X241" s="2" t="s">
        <v>17</v>
      </c>
      <c r="Y241" s="2">
        <v>1</v>
      </c>
      <c r="AA241" s="2"/>
      <c r="AB241" s="2">
        <v>1</v>
      </c>
      <c r="AE241" s="2">
        <v>1</v>
      </c>
      <c r="AG241" s="2"/>
      <c r="AH241" s="2">
        <v>1</v>
      </c>
      <c r="AJ241" s="2"/>
      <c r="AS241" s="2"/>
      <c r="AV241" s="3" t="s">
        <v>970</v>
      </c>
      <c r="AW241" s="3"/>
      <c r="BA241" s="2"/>
    </row>
    <row r="242" spans="2:53" x14ac:dyDescent="0.2">
      <c r="B242" s="2">
        <v>500</v>
      </c>
      <c r="C242" s="46" t="s">
        <v>24</v>
      </c>
      <c r="D242" s="2" t="s">
        <v>641</v>
      </c>
      <c r="E242" s="2" t="s">
        <v>249</v>
      </c>
      <c r="F242" s="42" t="s">
        <v>264</v>
      </c>
      <c r="G242" s="5" t="s">
        <v>929</v>
      </c>
      <c r="H242" s="5" t="s">
        <v>880</v>
      </c>
      <c r="J242" s="2">
        <v>1</v>
      </c>
      <c r="S242" s="46" t="s">
        <v>1017</v>
      </c>
      <c r="T242" s="46" t="s">
        <v>1017</v>
      </c>
      <c r="U242" s="46" t="s">
        <v>1017</v>
      </c>
      <c r="V242" s="46" t="s">
        <v>1017</v>
      </c>
      <c r="AA242" s="2"/>
      <c r="AG242" s="2"/>
      <c r="AJ242" s="2"/>
      <c r="AS242" s="2"/>
      <c r="AV242" s="3"/>
      <c r="AW242" s="3"/>
      <c r="BA242" s="2"/>
    </row>
    <row r="243" spans="2:53" x14ac:dyDescent="0.2">
      <c r="B243" s="2">
        <v>500</v>
      </c>
      <c r="C243" s="46" t="s">
        <v>24</v>
      </c>
      <c r="D243" s="2" t="s">
        <v>641</v>
      </c>
      <c r="E243" s="2" t="s">
        <v>250</v>
      </c>
      <c r="F243" s="42" t="s">
        <v>264</v>
      </c>
      <c r="G243" s="5" t="s">
        <v>929</v>
      </c>
      <c r="H243" s="2" t="s">
        <v>880</v>
      </c>
      <c r="J243" s="2">
        <v>1</v>
      </c>
      <c r="S243" s="46" t="s">
        <v>1017</v>
      </c>
      <c r="T243" s="46" t="s">
        <v>1017</v>
      </c>
      <c r="U243" s="46" t="s">
        <v>1017</v>
      </c>
      <c r="V243" s="46" t="s">
        <v>1017</v>
      </c>
      <c r="AW243" s="2"/>
    </row>
    <row r="244" spans="2:53" x14ac:dyDescent="0.2">
      <c r="B244" s="2">
        <v>500</v>
      </c>
      <c r="C244" s="46" t="s">
        <v>24</v>
      </c>
      <c r="D244" s="2" t="s">
        <v>641</v>
      </c>
      <c r="E244" s="2" t="s">
        <v>251</v>
      </c>
      <c r="F244" s="42" t="s">
        <v>264</v>
      </c>
      <c r="G244" s="5" t="s">
        <v>929</v>
      </c>
      <c r="H244" s="2" t="s">
        <v>880</v>
      </c>
      <c r="J244" s="2">
        <v>1</v>
      </c>
      <c r="S244" s="46" t="s">
        <v>1017</v>
      </c>
      <c r="T244" s="46" t="s">
        <v>1017</v>
      </c>
      <c r="U244" s="46" t="s">
        <v>1017</v>
      </c>
      <c r="V244" s="46" t="s">
        <v>1017</v>
      </c>
      <c r="AA244" s="2"/>
      <c r="AG244" s="2"/>
      <c r="AJ244" s="2"/>
      <c r="AS244" s="2"/>
      <c r="AV244" s="3"/>
      <c r="AW244" s="3"/>
      <c r="BA244" s="2"/>
    </row>
    <row r="245" spans="2:53" x14ac:dyDescent="0.2">
      <c r="B245" s="2">
        <v>500</v>
      </c>
      <c r="C245" s="46" t="s">
        <v>24</v>
      </c>
      <c r="D245" s="2" t="s">
        <v>641</v>
      </c>
      <c r="E245" s="2" t="s">
        <v>130</v>
      </c>
      <c r="F245" s="42" t="s">
        <v>132</v>
      </c>
      <c r="G245" s="5" t="s">
        <v>131</v>
      </c>
      <c r="H245" s="5" t="s">
        <v>881</v>
      </c>
      <c r="J245" s="2">
        <v>1</v>
      </c>
      <c r="S245" s="46" t="s">
        <v>1017</v>
      </c>
      <c r="T245" s="46" t="s">
        <v>1017</v>
      </c>
      <c r="U245" s="46" t="s">
        <v>1017</v>
      </c>
      <c r="V245" s="46" t="s">
        <v>1017</v>
      </c>
      <c r="AA245" s="2"/>
      <c r="AG245" s="2"/>
      <c r="AJ245" s="2"/>
      <c r="AS245" s="2"/>
      <c r="AV245" s="3"/>
      <c r="AW245" s="3"/>
      <c r="BA245" s="2"/>
    </row>
    <row r="246" spans="2:53" x14ac:dyDescent="0.2">
      <c r="B246" s="2">
        <v>500</v>
      </c>
      <c r="C246" s="46" t="s">
        <v>24</v>
      </c>
      <c r="D246" s="2" t="s">
        <v>642</v>
      </c>
      <c r="E246" s="2" t="s">
        <v>827</v>
      </c>
      <c r="F246" s="42" t="s">
        <v>842</v>
      </c>
      <c r="H246" s="3" t="s">
        <v>879</v>
      </c>
      <c r="I246" s="2">
        <v>1</v>
      </c>
      <c r="S246" s="46" t="s">
        <v>1017</v>
      </c>
      <c r="T246" s="46" t="s">
        <v>1017</v>
      </c>
      <c r="U246" s="46" t="s">
        <v>1017</v>
      </c>
      <c r="V246" s="46" t="s">
        <v>1017</v>
      </c>
      <c r="AA246" s="2"/>
      <c r="AG246" s="2"/>
      <c r="AJ246" s="2"/>
      <c r="AK246" s="2">
        <v>1</v>
      </c>
      <c r="AS246" s="2"/>
      <c r="AV246" s="2" t="s">
        <v>969</v>
      </c>
      <c r="AW246" s="2"/>
      <c r="BA246" s="2"/>
    </row>
    <row r="247" spans="2:53" x14ac:dyDescent="0.2">
      <c r="B247" s="2">
        <v>500</v>
      </c>
      <c r="C247" s="46" t="s">
        <v>24</v>
      </c>
      <c r="D247" s="2" t="s">
        <v>642</v>
      </c>
      <c r="E247" s="2" t="s">
        <v>828</v>
      </c>
      <c r="F247" s="42" t="s">
        <v>842</v>
      </c>
      <c r="H247" s="3" t="s">
        <v>879</v>
      </c>
      <c r="I247" s="2">
        <v>1</v>
      </c>
      <c r="S247" s="46" t="s">
        <v>1017</v>
      </c>
      <c r="T247" s="46" t="s">
        <v>1017</v>
      </c>
      <c r="U247" s="46" t="s">
        <v>1017</v>
      </c>
      <c r="V247" s="46" t="s">
        <v>1017</v>
      </c>
      <c r="AA247" s="2"/>
      <c r="AG247" s="2"/>
      <c r="AJ247" s="2"/>
      <c r="AK247" s="2">
        <v>1</v>
      </c>
      <c r="AS247" s="2"/>
      <c r="AV247" s="2" t="s">
        <v>969</v>
      </c>
      <c r="AW247" s="2"/>
      <c r="BA247" s="2"/>
    </row>
    <row r="248" spans="2:53" x14ac:dyDescent="0.2">
      <c r="B248" s="2">
        <v>500</v>
      </c>
      <c r="C248" s="46" t="s">
        <v>24</v>
      </c>
      <c r="D248" s="2" t="s">
        <v>642</v>
      </c>
      <c r="E248" s="2" t="s">
        <v>829</v>
      </c>
      <c r="F248" s="42" t="s">
        <v>842</v>
      </c>
      <c r="H248" s="3" t="s">
        <v>879</v>
      </c>
      <c r="I248" s="2">
        <v>1</v>
      </c>
      <c r="S248" s="46" t="s">
        <v>1017</v>
      </c>
      <c r="T248" s="46" t="s">
        <v>1017</v>
      </c>
      <c r="U248" s="46" t="s">
        <v>1017</v>
      </c>
      <c r="V248" s="46" t="s">
        <v>1017</v>
      </c>
      <c r="AA248" s="2"/>
      <c r="AG248" s="2"/>
      <c r="AJ248" s="2"/>
      <c r="AK248" s="2">
        <v>1</v>
      </c>
      <c r="AS248" s="2"/>
      <c r="AV248" s="2" t="s">
        <v>969</v>
      </c>
      <c r="AW248" s="2"/>
      <c r="BA248" s="2"/>
    </row>
    <row r="249" spans="2:53" x14ac:dyDescent="0.2">
      <c r="B249" s="2">
        <v>500</v>
      </c>
      <c r="C249" s="46" t="s">
        <v>24</v>
      </c>
      <c r="D249" s="2" t="s">
        <v>642</v>
      </c>
      <c r="E249" s="2" t="s">
        <v>586</v>
      </c>
      <c r="F249" s="42" t="s">
        <v>287</v>
      </c>
      <c r="G249" s="5" t="s">
        <v>951</v>
      </c>
      <c r="H249" s="3" t="s">
        <v>881</v>
      </c>
      <c r="K249" s="2">
        <v>1</v>
      </c>
      <c r="O249" s="2">
        <v>0</v>
      </c>
      <c r="P249" s="2">
        <v>10</v>
      </c>
      <c r="Q249" s="2" t="s">
        <v>190</v>
      </c>
      <c r="S249" s="46" t="s">
        <v>1017</v>
      </c>
      <c r="T249" s="46" t="s">
        <v>1017</v>
      </c>
      <c r="U249" s="46" t="s">
        <v>1017</v>
      </c>
      <c r="V249" s="46" t="s">
        <v>1017</v>
      </c>
      <c r="W249" s="2">
        <v>1</v>
      </c>
      <c r="X249" s="2" t="s">
        <v>246</v>
      </c>
      <c r="Y249" s="2">
        <v>1</v>
      </c>
      <c r="Z249" s="2" t="s">
        <v>301</v>
      </c>
      <c r="AA249" s="27">
        <v>1206.0999999999999</v>
      </c>
      <c r="AB249" s="2">
        <v>1</v>
      </c>
      <c r="AC249" s="2" t="s">
        <v>577</v>
      </c>
      <c r="AD249" s="27">
        <f>650+250+650+100</f>
        <v>1650</v>
      </c>
      <c r="AE249" s="2">
        <v>1</v>
      </c>
      <c r="AH249" s="2">
        <v>1</v>
      </c>
      <c r="AJ249" s="2"/>
      <c r="AS249" s="2"/>
      <c r="AV249" s="2" t="s">
        <v>584</v>
      </c>
      <c r="AW249" s="2"/>
      <c r="BA249" s="2"/>
    </row>
    <row r="250" spans="2:53" x14ac:dyDescent="0.2">
      <c r="B250" s="2">
        <v>500</v>
      </c>
      <c r="C250" s="46" t="s">
        <v>24</v>
      </c>
      <c r="D250" s="2" t="s">
        <v>642</v>
      </c>
      <c r="E250" s="2" t="s">
        <v>642</v>
      </c>
      <c r="F250" s="42" t="s">
        <v>633</v>
      </c>
      <c r="H250" s="3" t="s">
        <v>876</v>
      </c>
      <c r="N250" s="2">
        <v>1</v>
      </c>
      <c r="S250" s="46" t="s">
        <v>997</v>
      </c>
      <c r="T250" s="46">
        <v>1</v>
      </c>
      <c r="U250" s="46">
        <v>69</v>
      </c>
      <c r="V250" s="46" t="s">
        <v>998</v>
      </c>
      <c r="AA250" s="2"/>
      <c r="AG250" s="2"/>
      <c r="AJ250" s="2"/>
      <c r="AS250" s="2"/>
      <c r="AT250" s="2">
        <v>1</v>
      </c>
      <c r="AW250" s="2"/>
      <c r="AX250" s="1">
        <v>0.55000000000000004</v>
      </c>
      <c r="AY250" s="2" t="s">
        <v>847</v>
      </c>
      <c r="BA250" s="2"/>
    </row>
    <row r="251" spans="2:53" x14ac:dyDescent="0.2">
      <c r="B251" s="2">
        <v>500</v>
      </c>
      <c r="C251" s="46" t="s">
        <v>24</v>
      </c>
      <c r="D251" s="2" t="s">
        <v>642</v>
      </c>
      <c r="E251" s="2" t="s">
        <v>59</v>
      </c>
      <c r="F251" s="42" t="s">
        <v>64</v>
      </c>
      <c r="G251" s="2" t="s">
        <v>909</v>
      </c>
      <c r="H251" s="3" t="s">
        <v>881</v>
      </c>
      <c r="K251" s="2">
        <v>1</v>
      </c>
      <c r="O251" s="2">
        <v>0</v>
      </c>
      <c r="P251" s="2">
        <v>10</v>
      </c>
      <c r="Q251" s="2" t="s">
        <v>411</v>
      </c>
      <c r="S251" s="46" t="s">
        <v>1017</v>
      </c>
      <c r="T251" s="46" t="s">
        <v>1017</v>
      </c>
      <c r="U251" s="46" t="s">
        <v>1017</v>
      </c>
      <c r="V251" s="46" t="s">
        <v>1017</v>
      </c>
      <c r="W251" s="2">
        <v>1</v>
      </c>
      <c r="X251" s="2" t="s">
        <v>17</v>
      </c>
      <c r="Y251" s="2">
        <v>1</v>
      </c>
      <c r="AA251" s="2"/>
      <c r="AB251" s="2">
        <v>1</v>
      </c>
      <c r="AE251" s="2">
        <v>1</v>
      </c>
      <c r="AG251" s="2"/>
      <c r="AH251" s="2">
        <v>1</v>
      </c>
      <c r="AJ251" s="2"/>
      <c r="AS251" s="2"/>
      <c r="AV251" s="3" t="s">
        <v>970</v>
      </c>
      <c r="AW251" s="3"/>
      <c r="BA251" s="2"/>
    </row>
    <row r="252" spans="2:53" x14ac:dyDescent="0.2">
      <c r="B252" s="2">
        <v>500</v>
      </c>
      <c r="C252" s="46" t="s">
        <v>24</v>
      </c>
      <c r="D252" s="2" t="s">
        <v>642</v>
      </c>
      <c r="E252" s="2" t="s">
        <v>252</v>
      </c>
      <c r="F252" s="42" t="s">
        <v>265</v>
      </c>
      <c r="G252" s="5" t="s">
        <v>929</v>
      </c>
      <c r="H252" s="5" t="s">
        <v>880</v>
      </c>
      <c r="J252" s="2">
        <v>1</v>
      </c>
      <c r="S252" s="46" t="s">
        <v>1017</v>
      </c>
      <c r="T252" s="46" t="s">
        <v>1017</v>
      </c>
      <c r="U252" s="46" t="s">
        <v>1017</v>
      </c>
      <c r="V252" s="46" t="s">
        <v>1017</v>
      </c>
      <c r="AA252" s="2"/>
      <c r="AG252" s="2"/>
      <c r="AJ252" s="2"/>
      <c r="AS252" s="2"/>
      <c r="AV252" s="3"/>
      <c r="AW252" s="3"/>
      <c r="BA252" s="2"/>
    </row>
    <row r="253" spans="2:53" x14ac:dyDescent="0.2">
      <c r="B253" s="2">
        <v>500</v>
      </c>
      <c r="C253" s="46" t="s">
        <v>24</v>
      </c>
      <c r="D253" s="2" t="s">
        <v>642</v>
      </c>
      <c r="E253" s="2" t="s">
        <v>253</v>
      </c>
      <c r="F253" s="42" t="s">
        <v>265</v>
      </c>
      <c r="G253" s="5" t="s">
        <v>929</v>
      </c>
      <c r="H253" s="2" t="s">
        <v>880</v>
      </c>
      <c r="J253" s="2">
        <v>1</v>
      </c>
      <c r="S253" s="46" t="s">
        <v>1017</v>
      </c>
      <c r="T253" s="46" t="s">
        <v>1017</v>
      </c>
      <c r="U253" s="46" t="s">
        <v>1017</v>
      </c>
      <c r="V253" s="46" t="s">
        <v>1017</v>
      </c>
      <c r="AW253" s="2"/>
    </row>
    <row r="254" spans="2:53" x14ac:dyDescent="0.2">
      <c r="B254" s="2">
        <v>500</v>
      </c>
      <c r="C254" s="46" t="s">
        <v>24</v>
      </c>
      <c r="D254" s="2" t="s">
        <v>642</v>
      </c>
      <c r="E254" s="2" t="s">
        <v>254</v>
      </c>
      <c r="F254" s="42" t="s">
        <v>265</v>
      </c>
      <c r="G254" s="5" t="s">
        <v>929</v>
      </c>
      <c r="H254" s="2" t="s">
        <v>880</v>
      </c>
      <c r="J254" s="2">
        <v>1</v>
      </c>
      <c r="S254" s="46" t="s">
        <v>1017</v>
      </c>
      <c r="T254" s="46" t="s">
        <v>1017</v>
      </c>
      <c r="U254" s="46" t="s">
        <v>1017</v>
      </c>
      <c r="V254" s="46" t="s">
        <v>1017</v>
      </c>
      <c r="AA254" s="2"/>
      <c r="AG254" s="2"/>
      <c r="AJ254" s="2"/>
      <c r="AS254" s="2"/>
      <c r="AV254" s="3"/>
      <c r="AW254" s="3"/>
      <c r="BA254" s="2"/>
    </row>
    <row r="255" spans="2:53" x14ac:dyDescent="0.2">
      <c r="B255" s="2">
        <v>500</v>
      </c>
      <c r="C255" s="46" t="s">
        <v>24</v>
      </c>
      <c r="D255" s="2" t="s">
        <v>643</v>
      </c>
      <c r="E255" s="2" t="s">
        <v>833</v>
      </c>
      <c r="F255" s="42" t="s">
        <v>842</v>
      </c>
      <c r="H255" s="3" t="s">
        <v>879</v>
      </c>
      <c r="I255" s="2">
        <v>1</v>
      </c>
      <c r="S255" s="46" t="s">
        <v>1017</v>
      </c>
      <c r="T255" s="46" t="s">
        <v>1017</v>
      </c>
      <c r="U255" s="46" t="s">
        <v>1017</v>
      </c>
      <c r="V255" s="46" t="s">
        <v>1017</v>
      </c>
      <c r="AA255" s="2"/>
      <c r="AG255" s="2"/>
      <c r="AJ255" s="2"/>
      <c r="AK255" s="2">
        <v>1</v>
      </c>
      <c r="AS255" s="2"/>
      <c r="AV255" s="2" t="s">
        <v>969</v>
      </c>
      <c r="AW255" s="2"/>
      <c r="BA255" s="2"/>
    </row>
    <row r="256" spans="2:53" x14ac:dyDescent="0.2">
      <c r="B256" s="2">
        <v>500</v>
      </c>
      <c r="C256" s="46" t="s">
        <v>24</v>
      </c>
      <c r="D256" s="2" t="s">
        <v>643</v>
      </c>
      <c r="E256" s="2" t="s">
        <v>834</v>
      </c>
      <c r="F256" s="42" t="s">
        <v>842</v>
      </c>
      <c r="H256" s="3" t="s">
        <v>879</v>
      </c>
      <c r="I256" s="2">
        <v>1</v>
      </c>
      <c r="S256" s="46" t="s">
        <v>1017</v>
      </c>
      <c r="T256" s="46" t="s">
        <v>1017</v>
      </c>
      <c r="U256" s="46" t="s">
        <v>1017</v>
      </c>
      <c r="V256" s="46" t="s">
        <v>1017</v>
      </c>
      <c r="AA256" s="2"/>
      <c r="AG256" s="2"/>
      <c r="AJ256" s="2"/>
      <c r="AK256" s="2">
        <v>1</v>
      </c>
      <c r="AS256" s="2"/>
      <c r="AV256" s="2" t="s">
        <v>969</v>
      </c>
      <c r="AW256" s="2"/>
      <c r="BA256" s="2"/>
    </row>
    <row r="257" spans="2:53" x14ac:dyDescent="0.2">
      <c r="B257" s="2">
        <v>500</v>
      </c>
      <c r="C257" s="46" t="s">
        <v>24</v>
      </c>
      <c r="D257" s="2" t="s">
        <v>643</v>
      </c>
      <c r="E257" s="2" t="s">
        <v>835</v>
      </c>
      <c r="F257" s="42" t="s">
        <v>842</v>
      </c>
      <c r="H257" s="3" t="s">
        <v>879</v>
      </c>
      <c r="I257" s="2">
        <v>1</v>
      </c>
      <c r="S257" s="46" t="s">
        <v>1017</v>
      </c>
      <c r="T257" s="46" t="s">
        <v>1017</v>
      </c>
      <c r="U257" s="46" t="s">
        <v>1017</v>
      </c>
      <c r="V257" s="46" t="s">
        <v>1017</v>
      </c>
      <c r="AA257" s="2"/>
      <c r="AG257" s="2"/>
      <c r="AJ257" s="2"/>
      <c r="AK257" s="2">
        <v>1</v>
      </c>
      <c r="AS257" s="2"/>
      <c r="AV257" s="2" t="s">
        <v>969</v>
      </c>
      <c r="AW257" s="2"/>
      <c r="BA257" s="2"/>
    </row>
    <row r="258" spans="2:53" x14ac:dyDescent="0.2">
      <c r="B258" s="2">
        <v>500</v>
      </c>
      <c r="C258" s="46" t="s">
        <v>24</v>
      </c>
      <c r="D258" s="2" t="s">
        <v>643</v>
      </c>
      <c r="E258" s="2" t="s">
        <v>587</v>
      </c>
      <c r="F258" s="42" t="s">
        <v>287</v>
      </c>
      <c r="G258" s="5" t="s">
        <v>951</v>
      </c>
      <c r="H258" s="3" t="s">
        <v>881</v>
      </c>
      <c r="K258" s="2">
        <v>1</v>
      </c>
      <c r="O258" s="2">
        <v>0</v>
      </c>
      <c r="P258" s="2">
        <v>10</v>
      </c>
      <c r="Q258" s="2" t="s">
        <v>190</v>
      </c>
      <c r="S258" s="46" t="s">
        <v>1017</v>
      </c>
      <c r="T258" s="46" t="s">
        <v>1017</v>
      </c>
      <c r="U258" s="46" t="s">
        <v>1017</v>
      </c>
      <c r="V258" s="46" t="s">
        <v>1017</v>
      </c>
      <c r="W258" s="2">
        <v>1</v>
      </c>
      <c r="X258" s="2" t="s">
        <v>246</v>
      </c>
      <c r="Y258" s="2">
        <v>1</v>
      </c>
      <c r="Z258" s="2" t="s">
        <v>301</v>
      </c>
      <c r="AA258" s="27">
        <v>1206.0999999999999</v>
      </c>
      <c r="AB258" s="2">
        <v>1</v>
      </c>
      <c r="AC258" s="2" t="s">
        <v>577</v>
      </c>
      <c r="AD258" s="27">
        <f>650+250+650+100</f>
        <v>1650</v>
      </c>
      <c r="AE258" s="2">
        <v>1</v>
      </c>
      <c r="AH258" s="2">
        <v>1</v>
      </c>
      <c r="AJ258" s="2"/>
      <c r="AS258" s="2"/>
      <c r="AV258" s="2" t="s">
        <v>584</v>
      </c>
      <c r="AW258" s="2"/>
      <c r="BA258" s="2"/>
    </row>
    <row r="259" spans="2:53" x14ac:dyDescent="0.2">
      <c r="B259" s="2">
        <v>500</v>
      </c>
      <c r="C259" s="46" t="s">
        <v>24</v>
      </c>
      <c r="D259" s="2" t="s">
        <v>643</v>
      </c>
      <c r="E259" s="2" t="s">
        <v>643</v>
      </c>
      <c r="F259" s="42" t="s">
        <v>634</v>
      </c>
      <c r="H259" s="3" t="s">
        <v>876</v>
      </c>
      <c r="N259" s="2">
        <v>1</v>
      </c>
      <c r="S259" s="46" t="s">
        <v>997</v>
      </c>
      <c r="T259" s="46">
        <v>1</v>
      </c>
      <c r="U259" s="46">
        <v>70</v>
      </c>
      <c r="V259" s="46" t="s">
        <v>998</v>
      </c>
      <c r="AA259" s="2"/>
      <c r="AG259" s="2"/>
      <c r="AJ259" s="2"/>
      <c r="AS259" s="2"/>
      <c r="AT259" s="2">
        <v>1</v>
      </c>
      <c r="AW259" s="2"/>
      <c r="AX259" s="1">
        <v>0.55000000000000004</v>
      </c>
      <c r="AY259" s="2" t="s">
        <v>847</v>
      </c>
      <c r="BA259" s="2"/>
    </row>
    <row r="260" spans="2:53" x14ac:dyDescent="0.2">
      <c r="B260" s="2">
        <v>500</v>
      </c>
      <c r="C260" s="46" t="s">
        <v>24</v>
      </c>
      <c r="D260" s="2" t="s">
        <v>643</v>
      </c>
      <c r="E260" s="2" t="s">
        <v>60</v>
      </c>
      <c r="F260" s="42" t="s">
        <v>65</v>
      </c>
      <c r="G260" s="2" t="s">
        <v>909</v>
      </c>
      <c r="H260" s="3" t="s">
        <v>881</v>
      </c>
      <c r="K260" s="2">
        <v>1</v>
      </c>
      <c r="O260" s="2">
        <v>0</v>
      </c>
      <c r="P260" s="2">
        <v>10</v>
      </c>
      <c r="Q260" s="2" t="s">
        <v>411</v>
      </c>
      <c r="S260" s="46" t="s">
        <v>1017</v>
      </c>
      <c r="T260" s="46" t="s">
        <v>1017</v>
      </c>
      <c r="U260" s="46" t="s">
        <v>1017</v>
      </c>
      <c r="V260" s="46" t="s">
        <v>1017</v>
      </c>
      <c r="W260" s="2">
        <v>1</v>
      </c>
      <c r="X260" s="2" t="s">
        <v>17</v>
      </c>
      <c r="Y260" s="2">
        <v>1</v>
      </c>
      <c r="AA260" s="2"/>
      <c r="AB260" s="2">
        <v>1</v>
      </c>
      <c r="AE260" s="2">
        <v>1</v>
      </c>
      <c r="AG260" s="2"/>
      <c r="AH260" s="2">
        <v>1</v>
      </c>
      <c r="AJ260" s="2"/>
      <c r="AS260" s="2"/>
      <c r="AV260" s="3" t="s">
        <v>970</v>
      </c>
      <c r="AW260" s="3"/>
      <c r="BA260" s="2"/>
    </row>
    <row r="261" spans="2:53" x14ac:dyDescent="0.2">
      <c r="B261" s="2">
        <v>500</v>
      </c>
      <c r="C261" s="46" t="s">
        <v>24</v>
      </c>
      <c r="D261" s="2" t="s">
        <v>643</v>
      </c>
      <c r="E261" s="2" t="s">
        <v>255</v>
      </c>
      <c r="F261" s="42" t="s">
        <v>266</v>
      </c>
      <c r="G261" s="5" t="s">
        <v>929</v>
      </c>
      <c r="H261" s="5" t="s">
        <v>880</v>
      </c>
      <c r="J261" s="2">
        <v>1</v>
      </c>
      <c r="S261" s="46" t="s">
        <v>1017</v>
      </c>
      <c r="T261" s="46" t="s">
        <v>1017</v>
      </c>
      <c r="U261" s="46" t="s">
        <v>1017</v>
      </c>
      <c r="V261" s="46" t="s">
        <v>1017</v>
      </c>
      <c r="AA261" s="2"/>
      <c r="AG261" s="2"/>
      <c r="AJ261" s="2"/>
      <c r="AS261" s="2"/>
      <c r="AV261" s="3"/>
      <c r="AW261" s="3"/>
      <c r="BA261" s="2"/>
    </row>
    <row r="262" spans="2:53" x14ac:dyDescent="0.2">
      <c r="B262" s="2">
        <v>500</v>
      </c>
      <c r="C262" s="46" t="s">
        <v>24</v>
      </c>
      <c r="D262" s="2" t="s">
        <v>643</v>
      </c>
      <c r="E262" s="2" t="s">
        <v>256</v>
      </c>
      <c r="F262" s="42" t="s">
        <v>266</v>
      </c>
      <c r="G262" s="5" t="s">
        <v>929</v>
      </c>
      <c r="H262" s="2" t="s">
        <v>880</v>
      </c>
      <c r="J262" s="2">
        <v>1</v>
      </c>
      <c r="S262" s="46" t="s">
        <v>1017</v>
      </c>
      <c r="T262" s="46" t="s">
        <v>1017</v>
      </c>
      <c r="U262" s="46" t="s">
        <v>1017</v>
      </c>
      <c r="V262" s="46" t="s">
        <v>1017</v>
      </c>
      <c r="AW262" s="2"/>
    </row>
    <row r="263" spans="2:53" x14ac:dyDescent="0.2">
      <c r="B263" s="2">
        <v>500</v>
      </c>
      <c r="C263" s="46" t="s">
        <v>24</v>
      </c>
      <c r="D263" s="2" t="s">
        <v>643</v>
      </c>
      <c r="E263" s="2" t="s">
        <v>257</v>
      </c>
      <c r="F263" s="42" t="s">
        <v>266</v>
      </c>
      <c r="G263" s="5" t="s">
        <v>929</v>
      </c>
      <c r="H263" s="2" t="s">
        <v>880</v>
      </c>
      <c r="J263" s="2">
        <v>1</v>
      </c>
      <c r="S263" s="46" t="s">
        <v>1017</v>
      </c>
      <c r="T263" s="46" t="s">
        <v>1017</v>
      </c>
      <c r="U263" s="46" t="s">
        <v>1017</v>
      </c>
      <c r="V263" s="46" t="s">
        <v>1017</v>
      </c>
      <c r="AA263" s="2"/>
      <c r="AG263" s="2"/>
      <c r="AJ263" s="2"/>
      <c r="AS263" s="2"/>
      <c r="AV263" s="3"/>
      <c r="AW263" s="3"/>
      <c r="BA263" s="2"/>
    </row>
    <row r="264" spans="2:53" x14ac:dyDescent="0.2">
      <c r="B264" s="2">
        <v>500</v>
      </c>
      <c r="C264" s="46" t="s">
        <v>24</v>
      </c>
      <c r="D264" s="2" t="s">
        <v>644</v>
      </c>
      <c r="E264" s="2" t="s">
        <v>836</v>
      </c>
      <c r="F264" s="42" t="s">
        <v>842</v>
      </c>
      <c r="H264" s="3" t="s">
        <v>879</v>
      </c>
      <c r="I264" s="2">
        <v>1</v>
      </c>
      <c r="S264" s="46" t="s">
        <v>1017</v>
      </c>
      <c r="T264" s="46" t="s">
        <v>1017</v>
      </c>
      <c r="U264" s="46" t="s">
        <v>1017</v>
      </c>
      <c r="V264" s="46" t="s">
        <v>1017</v>
      </c>
      <c r="AA264" s="2"/>
      <c r="AG264" s="2"/>
      <c r="AJ264" s="2"/>
      <c r="AK264" s="2">
        <v>1</v>
      </c>
      <c r="AS264" s="2"/>
      <c r="AV264" s="2" t="s">
        <v>969</v>
      </c>
      <c r="AW264" s="2"/>
      <c r="BA264" s="2"/>
    </row>
    <row r="265" spans="2:53" x14ac:dyDescent="0.2">
      <c r="B265" s="2">
        <v>500</v>
      </c>
      <c r="C265" s="46" t="s">
        <v>24</v>
      </c>
      <c r="D265" s="2" t="s">
        <v>644</v>
      </c>
      <c r="E265" s="2" t="s">
        <v>837</v>
      </c>
      <c r="F265" s="42" t="s">
        <v>842</v>
      </c>
      <c r="H265" s="3" t="s">
        <v>879</v>
      </c>
      <c r="I265" s="2">
        <v>1</v>
      </c>
      <c r="S265" s="46" t="s">
        <v>1017</v>
      </c>
      <c r="T265" s="46" t="s">
        <v>1017</v>
      </c>
      <c r="U265" s="46" t="s">
        <v>1017</v>
      </c>
      <c r="V265" s="46" t="s">
        <v>1017</v>
      </c>
      <c r="AA265" s="2"/>
      <c r="AG265" s="2"/>
      <c r="AJ265" s="2"/>
      <c r="AK265" s="2">
        <v>1</v>
      </c>
      <c r="AS265" s="2"/>
      <c r="AV265" s="2" t="s">
        <v>969</v>
      </c>
      <c r="AW265" s="2"/>
      <c r="BA265" s="2"/>
    </row>
    <row r="266" spans="2:53" x14ac:dyDescent="0.2">
      <c r="B266" s="2">
        <v>500</v>
      </c>
      <c r="C266" s="46" t="s">
        <v>24</v>
      </c>
      <c r="D266" s="2" t="s">
        <v>644</v>
      </c>
      <c r="E266" s="2" t="s">
        <v>838</v>
      </c>
      <c r="F266" s="42" t="s">
        <v>842</v>
      </c>
      <c r="H266" s="3" t="s">
        <v>879</v>
      </c>
      <c r="I266" s="2">
        <v>1</v>
      </c>
      <c r="S266" s="46" t="s">
        <v>1017</v>
      </c>
      <c r="T266" s="46" t="s">
        <v>1017</v>
      </c>
      <c r="U266" s="46" t="s">
        <v>1017</v>
      </c>
      <c r="V266" s="46" t="s">
        <v>1017</v>
      </c>
      <c r="AA266" s="2"/>
      <c r="AG266" s="2"/>
      <c r="AJ266" s="2"/>
      <c r="AK266" s="2">
        <v>1</v>
      </c>
      <c r="AS266" s="2"/>
      <c r="AV266" s="2" t="s">
        <v>969</v>
      </c>
      <c r="AW266" s="2"/>
      <c r="BA266" s="2"/>
    </row>
    <row r="267" spans="2:53" x14ac:dyDescent="0.2">
      <c r="B267" s="2">
        <v>500</v>
      </c>
      <c r="C267" s="46" t="s">
        <v>24</v>
      </c>
      <c r="D267" s="2" t="s">
        <v>644</v>
      </c>
      <c r="E267" s="2" t="s">
        <v>588</v>
      </c>
      <c r="F267" s="42" t="s">
        <v>287</v>
      </c>
      <c r="G267" s="5" t="s">
        <v>951</v>
      </c>
      <c r="H267" s="3" t="s">
        <v>881</v>
      </c>
      <c r="K267" s="2">
        <v>1</v>
      </c>
      <c r="O267" s="2">
        <v>0</v>
      </c>
      <c r="P267" s="2">
        <v>10</v>
      </c>
      <c r="Q267" s="2" t="s">
        <v>190</v>
      </c>
      <c r="S267" s="46" t="s">
        <v>1017</v>
      </c>
      <c r="T267" s="46" t="s">
        <v>1017</v>
      </c>
      <c r="U267" s="46" t="s">
        <v>1017</v>
      </c>
      <c r="V267" s="46" t="s">
        <v>1017</v>
      </c>
      <c r="W267" s="2">
        <v>1</v>
      </c>
      <c r="X267" s="2" t="s">
        <v>246</v>
      </c>
      <c r="Y267" s="2">
        <v>1</v>
      </c>
      <c r="Z267" s="2" t="s">
        <v>301</v>
      </c>
      <c r="AA267" s="27">
        <v>1206.0999999999999</v>
      </c>
      <c r="AB267" s="2">
        <v>1</v>
      </c>
      <c r="AC267" s="2" t="s">
        <v>577</v>
      </c>
      <c r="AD267" s="27">
        <f>650+250+650+100</f>
        <v>1650</v>
      </c>
      <c r="AE267" s="2">
        <v>1</v>
      </c>
      <c r="AH267" s="2">
        <v>1</v>
      </c>
      <c r="AJ267" s="2"/>
      <c r="AS267" s="2"/>
      <c r="AV267" s="2" t="s">
        <v>584</v>
      </c>
      <c r="AW267" s="2"/>
      <c r="BA267" s="2"/>
    </row>
    <row r="268" spans="2:53" x14ac:dyDescent="0.2">
      <c r="B268" s="2">
        <v>500</v>
      </c>
      <c r="C268" s="46" t="s">
        <v>24</v>
      </c>
      <c r="D268" s="2" t="s">
        <v>644</v>
      </c>
      <c r="E268" s="2" t="s">
        <v>644</v>
      </c>
      <c r="F268" s="42" t="s">
        <v>635</v>
      </c>
      <c r="H268" s="3" t="s">
        <v>876</v>
      </c>
      <c r="N268" s="2">
        <v>1</v>
      </c>
      <c r="S268" s="46" t="s">
        <v>997</v>
      </c>
      <c r="T268" s="46">
        <v>1</v>
      </c>
      <c r="U268" s="46">
        <v>71</v>
      </c>
      <c r="V268" s="46" t="s">
        <v>998</v>
      </c>
      <c r="AA268" s="2"/>
      <c r="AG268" s="2"/>
      <c r="AJ268" s="2"/>
      <c r="AS268" s="2"/>
      <c r="AT268" s="2">
        <v>1</v>
      </c>
      <c r="AW268" s="2"/>
      <c r="AX268" s="1">
        <v>0.55000000000000004</v>
      </c>
      <c r="AY268" s="2" t="s">
        <v>847</v>
      </c>
      <c r="BA268" s="2"/>
    </row>
    <row r="269" spans="2:53" x14ac:dyDescent="0.2">
      <c r="B269" s="2">
        <v>500</v>
      </c>
      <c r="C269" s="46" t="s">
        <v>24</v>
      </c>
      <c r="D269" s="2" t="s">
        <v>644</v>
      </c>
      <c r="E269" s="2" t="s">
        <v>61</v>
      </c>
      <c r="F269" s="42" t="s">
        <v>66</v>
      </c>
      <c r="G269" s="2" t="s">
        <v>909</v>
      </c>
      <c r="H269" s="3" t="s">
        <v>881</v>
      </c>
      <c r="K269" s="2">
        <v>1</v>
      </c>
      <c r="O269" s="2">
        <v>0</v>
      </c>
      <c r="P269" s="2">
        <v>10</v>
      </c>
      <c r="Q269" s="2" t="s">
        <v>411</v>
      </c>
      <c r="S269" s="46" t="s">
        <v>1017</v>
      </c>
      <c r="T269" s="46" t="s">
        <v>1017</v>
      </c>
      <c r="U269" s="46" t="s">
        <v>1017</v>
      </c>
      <c r="V269" s="46" t="s">
        <v>1017</v>
      </c>
      <c r="W269" s="2">
        <v>1</v>
      </c>
      <c r="X269" s="2" t="s">
        <v>17</v>
      </c>
      <c r="Y269" s="2">
        <v>1</v>
      </c>
      <c r="AA269" s="2"/>
      <c r="AB269" s="2">
        <v>1</v>
      </c>
      <c r="AE269" s="2">
        <v>1</v>
      </c>
      <c r="AG269" s="2"/>
      <c r="AH269" s="2">
        <v>1</v>
      </c>
      <c r="AJ269" s="2"/>
      <c r="AS269" s="2"/>
      <c r="AV269" s="3" t="s">
        <v>970</v>
      </c>
      <c r="AW269" s="3"/>
      <c r="BA269" s="2"/>
    </row>
    <row r="270" spans="2:53" x14ac:dyDescent="0.2">
      <c r="B270" s="2">
        <v>500</v>
      </c>
      <c r="C270" s="46" t="s">
        <v>24</v>
      </c>
      <c r="D270" s="2" t="s">
        <v>644</v>
      </c>
      <c r="E270" s="2" t="s">
        <v>258</v>
      </c>
      <c r="F270" s="42" t="s">
        <v>267</v>
      </c>
      <c r="G270" s="5" t="s">
        <v>929</v>
      </c>
      <c r="H270" s="5" t="s">
        <v>880</v>
      </c>
      <c r="J270" s="2">
        <v>1</v>
      </c>
      <c r="S270" s="46" t="s">
        <v>1017</v>
      </c>
      <c r="T270" s="46" t="s">
        <v>1017</v>
      </c>
      <c r="U270" s="46" t="s">
        <v>1017</v>
      </c>
      <c r="V270" s="46" t="s">
        <v>1017</v>
      </c>
      <c r="AA270" s="2"/>
      <c r="AG270" s="2"/>
      <c r="AJ270" s="2"/>
      <c r="AS270" s="2"/>
      <c r="AV270" s="3"/>
      <c r="AW270" s="3"/>
      <c r="BA270" s="2"/>
    </row>
    <row r="271" spans="2:53" x14ac:dyDescent="0.2">
      <c r="B271" s="2">
        <v>500</v>
      </c>
      <c r="C271" s="46" t="s">
        <v>24</v>
      </c>
      <c r="D271" s="2" t="s">
        <v>644</v>
      </c>
      <c r="E271" s="2" t="s">
        <v>259</v>
      </c>
      <c r="F271" s="42" t="s">
        <v>267</v>
      </c>
      <c r="G271" s="5" t="s">
        <v>929</v>
      </c>
      <c r="H271" s="2" t="s">
        <v>880</v>
      </c>
      <c r="J271" s="2">
        <v>1</v>
      </c>
      <c r="S271" s="46" t="s">
        <v>1017</v>
      </c>
      <c r="T271" s="46" t="s">
        <v>1017</v>
      </c>
      <c r="U271" s="46" t="s">
        <v>1017</v>
      </c>
      <c r="V271" s="46" t="s">
        <v>1017</v>
      </c>
      <c r="AW271" s="2"/>
    </row>
    <row r="272" spans="2:53" x14ac:dyDescent="0.2">
      <c r="B272" s="2">
        <v>500</v>
      </c>
      <c r="C272" s="46" t="s">
        <v>24</v>
      </c>
      <c r="D272" s="2" t="s">
        <v>644</v>
      </c>
      <c r="E272" s="2" t="s">
        <v>260</v>
      </c>
      <c r="F272" s="42" t="s">
        <v>267</v>
      </c>
      <c r="G272" s="5" t="s">
        <v>929</v>
      </c>
      <c r="H272" s="2" t="s">
        <v>880</v>
      </c>
      <c r="J272" s="2">
        <v>1</v>
      </c>
      <c r="S272" s="46" t="s">
        <v>1017</v>
      </c>
      <c r="T272" s="46" t="s">
        <v>1017</v>
      </c>
      <c r="U272" s="46" t="s">
        <v>1017</v>
      </c>
      <c r="V272" s="46" t="s">
        <v>1017</v>
      </c>
      <c r="AA272" s="2"/>
      <c r="AG272" s="2"/>
      <c r="AJ272" s="2"/>
      <c r="AS272" s="2"/>
      <c r="AV272" s="3"/>
      <c r="AW272" s="3"/>
      <c r="BA272" s="2"/>
    </row>
    <row r="273" spans="1:54" x14ac:dyDescent="0.2">
      <c r="B273" s="2">
        <v>500</v>
      </c>
      <c r="C273" s="46" t="s">
        <v>24</v>
      </c>
      <c r="D273" s="2" t="s">
        <v>846</v>
      </c>
      <c r="E273" s="2" t="s">
        <v>840</v>
      </c>
      <c r="F273" s="42" t="s">
        <v>842</v>
      </c>
      <c r="H273" s="3" t="s">
        <v>879</v>
      </c>
      <c r="I273" s="2">
        <v>1</v>
      </c>
      <c r="S273" s="46" t="s">
        <v>1017</v>
      </c>
      <c r="T273" s="46" t="s">
        <v>1017</v>
      </c>
      <c r="U273" s="46" t="s">
        <v>1017</v>
      </c>
      <c r="V273" s="46" t="s">
        <v>1017</v>
      </c>
      <c r="AA273" s="2"/>
      <c r="AG273" s="2"/>
      <c r="AJ273" s="2"/>
      <c r="AK273" s="2">
        <v>1</v>
      </c>
      <c r="AS273" s="2"/>
      <c r="AV273" s="2" t="s">
        <v>969</v>
      </c>
      <c r="AW273" s="2"/>
      <c r="BA273" s="2"/>
    </row>
    <row r="274" spans="1:54" x14ac:dyDescent="0.2">
      <c r="B274" s="2">
        <v>500</v>
      </c>
      <c r="C274" s="46" t="s">
        <v>24</v>
      </c>
      <c r="D274" s="2" t="s">
        <v>846</v>
      </c>
      <c r="E274" s="2" t="s">
        <v>841</v>
      </c>
      <c r="F274" s="42" t="s">
        <v>842</v>
      </c>
      <c r="H274" s="3" t="s">
        <v>879</v>
      </c>
      <c r="I274" s="2">
        <v>1</v>
      </c>
      <c r="S274" s="46" t="s">
        <v>1017</v>
      </c>
      <c r="T274" s="46" t="s">
        <v>1017</v>
      </c>
      <c r="U274" s="46" t="s">
        <v>1017</v>
      </c>
      <c r="V274" s="46" t="s">
        <v>1017</v>
      </c>
      <c r="AA274" s="2"/>
      <c r="AG274" s="2"/>
      <c r="AJ274" s="2"/>
      <c r="AK274" s="2">
        <v>1</v>
      </c>
      <c r="AS274" s="2"/>
      <c r="AV274" s="2" t="s">
        <v>969</v>
      </c>
      <c r="AW274" s="2"/>
      <c r="BA274" s="2"/>
    </row>
    <row r="275" spans="1:54" x14ac:dyDescent="0.2">
      <c r="B275" s="2">
        <v>500</v>
      </c>
      <c r="C275" s="46" t="s">
        <v>24</v>
      </c>
      <c r="D275" s="2" t="s">
        <v>846</v>
      </c>
      <c r="E275" s="2" t="s">
        <v>839</v>
      </c>
      <c r="F275" s="42" t="s">
        <v>842</v>
      </c>
      <c r="H275" s="3" t="s">
        <v>879</v>
      </c>
      <c r="I275" s="2">
        <v>1</v>
      </c>
      <c r="S275" s="46" t="s">
        <v>1017</v>
      </c>
      <c r="T275" s="46" t="s">
        <v>1017</v>
      </c>
      <c r="U275" s="46" t="s">
        <v>1017</v>
      </c>
      <c r="V275" s="46" t="s">
        <v>1017</v>
      </c>
      <c r="AA275" s="2"/>
      <c r="AG275" s="2"/>
      <c r="AJ275" s="2"/>
      <c r="AK275" s="2">
        <v>1</v>
      </c>
      <c r="AS275" s="2"/>
      <c r="AV275" s="2" t="s">
        <v>969</v>
      </c>
      <c r="AW275" s="2"/>
      <c r="BA275" s="2"/>
    </row>
    <row r="276" spans="1:54" x14ac:dyDescent="0.2">
      <c r="B276" s="2">
        <v>500</v>
      </c>
      <c r="C276" s="46" t="s">
        <v>24</v>
      </c>
      <c r="D276" s="2" t="s">
        <v>846</v>
      </c>
      <c r="E276" s="2" t="s">
        <v>589</v>
      </c>
      <c r="F276" s="42" t="s">
        <v>287</v>
      </c>
      <c r="G276" s="5" t="s">
        <v>951</v>
      </c>
      <c r="H276" s="3" t="s">
        <v>881</v>
      </c>
      <c r="K276" s="2">
        <v>1</v>
      </c>
      <c r="O276" s="2">
        <v>0</v>
      </c>
      <c r="P276" s="2">
        <v>10</v>
      </c>
      <c r="Q276" s="2" t="s">
        <v>190</v>
      </c>
      <c r="S276" s="46" t="s">
        <v>1017</v>
      </c>
      <c r="T276" s="46" t="s">
        <v>1017</v>
      </c>
      <c r="U276" s="46" t="s">
        <v>1017</v>
      </c>
      <c r="V276" s="46" t="s">
        <v>1017</v>
      </c>
      <c r="W276" s="2">
        <v>1</v>
      </c>
      <c r="X276" s="2" t="s">
        <v>246</v>
      </c>
      <c r="Y276" s="2">
        <v>1</v>
      </c>
      <c r="Z276" s="2" t="s">
        <v>301</v>
      </c>
      <c r="AA276" s="27">
        <v>1206.0999999999999</v>
      </c>
      <c r="AB276" s="2">
        <v>1</v>
      </c>
      <c r="AC276" s="2" t="s">
        <v>577</v>
      </c>
      <c r="AD276" s="27">
        <f>650+250+650+100</f>
        <v>1650</v>
      </c>
      <c r="AE276" s="2">
        <v>1</v>
      </c>
      <c r="AH276" s="2">
        <v>1</v>
      </c>
      <c r="AJ276" s="2"/>
      <c r="AS276" s="2"/>
      <c r="AV276" s="2" t="s">
        <v>584</v>
      </c>
      <c r="AW276" s="2"/>
      <c r="BA276" s="2"/>
    </row>
    <row r="277" spans="1:54" x14ac:dyDescent="0.2">
      <c r="B277" s="2">
        <v>500</v>
      </c>
      <c r="C277" s="46" t="s">
        <v>24</v>
      </c>
      <c r="D277" s="2" t="s">
        <v>846</v>
      </c>
      <c r="E277" s="2" t="s">
        <v>846</v>
      </c>
      <c r="F277" s="42" t="s">
        <v>636</v>
      </c>
      <c r="H277" s="3" t="s">
        <v>876</v>
      </c>
      <c r="N277" s="2">
        <v>1</v>
      </c>
      <c r="S277" s="46" t="s">
        <v>997</v>
      </c>
      <c r="T277" s="46">
        <v>1</v>
      </c>
      <c r="U277" s="46">
        <v>72</v>
      </c>
      <c r="V277" s="46" t="s">
        <v>998</v>
      </c>
      <c r="AA277" s="2"/>
      <c r="AG277" s="2"/>
      <c r="AJ277" s="2"/>
      <c r="AS277" s="2"/>
      <c r="AT277" s="2">
        <v>1</v>
      </c>
      <c r="AW277" s="2"/>
      <c r="AX277" s="1">
        <v>0.55000000000000004</v>
      </c>
      <c r="AY277" s="2" t="s">
        <v>847</v>
      </c>
      <c r="BA277" s="2"/>
    </row>
    <row r="278" spans="1:54" x14ac:dyDescent="0.2">
      <c r="B278" s="2">
        <v>500</v>
      </c>
      <c r="C278" s="46" t="s">
        <v>24</v>
      </c>
      <c r="D278" s="2" t="s">
        <v>846</v>
      </c>
      <c r="E278" s="2" t="s">
        <v>62</v>
      </c>
      <c r="F278" s="42" t="s">
        <v>67</v>
      </c>
      <c r="G278" s="2" t="s">
        <v>909</v>
      </c>
      <c r="H278" s="3" t="s">
        <v>881</v>
      </c>
      <c r="K278" s="2">
        <v>1</v>
      </c>
      <c r="O278" s="2">
        <v>0</v>
      </c>
      <c r="P278" s="2">
        <v>10</v>
      </c>
      <c r="Q278" s="2" t="s">
        <v>411</v>
      </c>
      <c r="S278" s="46" t="s">
        <v>1017</v>
      </c>
      <c r="T278" s="46" t="s">
        <v>1017</v>
      </c>
      <c r="U278" s="46" t="s">
        <v>1017</v>
      </c>
      <c r="V278" s="46" t="s">
        <v>1017</v>
      </c>
      <c r="W278" s="2">
        <v>1</v>
      </c>
      <c r="X278" s="2" t="s">
        <v>17</v>
      </c>
      <c r="Y278" s="2">
        <v>1</v>
      </c>
      <c r="AA278" s="2"/>
      <c r="AB278" s="2">
        <v>1</v>
      </c>
      <c r="AE278" s="2">
        <v>1</v>
      </c>
      <c r="AG278" s="2"/>
      <c r="AH278" s="2">
        <v>1</v>
      </c>
      <c r="AJ278" s="2"/>
      <c r="AS278" s="2"/>
      <c r="AV278" s="3" t="s">
        <v>970</v>
      </c>
      <c r="AW278" s="3"/>
      <c r="BA278" s="2"/>
    </row>
    <row r="279" spans="1:54" x14ac:dyDescent="0.2">
      <c r="B279" s="2">
        <v>500</v>
      </c>
      <c r="C279" s="46" t="s">
        <v>24</v>
      </c>
      <c r="D279" s="2" t="s">
        <v>846</v>
      </c>
      <c r="E279" s="2" t="s">
        <v>261</v>
      </c>
      <c r="F279" s="42" t="s">
        <v>268</v>
      </c>
      <c r="G279" s="5" t="s">
        <v>929</v>
      </c>
      <c r="H279" s="5" t="s">
        <v>880</v>
      </c>
      <c r="J279" s="2">
        <v>1</v>
      </c>
      <c r="S279" s="46" t="s">
        <v>1017</v>
      </c>
      <c r="T279" s="46" t="s">
        <v>1017</v>
      </c>
      <c r="U279" s="46" t="s">
        <v>1017</v>
      </c>
      <c r="V279" s="46" t="s">
        <v>1017</v>
      </c>
      <c r="AA279" s="2"/>
      <c r="AG279" s="2"/>
      <c r="AJ279" s="2"/>
      <c r="AS279" s="2"/>
      <c r="AV279" s="3"/>
      <c r="AW279" s="3"/>
      <c r="BA279" s="2"/>
    </row>
    <row r="280" spans="1:54" x14ac:dyDescent="0.2">
      <c r="B280" s="2">
        <v>500</v>
      </c>
      <c r="C280" s="46" t="s">
        <v>24</v>
      </c>
      <c r="D280" s="2" t="s">
        <v>846</v>
      </c>
      <c r="E280" s="2" t="s">
        <v>262</v>
      </c>
      <c r="F280" s="42" t="s">
        <v>268</v>
      </c>
      <c r="G280" s="5" t="s">
        <v>929</v>
      </c>
      <c r="H280" s="2" t="s">
        <v>880</v>
      </c>
      <c r="J280" s="2">
        <v>1</v>
      </c>
      <c r="S280" s="46" t="s">
        <v>1017</v>
      </c>
      <c r="T280" s="46" t="s">
        <v>1017</v>
      </c>
      <c r="U280" s="46" t="s">
        <v>1017</v>
      </c>
      <c r="V280" s="46" t="s">
        <v>1017</v>
      </c>
      <c r="AW280" s="2"/>
    </row>
    <row r="281" spans="1:54" x14ac:dyDescent="0.2">
      <c r="B281" s="2">
        <v>500</v>
      </c>
      <c r="C281" s="46" t="s">
        <v>24</v>
      </c>
      <c r="D281" s="2" t="s">
        <v>846</v>
      </c>
      <c r="E281" s="2" t="s">
        <v>263</v>
      </c>
      <c r="F281" s="42" t="s">
        <v>268</v>
      </c>
      <c r="G281" s="5" t="s">
        <v>929</v>
      </c>
      <c r="H281" s="2" t="s">
        <v>880</v>
      </c>
      <c r="J281" s="2">
        <v>1</v>
      </c>
      <c r="S281" s="46" t="s">
        <v>1017</v>
      </c>
      <c r="T281" s="46" t="s">
        <v>1017</v>
      </c>
      <c r="U281" s="46" t="s">
        <v>1017</v>
      </c>
      <c r="V281" s="46" t="s">
        <v>1017</v>
      </c>
      <c r="AA281" s="2"/>
      <c r="AG281" s="2"/>
      <c r="AJ281" s="2"/>
      <c r="AS281" s="2"/>
      <c r="AV281" s="3"/>
      <c r="AW281" s="3"/>
      <c r="BA281" s="2"/>
    </row>
    <row r="282" spans="1:54" x14ac:dyDescent="0.2">
      <c r="B282" s="2">
        <v>100</v>
      </c>
      <c r="C282" s="46" t="s">
        <v>24</v>
      </c>
      <c r="D282" s="2" t="s">
        <v>321</v>
      </c>
      <c r="E282" s="2" t="s">
        <v>321</v>
      </c>
      <c r="F282" s="42" t="s">
        <v>507</v>
      </c>
      <c r="G282" s="3"/>
      <c r="H282" s="3" t="s">
        <v>876</v>
      </c>
      <c r="N282" s="2">
        <v>1</v>
      </c>
      <c r="S282" s="46" t="s">
        <v>997</v>
      </c>
      <c r="T282" s="46">
        <v>1</v>
      </c>
      <c r="U282" s="46">
        <v>17</v>
      </c>
      <c r="V282" s="46" t="s">
        <v>991</v>
      </c>
      <c r="AA282" s="2"/>
      <c r="AG282" s="2"/>
      <c r="AJ282" s="2"/>
      <c r="AS282" s="2"/>
      <c r="AT282" s="2">
        <v>1</v>
      </c>
      <c r="AW282" s="2"/>
      <c r="AX282" s="1">
        <v>132</v>
      </c>
      <c r="AY282" s="2" t="s">
        <v>68</v>
      </c>
      <c r="BA282" s="2"/>
    </row>
    <row r="283" spans="1:54" x14ac:dyDescent="0.2">
      <c r="A283" s="46">
        <v>1</v>
      </c>
      <c r="B283" s="2">
        <v>100</v>
      </c>
      <c r="C283" s="46" t="s">
        <v>30</v>
      </c>
      <c r="D283" s="2" t="s">
        <v>321</v>
      </c>
      <c r="E283" s="2" t="s">
        <v>455</v>
      </c>
      <c r="F283" s="42" t="s">
        <v>109</v>
      </c>
      <c r="G283" s="2" t="s">
        <v>247</v>
      </c>
      <c r="H283" s="3" t="s">
        <v>289</v>
      </c>
      <c r="M283" s="2">
        <v>1</v>
      </c>
      <c r="S283" s="46" t="s">
        <v>997</v>
      </c>
      <c r="T283" s="46">
        <v>1</v>
      </c>
      <c r="U283" s="46">
        <v>71</v>
      </c>
      <c r="V283" s="46" t="s">
        <v>996</v>
      </c>
      <c r="X283" s="2" t="s">
        <v>239</v>
      </c>
      <c r="AA283" s="2"/>
      <c r="AG283" s="2"/>
      <c r="AJ283" s="2"/>
      <c r="AS283" s="2"/>
      <c r="AV283" s="2" t="s">
        <v>963</v>
      </c>
      <c r="AW283" s="2"/>
      <c r="BA283" s="2"/>
    </row>
    <row r="284" spans="1:54" x14ac:dyDescent="0.2">
      <c r="A284" s="1" t="s">
        <v>945</v>
      </c>
      <c r="B284" s="2">
        <v>100</v>
      </c>
      <c r="C284" s="46" t="s">
        <v>30</v>
      </c>
      <c r="D284" s="2" t="s">
        <v>321</v>
      </c>
      <c r="E284" s="2" t="s">
        <v>926</v>
      </c>
      <c r="F284" s="42" t="s">
        <v>203</v>
      </c>
      <c r="G284" s="5" t="s">
        <v>951</v>
      </c>
      <c r="H284" s="3" t="s">
        <v>881</v>
      </c>
      <c r="K284" s="2">
        <v>1</v>
      </c>
      <c r="O284" s="2">
        <v>1</v>
      </c>
      <c r="P284" s="2">
        <v>2</v>
      </c>
      <c r="Q284" s="2" t="s">
        <v>190</v>
      </c>
      <c r="S284" s="46" t="s">
        <v>1017</v>
      </c>
      <c r="T284" s="46" t="s">
        <v>1017</v>
      </c>
      <c r="U284" s="46" t="s">
        <v>1017</v>
      </c>
      <c r="V284" s="46" t="s">
        <v>1017</v>
      </c>
      <c r="W284" s="2">
        <v>1</v>
      </c>
      <c r="X284" s="2" t="s">
        <v>238</v>
      </c>
      <c r="Y284" s="2">
        <v>1</v>
      </c>
      <c r="Z284" s="2" t="s">
        <v>299</v>
      </c>
      <c r="AA284" s="27">
        <v>570</v>
      </c>
      <c r="AB284" s="2">
        <v>1</v>
      </c>
      <c r="AC284" s="2" t="s">
        <v>568</v>
      </c>
      <c r="AD284" s="27">
        <v>630</v>
      </c>
      <c r="AE284" s="2">
        <v>1</v>
      </c>
      <c r="AH284" s="2">
        <v>1</v>
      </c>
      <c r="AI284" s="2">
        <v>584</v>
      </c>
      <c r="AJ284" s="2"/>
      <c r="AS284" s="2"/>
      <c r="AV284" s="2" t="s">
        <v>584</v>
      </c>
      <c r="AW284" s="2"/>
      <c r="BA284" s="2"/>
    </row>
    <row r="285" spans="1:54" s="26" customFormat="1" x14ac:dyDescent="0.2">
      <c r="A285" s="30"/>
      <c r="B285" s="2">
        <v>100</v>
      </c>
      <c r="C285" s="46" t="s">
        <v>24</v>
      </c>
      <c r="D285" s="2" t="s">
        <v>843</v>
      </c>
      <c r="E285" s="2" t="s">
        <v>843</v>
      </c>
      <c r="F285" s="42" t="s">
        <v>844</v>
      </c>
      <c r="G285" s="3"/>
      <c r="H285" s="3" t="s">
        <v>876</v>
      </c>
      <c r="I285" s="2"/>
      <c r="J285" s="2"/>
      <c r="K285" s="2"/>
      <c r="L285" s="2"/>
      <c r="M285" s="2"/>
      <c r="N285" s="2">
        <v>1</v>
      </c>
      <c r="O285" s="2"/>
      <c r="P285" s="2"/>
      <c r="Q285" s="2"/>
      <c r="R285" s="2"/>
      <c r="S285" s="46" t="s">
        <v>997</v>
      </c>
      <c r="T285" s="46">
        <v>1</v>
      </c>
      <c r="U285" s="46">
        <v>34</v>
      </c>
      <c r="V285" s="46">
        <v>0</v>
      </c>
      <c r="W285" s="2"/>
      <c r="X285" s="2"/>
      <c r="Y285" s="2"/>
      <c r="Z285" s="2"/>
      <c r="AA285" s="2"/>
      <c r="AB285" s="2"/>
      <c r="AC285" s="2"/>
      <c r="AD285" s="27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1"/>
      <c r="AY285" s="2" t="s">
        <v>930</v>
      </c>
      <c r="AZ285" s="2"/>
      <c r="BA285" s="2"/>
      <c r="BB285" s="2"/>
    </row>
    <row r="286" spans="1:54" x14ac:dyDescent="0.2">
      <c r="B286" s="2">
        <v>200</v>
      </c>
      <c r="C286" s="46" t="s">
        <v>24</v>
      </c>
      <c r="D286" s="2" t="s">
        <v>331</v>
      </c>
      <c r="E286" s="2" t="s">
        <v>1</v>
      </c>
      <c r="F286" s="42" t="s">
        <v>203</v>
      </c>
      <c r="G286" s="5" t="s">
        <v>951</v>
      </c>
      <c r="H286" s="3" t="s">
        <v>881</v>
      </c>
      <c r="K286" s="2">
        <v>1</v>
      </c>
      <c r="S286" s="46" t="s">
        <v>1017</v>
      </c>
      <c r="T286" s="46" t="s">
        <v>1017</v>
      </c>
      <c r="U286" s="46" t="s">
        <v>1017</v>
      </c>
      <c r="V286" s="46" t="s">
        <v>1017</v>
      </c>
      <c r="W286" s="2">
        <v>1</v>
      </c>
      <c r="X286" s="2" t="s">
        <v>238</v>
      </c>
      <c r="Y286" s="2">
        <v>1</v>
      </c>
      <c r="Z286" s="2" t="s">
        <v>299</v>
      </c>
      <c r="AA286" s="27">
        <v>570</v>
      </c>
      <c r="AB286" s="2">
        <v>1</v>
      </c>
      <c r="AC286" s="2" t="s">
        <v>568</v>
      </c>
      <c r="AD286" s="27">
        <v>630</v>
      </c>
      <c r="AE286" s="2">
        <v>1</v>
      </c>
      <c r="AH286" s="2">
        <v>1</v>
      </c>
      <c r="AI286" s="2">
        <v>584</v>
      </c>
      <c r="AJ286" s="2"/>
      <c r="AS286" s="2"/>
      <c r="AV286" s="2" t="s">
        <v>584</v>
      </c>
      <c r="AW286" s="2"/>
      <c r="BA286" s="2"/>
    </row>
    <row r="287" spans="1:54" x14ac:dyDescent="0.2">
      <c r="B287" s="2">
        <v>200</v>
      </c>
      <c r="C287" s="46" t="s">
        <v>24</v>
      </c>
      <c r="D287" s="2" t="s">
        <v>331</v>
      </c>
      <c r="E287" s="2" t="s">
        <v>331</v>
      </c>
      <c r="F287" s="42" t="s">
        <v>393</v>
      </c>
      <c r="H287" s="3" t="s">
        <v>876</v>
      </c>
      <c r="N287" s="2">
        <v>1</v>
      </c>
      <c r="S287" s="46" t="s">
        <v>997</v>
      </c>
      <c r="T287" s="46">
        <v>1</v>
      </c>
      <c r="U287" s="46">
        <v>13</v>
      </c>
      <c r="V287" s="46" t="s">
        <v>991</v>
      </c>
      <c r="AA287" s="2"/>
      <c r="AG287" s="2"/>
      <c r="AJ287" s="2"/>
      <c r="AS287" s="2"/>
      <c r="AT287" s="2">
        <v>1</v>
      </c>
      <c r="AV287" s="3"/>
      <c r="AW287" s="3"/>
      <c r="AX287" s="1">
        <v>75</v>
      </c>
      <c r="AY287" s="2" t="s">
        <v>68</v>
      </c>
    </row>
    <row r="288" spans="1:54" x14ac:dyDescent="0.2">
      <c r="B288" s="2">
        <v>200</v>
      </c>
      <c r="C288" s="46" t="s">
        <v>24</v>
      </c>
      <c r="D288" s="2" t="s">
        <v>332</v>
      </c>
      <c r="E288" s="2" t="s">
        <v>2</v>
      </c>
      <c r="F288" s="42" t="s">
        <v>203</v>
      </c>
      <c r="G288" s="5" t="s">
        <v>951</v>
      </c>
      <c r="H288" s="3" t="s">
        <v>881</v>
      </c>
      <c r="K288" s="2">
        <v>1</v>
      </c>
      <c r="O288" s="2">
        <v>0</v>
      </c>
      <c r="P288" s="2">
        <v>2</v>
      </c>
      <c r="S288" s="46" t="s">
        <v>1017</v>
      </c>
      <c r="T288" s="46" t="s">
        <v>1017</v>
      </c>
      <c r="U288" s="46" t="s">
        <v>1017</v>
      </c>
      <c r="V288" s="46" t="s">
        <v>1017</v>
      </c>
      <c r="W288" s="2">
        <v>1</v>
      </c>
      <c r="X288" s="2" t="s">
        <v>238</v>
      </c>
      <c r="Y288" s="2">
        <v>1</v>
      </c>
      <c r="Z288" s="2" t="s">
        <v>299</v>
      </c>
      <c r="AA288" s="27">
        <v>570</v>
      </c>
      <c r="AB288" s="2">
        <v>1</v>
      </c>
      <c r="AC288" s="2" t="s">
        <v>568</v>
      </c>
      <c r="AD288" s="27">
        <v>630</v>
      </c>
      <c r="AE288" s="2">
        <v>1</v>
      </c>
      <c r="AH288" s="2">
        <v>1</v>
      </c>
      <c r="AI288" s="2">
        <v>584</v>
      </c>
      <c r="AJ288" s="2"/>
      <c r="AS288" s="2"/>
      <c r="AV288" s="2" t="s">
        <v>584</v>
      </c>
      <c r="AW288" s="2"/>
      <c r="BA288" s="2"/>
    </row>
    <row r="289" spans="1:54" x14ac:dyDescent="0.2">
      <c r="B289" s="2">
        <v>200</v>
      </c>
      <c r="C289" s="46" t="s">
        <v>24</v>
      </c>
      <c r="D289" s="2" t="s">
        <v>332</v>
      </c>
      <c r="E289" s="2" t="s">
        <v>332</v>
      </c>
      <c r="F289" s="42" t="s">
        <v>395</v>
      </c>
      <c r="G289" s="3"/>
      <c r="H289" s="3" t="s">
        <v>876</v>
      </c>
      <c r="N289" s="2">
        <v>1</v>
      </c>
      <c r="S289" s="46" t="s">
        <v>997</v>
      </c>
      <c r="T289" s="46">
        <v>1</v>
      </c>
      <c r="U289" s="46">
        <v>14</v>
      </c>
      <c r="V289" s="46" t="s">
        <v>991</v>
      </c>
      <c r="AA289" s="2"/>
      <c r="AG289" s="2"/>
      <c r="AJ289" s="2"/>
      <c r="AS289" s="2"/>
      <c r="AT289" s="2">
        <v>1</v>
      </c>
      <c r="AW289" s="2"/>
      <c r="AX289" s="1">
        <v>90</v>
      </c>
      <c r="AY289" s="2" t="s">
        <v>68</v>
      </c>
      <c r="BA289" s="2"/>
    </row>
    <row r="290" spans="1:54" s="24" customFormat="1" x14ac:dyDescent="0.2">
      <c r="A290" s="36"/>
      <c r="B290" s="2">
        <v>200</v>
      </c>
      <c r="C290" s="46" t="s">
        <v>24</v>
      </c>
      <c r="D290" s="2" t="s">
        <v>333</v>
      </c>
      <c r="E290" s="2" t="s">
        <v>720</v>
      </c>
      <c r="F290" s="42" t="s">
        <v>203</v>
      </c>
      <c r="G290" s="5" t="s">
        <v>951</v>
      </c>
      <c r="H290" s="3" t="s">
        <v>881</v>
      </c>
      <c r="I290" s="2"/>
      <c r="J290" s="2"/>
      <c r="K290" s="2">
        <v>1</v>
      </c>
      <c r="L290" s="2"/>
      <c r="M290" s="2"/>
      <c r="N290" s="2"/>
      <c r="O290" s="2">
        <v>0</v>
      </c>
      <c r="P290" s="2">
        <v>2</v>
      </c>
      <c r="Q290" s="2"/>
      <c r="R290" s="2"/>
      <c r="S290" s="46" t="s">
        <v>1017</v>
      </c>
      <c r="T290" s="46" t="s">
        <v>1017</v>
      </c>
      <c r="U290" s="46" t="s">
        <v>1017</v>
      </c>
      <c r="V290" s="46" t="s">
        <v>1017</v>
      </c>
      <c r="W290" s="2">
        <v>1</v>
      </c>
      <c r="X290" s="2" t="s">
        <v>238</v>
      </c>
      <c r="Y290" s="2">
        <v>1</v>
      </c>
      <c r="Z290" s="2" t="s">
        <v>299</v>
      </c>
      <c r="AA290" s="27">
        <v>570</v>
      </c>
      <c r="AB290" s="2">
        <v>1</v>
      </c>
      <c r="AC290" s="2" t="s">
        <v>568</v>
      </c>
      <c r="AD290" s="27">
        <v>630</v>
      </c>
      <c r="AE290" s="2">
        <v>1</v>
      </c>
      <c r="AF290" s="2"/>
      <c r="AG290" s="27"/>
      <c r="AH290" s="2">
        <v>1</v>
      </c>
      <c r="AI290" s="2">
        <v>584</v>
      </c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 t="s">
        <v>584</v>
      </c>
      <c r="AW290" s="2"/>
      <c r="AX290" s="1"/>
      <c r="AY290" s="2"/>
      <c r="AZ290" s="2"/>
      <c r="BA290" s="2"/>
      <c r="BB290" s="2"/>
    </row>
    <row r="291" spans="1:54" x14ac:dyDescent="0.2">
      <c r="B291" s="2">
        <v>200</v>
      </c>
      <c r="C291" s="46" t="s">
        <v>24</v>
      </c>
      <c r="D291" s="2" t="s">
        <v>333</v>
      </c>
      <c r="E291" s="2" t="s">
        <v>333</v>
      </c>
      <c r="F291" s="42" t="s">
        <v>501</v>
      </c>
      <c r="G291" s="3"/>
      <c r="H291" s="3" t="s">
        <v>876</v>
      </c>
      <c r="N291" s="2">
        <v>1</v>
      </c>
      <c r="S291" s="46" t="s">
        <v>997</v>
      </c>
      <c r="T291" s="46">
        <v>1</v>
      </c>
      <c r="U291" s="46">
        <v>20</v>
      </c>
      <c r="V291" s="46" t="s">
        <v>992</v>
      </c>
      <c r="AA291" s="2"/>
      <c r="AG291" s="2"/>
      <c r="AJ291" s="2"/>
      <c r="AS291" s="2"/>
      <c r="AT291" s="2">
        <v>1</v>
      </c>
      <c r="AW291" s="2"/>
      <c r="AX291" s="1">
        <v>18.5</v>
      </c>
      <c r="AY291" s="2" t="s">
        <v>930</v>
      </c>
      <c r="BA291" s="2"/>
    </row>
    <row r="292" spans="1:54" x14ac:dyDescent="0.2">
      <c r="B292" s="2">
        <v>200</v>
      </c>
      <c r="C292" s="46" t="s">
        <v>24</v>
      </c>
      <c r="D292" s="2" t="s">
        <v>334</v>
      </c>
      <c r="E292" s="2" t="s">
        <v>721</v>
      </c>
      <c r="F292" s="42" t="s">
        <v>203</v>
      </c>
      <c r="G292" s="5" t="s">
        <v>951</v>
      </c>
      <c r="H292" s="3" t="s">
        <v>881</v>
      </c>
      <c r="K292" s="2">
        <v>1</v>
      </c>
      <c r="S292" s="46" t="s">
        <v>1017</v>
      </c>
      <c r="T292" s="46" t="s">
        <v>1017</v>
      </c>
      <c r="U292" s="46" t="s">
        <v>1017</v>
      </c>
      <c r="V292" s="46" t="s">
        <v>1017</v>
      </c>
      <c r="W292" s="2">
        <v>1</v>
      </c>
      <c r="X292" s="2" t="s">
        <v>238</v>
      </c>
      <c r="Y292" s="2">
        <v>1</v>
      </c>
      <c r="Z292" s="2" t="s">
        <v>299</v>
      </c>
      <c r="AA292" s="27">
        <v>570</v>
      </c>
      <c r="AB292" s="2">
        <v>1</v>
      </c>
      <c r="AC292" s="2" t="s">
        <v>568</v>
      </c>
      <c r="AD292" s="27">
        <v>630</v>
      </c>
      <c r="AE292" s="2">
        <v>1</v>
      </c>
      <c r="AH292" s="2">
        <v>1</v>
      </c>
      <c r="AI292" s="2">
        <v>584</v>
      </c>
      <c r="AJ292" s="2"/>
      <c r="AS292" s="2"/>
      <c r="AV292" s="2" t="s">
        <v>584</v>
      </c>
      <c r="AW292" s="2"/>
      <c r="BA292" s="2"/>
    </row>
    <row r="293" spans="1:54" x14ac:dyDescent="0.2">
      <c r="B293" s="2">
        <v>200</v>
      </c>
      <c r="C293" s="46" t="s">
        <v>24</v>
      </c>
      <c r="D293" s="2" t="s">
        <v>334</v>
      </c>
      <c r="E293" s="2" t="s">
        <v>334</v>
      </c>
      <c r="F293" s="42" t="s">
        <v>502</v>
      </c>
      <c r="H293" s="3" t="s">
        <v>876</v>
      </c>
      <c r="N293" s="2">
        <v>1</v>
      </c>
      <c r="S293" s="46" t="s">
        <v>997</v>
      </c>
      <c r="T293" s="46">
        <v>1</v>
      </c>
      <c r="U293" s="46">
        <v>80</v>
      </c>
      <c r="V293" s="46" t="s">
        <v>986</v>
      </c>
      <c r="AA293" s="2"/>
      <c r="AG293" s="2"/>
      <c r="AJ293" s="2"/>
      <c r="AS293" s="2"/>
      <c r="AT293" s="2">
        <v>1</v>
      </c>
      <c r="AV293" s="3" t="s">
        <v>4</v>
      </c>
      <c r="AW293" s="29">
        <f>(6078+173)*0.9</f>
        <v>5625.9000000000005</v>
      </c>
      <c r="AX293" s="1">
        <v>110</v>
      </c>
      <c r="AY293" s="2" t="s">
        <v>877</v>
      </c>
      <c r="BA293" s="2"/>
    </row>
    <row r="294" spans="1:54" x14ac:dyDescent="0.2">
      <c r="B294" s="2">
        <v>200</v>
      </c>
      <c r="C294" s="46" t="s">
        <v>24</v>
      </c>
      <c r="D294" s="2" t="s">
        <v>334</v>
      </c>
      <c r="E294" s="2" t="s">
        <v>759</v>
      </c>
      <c r="F294" s="42" t="s">
        <v>494</v>
      </c>
      <c r="G294" s="5" t="s">
        <v>929</v>
      </c>
      <c r="H294" s="3" t="s">
        <v>880</v>
      </c>
      <c r="J294" s="2">
        <v>1</v>
      </c>
      <c r="S294" s="46" t="s">
        <v>1017</v>
      </c>
      <c r="T294" s="46" t="s">
        <v>1017</v>
      </c>
      <c r="U294" s="46" t="s">
        <v>1017</v>
      </c>
      <c r="V294" s="46" t="s">
        <v>1017</v>
      </c>
      <c r="AA294" s="2"/>
      <c r="AG294" s="2"/>
      <c r="AJ294" s="2"/>
      <c r="AS294" s="2"/>
      <c r="AV294" s="2" t="s">
        <v>895</v>
      </c>
      <c r="AW294" s="2"/>
    </row>
    <row r="295" spans="1:54" x14ac:dyDescent="0.2">
      <c r="B295" s="2">
        <v>200</v>
      </c>
      <c r="C295" s="46" t="s">
        <v>24</v>
      </c>
      <c r="D295" s="2" t="s">
        <v>334</v>
      </c>
      <c r="E295" s="2" t="s">
        <v>760</v>
      </c>
      <c r="F295" s="42" t="s">
        <v>493</v>
      </c>
      <c r="G295" s="5" t="s">
        <v>929</v>
      </c>
      <c r="H295" s="3" t="s">
        <v>880</v>
      </c>
      <c r="J295" s="2">
        <v>1</v>
      </c>
      <c r="S295" s="46" t="s">
        <v>1017</v>
      </c>
      <c r="T295" s="46" t="s">
        <v>1017</v>
      </c>
      <c r="U295" s="46" t="s">
        <v>1017</v>
      </c>
      <c r="V295" s="46" t="s">
        <v>1017</v>
      </c>
      <c r="AA295" s="2"/>
      <c r="AG295" s="2"/>
      <c r="AJ295" s="2"/>
      <c r="AS295" s="2"/>
      <c r="AV295" s="2" t="s">
        <v>895</v>
      </c>
      <c r="AW295" s="2"/>
    </row>
    <row r="296" spans="1:54" ht="25.5" x14ac:dyDescent="0.2">
      <c r="B296" s="2">
        <v>200</v>
      </c>
      <c r="C296" s="46" t="s">
        <v>24</v>
      </c>
      <c r="D296" s="2" t="s">
        <v>335</v>
      </c>
      <c r="E296" s="2" t="s">
        <v>711</v>
      </c>
      <c r="F296" s="42" t="s">
        <v>826</v>
      </c>
      <c r="G296" s="5" t="s">
        <v>951</v>
      </c>
      <c r="H296" s="3" t="s">
        <v>881</v>
      </c>
      <c r="K296" s="2">
        <v>1</v>
      </c>
      <c r="S296" s="46" t="s">
        <v>1017</v>
      </c>
      <c r="T296" s="46" t="s">
        <v>1017</v>
      </c>
      <c r="U296" s="46" t="s">
        <v>1017</v>
      </c>
      <c r="V296" s="46" t="s">
        <v>1017</v>
      </c>
      <c r="W296" s="2">
        <v>1</v>
      </c>
      <c r="X296" s="2" t="s">
        <v>238</v>
      </c>
      <c r="Y296" s="2">
        <v>1</v>
      </c>
      <c r="Z296" s="2" t="s">
        <v>299</v>
      </c>
      <c r="AA296" s="27">
        <v>570</v>
      </c>
      <c r="AB296" s="2">
        <v>1</v>
      </c>
      <c r="AC296" s="2" t="s">
        <v>568</v>
      </c>
      <c r="AD296" s="27">
        <v>630</v>
      </c>
      <c r="AE296" s="2">
        <v>1</v>
      </c>
      <c r="AH296" s="2">
        <v>1</v>
      </c>
      <c r="AI296" s="2">
        <v>584</v>
      </c>
      <c r="AJ296" s="2"/>
      <c r="AS296" s="2"/>
      <c r="AV296" s="2" t="s">
        <v>584</v>
      </c>
      <c r="AW296" s="2"/>
      <c r="BA296" s="2"/>
    </row>
    <row r="297" spans="1:54" x14ac:dyDescent="0.2">
      <c r="B297" s="2">
        <v>200</v>
      </c>
      <c r="C297" s="46" t="s">
        <v>24</v>
      </c>
      <c r="D297" s="2" t="s">
        <v>335</v>
      </c>
      <c r="E297" s="2" t="s">
        <v>335</v>
      </c>
      <c r="F297" s="42" t="s">
        <v>559</v>
      </c>
      <c r="H297" s="3" t="s">
        <v>876</v>
      </c>
      <c r="N297" s="2">
        <v>1</v>
      </c>
      <c r="S297" s="46" t="s">
        <v>997</v>
      </c>
      <c r="T297" s="46">
        <v>1</v>
      </c>
      <c r="U297" s="46">
        <v>21</v>
      </c>
      <c r="V297" s="46" t="s">
        <v>992</v>
      </c>
      <c r="AA297" s="2"/>
      <c r="AG297" s="2"/>
      <c r="AJ297" s="2"/>
      <c r="AS297" s="2"/>
      <c r="AT297" s="2">
        <v>1</v>
      </c>
      <c r="AW297" s="2"/>
      <c r="AX297" s="1">
        <v>55</v>
      </c>
      <c r="AY297" s="2" t="s">
        <v>930</v>
      </c>
      <c r="BA297" s="2"/>
    </row>
    <row r="298" spans="1:54" x14ac:dyDescent="0.2">
      <c r="B298" s="2">
        <v>200</v>
      </c>
      <c r="C298" s="46" t="s">
        <v>24</v>
      </c>
      <c r="D298" s="2" t="s">
        <v>625</v>
      </c>
      <c r="E298" s="2" t="s">
        <v>625</v>
      </c>
      <c r="F298" s="42" t="s">
        <v>558</v>
      </c>
      <c r="H298" s="3" t="s">
        <v>876</v>
      </c>
      <c r="N298" s="2">
        <v>1</v>
      </c>
      <c r="S298" s="46" t="s">
        <v>997</v>
      </c>
      <c r="T298" s="46">
        <v>1</v>
      </c>
      <c r="U298" s="46">
        <v>50</v>
      </c>
      <c r="V298" s="46" t="s">
        <v>998</v>
      </c>
      <c r="AA298" s="2"/>
      <c r="AG298" s="2"/>
      <c r="AJ298" s="2"/>
      <c r="AS298" s="2"/>
      <c r="AW298" s="2"/>
      <c r="AX298" s="1">
        <v>7.5</v>
      </c>
      <c r="AY298" s="2" t="s">
        <v>930</v>
      </c>
      <c r="BA298" s="2"/>
    </row>
    <row r="299" spans="1:54" x14ac:dyDescent="0.2">
      <c r="B299" s="2">
        <v>400</v>
      </c>
      <c r="C299" s="46" t="s">
        <v>24</v>
      </c>
      <c r="D299" s="2" t="s">
        <v>340</v>
      </c>
      <c r="E299" s="2" t="s">
        <v>409</v>
      </c>
      <c r="F299" s="42" t="s">
        <v>203</v>
      </c>
      <c r="G299" s="5" t="s">
        <v>951</v>
      </c>
      <c r="H299" s="3" t="s">
        <v>881</v>
      </c>
      <c r="K299" s="2">
        <v>1</v>
      </c>
      <c r="O299" s="2">
        <v>0</v>
      </c>
      <c r="P299" s="2">
        <v>2</v>
      </c>
      <c r="Q299" s="2" t="s">
        <v>190</v>
      </c>
      <c r="S299" s="46" t="s">
        <v>1017</v>
      </c>
      <c r="T299" s="46" t="s">
        <v>1017</v>
      </c>
      <c r="U299" s="46" t="s">
        <v>1017</v>
      </c>
      <c r="V299" s="46" t="s">
        <v>1017</v>
      </c>
      <c r="W299" s="2">
        <v>1</v>
      </c>
      <c r="X299" s="2" t="s">
        <v>238</v>
      </c>
      <c r="Y299" s="2">
        <v>1</v>
      </c>
      <c r="Z299" s="2" t="s">
        <v>299</v>
      </c>
      <c r="AA299" s="27">
        <v>570</v>
      </c>
      <c r="AB299" s="2">
        <v>1</v>
      </c>
      <c r="AC299" s="2" t="s">
        <v>568</v>
      </c>
      <c r="AD299" s="27">
        <v>630</v>
      </c>
      <c r="AE299" s="2">
        <v>1</v>
      </c>
      <c r="AH299" s="2">
        <v>1</v>
      </c>
      <c r="AI299" s="2">
        <v>584</v>
      </c>
      <c r="AJ299" s="2"/>
      <c r="AS299" s="2"/>
      <c r="AV299" s="2" t="s">
        <v>584</v>
      </c>
      <c r="AW299" s="2"/>
      <c r="BA299" s="2"/>
    </row>
    <row r="300" spans="1:54" x14ac:dyDescent="0.2">
      <c r="B300" s="2">
        <v>400</v>
      </c>
      <c r="C300" s="46" t="s">
        <v>24</v>
      </c>
      <c r="D300" s="2" t="s">
        <v>340</v>
      </c>
      <c r="E300" s="2" t="s">
        <v>340</v>
      </c>
      <c r="F300" s="42" t="s">
        <v>398</v>
      </c>
      <c r="G300" s="3"/>
      <c r="H300" s="3" t="s">
        <v>876</v>
      </c>
      <c r="N300" s="2">
        <v>1</v>
      </c>
      <c r="S300" s="46" t="s">
        <v>997</v>
      </c>
      <c r="T300" s="46">
        <v>1</v>
      </c>
      <c r="U300" s="46">
        <v>17</v>
      </c>
      <c r="V300" s="46" t="s">
        <v>991</v>
      </c>
      <c r="AA300" s="2"/>
      <c r="AG300" s="2"/>
      <c r="AJ300" s="2"/>
      <c r="AS300" s="2"/>
      <c r="AT300" s="2">
        <v>1</v>
      </c>
      <c r="AW300" s="2"/>
      <c r="AX300" s="1">
        <v>75</v>
      </c>
      <c r="AY300" s="2" t="s">
        <v>68</v>
      </c>
    </row>
    <row r="301" spans="1:54" x14ac:dyDescent="0.2">
      <c r="B301" s="2">
        <v>400</v>
      </c>
      <c r="C301" s="46" t="s">
        <v>24</v>
      </c>
      <c r="D301" s="2" t="s">
        <v>341</v>
      </c>
      <c r="E301" s="2" t="s">
        <v>410</v>
      </c>
      <c r="F301" s="42" t="s">
        <v>203</v>
      </c>
      <c r="G301" s="5" t="s">
        <v>951</v>
      </c>
      <c r="H301" s="3" t="s">
        <v>881</v>
      </c>
      <c r="K301" s="2">
        <v>1</v>
      </c>
      <c r="O301" s="2">
        <v>0</v>
      </c>
      <c r="P301" s="2">
        <v>2</v>
      </c>
      <c r="Q301" s="2" t="s">
        <v>190</v>
      </c>
      <c r="S301" s="46" t="s">
        <v>1017</v>
      </c>
      <c r="T301" s="46" t="s">
        <v>1017</v>
      </c>
      <c r="U301" s="46" t="s">
        <v>1017</v>
      </c>
      <c r="V301" s="46" t="s">
        <v>1017</v>
      </c>
      <c r="W301" s="2">
        <v>1</v>
      </c>
      <c r="X301" s="2" t="s">
        <v>238</v>
      </c>
      <c r="Y301" s="2">
        <v>1</v>
      </c>
      <c r="Z301" s="2" t="s">
        <v>299</v>
      </c>
      <c r="AA301" s="27">
        <v>570</v>
      </c>
      <c r="AB301" s="2">
        <v>1</v>
      </c>
      <c r="AC301" s="2" t="s">
        <v>568</v>
      </c>
      <c r="AD301" s="27">
        <v>630</v>
      </c>
      <c r="AE301" s="2">
        <v>1</v>
      </c>
      <c r="AH301" s="2">
        <v>1</v>
      </c>
      <c r="AI301" s="2">
        <v>584</v>
      </c>
      <c r="AJ301" s="2"/>
      <c r="AS301" s="2"/>
      <c r="AV301" s="2" t="s">
        <v>584</v>
      </c>
      <c r="AW301" s="2"/>
      <c r="BA301" s="2"/>
    </row>
    <row r="302" spans="1:54" x14ac:dyDescent="0.2">
      <c r="B302" s="2">
        <v>400</v>
      </c>
      <c r="C302" s="46" t="s">
        <v>24</v>
      </c>
      <c r="D302" s="2" t="s">
        <v>341</v>
      </c>
      <c r="E302" s="2" t="s">
        <v>341</v>
      </c>
      <c r="F302" s="42" t="s">
        <v>605</v>
      </c>
      <c r="G302" s="3"/>
      <c r="H302" s="3" t="s">
        <v>876</v>
      </c>
      <c r="N302" s="2">
        <v>1</v>
      </c>
      <c r="S302" s="46" t="s">
        <v>997</v>
      </c>
      <c r="T302" s="46">
        <v>1</v>
      </c>
      <c r="U302" s="46">
        <v>34</v>
      </c>
      <c r="V302" s="46" t="s">
        <v>992</v>
      </c>
      <c r="AA302" s="2"/>
      <c r="AG302" s="2"/>
      <c r="AJ302" s="2"/>
      <c r="AS302" s="2"/>
      <c r="AT302" s="2">
        <v>1</v>
      </c>
      <c r="AW302" s="2"/>
      <c r="AX302" s="1">
        <v>18.5</v>
      </c>
      <c r="AY302" s="2" t="s">
        <v>930</v>
      </c>
      <c r="BA302" s="2"/>
    </row>
    <row r="303" spans="1:54" x14ac:dyDescent="0.2">
      <c r="B303" s="2">
        <v>400</v>
      </c>
      <c r="C303" s="46" t="s">
        <v>24</v>
      </c>
      <c r="D303" s="2" t="s">
        <v>343</v>
      </c>
      <c r="E303" s="2" t="s">
        <v>717</v>
      </c>
      <c r="F303" s="42" t="s">
        <v>203</v>
      </c>
      <c r="G303" s="5" t="s">
        <v>951</v>
      </c>
      <c r="H303" s="3" t="s">
        <v>881</v>
      </c>
      <c r="K303" s="2">
        <v>1</v>
      </c>
      <c r="O303" s="2">
        <v>0</v>
      </c>
      <c r="P303" s="2">
        <v>2</v>
      </c>
      <c r="Q303" s="2" t="s">
        <v>190</v>
      </c>
      <c r="S303" s="46" t="s">
        <v>1017</v>
      </c>
      <c r="T303" s="46" t="s">
        <v>1017</v>
      </c>
      <c r="U303" s="46" t="s">
        <v>1017</v>
      </c>
      <c r="V303" s="46" t="s">
        <v>1017</v>
      </c>
      <c r="W303" s="2">
        <v>1</v>
      </c>
      <c r="X303" s="2" t="s">
        <v>238</v>
      </c>
      <c r="Y303" s="2">
        <v>1</v>
      </c>
      <c r="Z303" s="2" t="s">
        <v>299</v>
      </c>
      <c r="AA303" s="27">
        <v>570</v>
      </c>
      <c r="AB303" s="2">
        <v>1</v>
      </c>
      <c r="AC303" s="2" t="s">
        <v>568</v>
      </c>
      <c r="AD303" s="27">
        <v>630</v>
      </c>
      <c r="AE303" s="2">
        <v>1</v>
      </c>
      <c r="AH303" s="2">
        <v>1</v>
      </c>
      <c r="AI303" s="2">
        <v>584</v>
      </c>
      <c r="AJ303" s="2"/>
      <c r="AS303" s="2"/>
      <c r="AV303" s="2" t="s">
        <v>584</v>
      </c>
      <c r="AW303" s="2"/>
      <c r="BA303" s="2"/>
    </row>
    <row r="304" spans="1:54" x14ac:dyDescent="0.2">
      <c r="B304" s="2">
        <v>400</v>
      </c>
      <c r="C304" s="46" t="s">
        <v>24</v>
      </c>
      <c r="D304" s="2" t="s">
        <v>343</v>
      </c>
      <c r="E304" s="2" t="s">
        <v>343</v>
      </c>
      <c r="F304" s="42" t="s">
        <v>399</v>
      </c>
      <c r="G304" s="3"/>
      <c r="H304" s="3" t="s">
        <v>876</v>
      </c>
      <c r="N304" s="2">
        <v>1</v>
      </c>
      <c r="S304" s="46" t="s">
        <v>997</v>
      </c>
      <c r="T304" s="46">
        <v>1</v>
      </c>
      <c r="U304" s="46">
        <v>84</v>
      </c>
      <c r="V304" s="46" t="s">
        <v>986</v>
      </c>
      <c r="AA304" s="2"/>
      <c r="AG304" s="2"/>
      <c r="AJ304" s="2"/>
      <c r="AS304" s="2"/>
      <c r="AT304" s="2">
        <v>1</v>
      </c>
      <c r="AV304" s="3" t="s">
        <v>4</v>
      </c>
      <c r="AW304" s="29">
        <f>(6078+173)*0.9</f>
        <v>5625.9000000000005</v>
      </c>
      <c r="AX304" s="1">
        <v>110</v>
      </c>
      <c r="AY304" s="2" t="s">
        <v>877</v>
      </c>
      <c r="BA304" s="2"/>
    </row>
    <row r="305" spans="1:53" x14ac:dyDescent="0.2">
      <c r="B305" s="2">
        <v>400</v>
      </c>
      <c r="C305" s="46" t="s">
        <v>24</v>
      </c>
      <c r="D305" s="2" t="s">
        <v>343</v>
      </c>
      <c r="F305" s="42" t="s">
        <v>864</v>
      </c>
      <c r="G305" s="3"/>
      <c r="H305" s="3" t="s">
        <v>357</v>
      </c>
      <c r="N305" s="2">
        <v>1</v>
      </c>
      <c r="S305" s="46" t="s">
        <v>1017</v>
      </c>
      <c r="T305" s="46" t="s">
        <v>1017</v>
      </c>
      <c r="U305" s="46" t="s">
        <v>1017</v>
      </c>
      <c r="V305" s="46" t="s">
        <v>1017</v>
      </c>
      <c r="AA305" s="2"/>
      <c r="AG305" s="2"/>
      <c r="AJ305" s="2"/>
      <c r="AS305" s="2"/>
      <c r="AT305" s="2">
        <v>1</v>
      </c>
      <c r="AV305" s="2" t="s">
        <v>862</v>
      </c>
      <c r="AW305" s="2"/>
      <c r="BA305" s="2"/>
    </row>
    <row r="306" spans="1:53" x14ac:dyDescent="0.2">
      <c r="B306" s="2">
        <v>400</v>
      </c>
      <c r="C306" s="46" t="s">
        <v>24</v>
      </c>
      <c r="D306" s="2" t="s">
        <v>626</v>
      </c>
      <c r="E306" s="2" t="s">
        <v>626</v>
      </c>
      <c r="F306" s="42" t="s">
        <v>845</v>
      </c>
      <c r="G306" s="3"/>
      <c r="H306" s="3" t="s">
        <v>876</v>
      </c>
      <c r="N306" s="2">
        <v>1</v>
      </c>
      <c r="S306" s="46" t="s">
        <v>997</v>
      </c>
      <c r="T306" s="46">
        <v>1</v>
      </c>
      <c r="U306" s="46">
        <v>58</v>
      </c>
      <c r="V306" s="46" t="s">
        <v>998</v>
      </c>
      <c r="AA306" s="2"/>
      <c r="AG306" s="2"/>
      <c r="AJ306" s="2"/>
      <c r="AS306" s="2"/>
      <c r="AW306" s="2"/>
      <c r="AY306" s="2" t="s">
        <v>930</v>
      </c>
      <c r="BA306" s="2"/>
    </row>
    <row r="307" spans="1:53" x14ac:dyDescent="0.2">
      <c r="B307" s="2">
        <v>600</v>
      </c>
      <c r="C307" s="46" t="s">
        <v>30</v>
      </c>
      <c r="D307" s="2" t="s">
        <v>179</v>
      </c>
      <c r="E307" s="2" t="s">
        <v>179</v>
      </c>
      <c r="F307" s="42" t="s">
        <v>428</v>
      </c>
      <c r="G307" s="3"/>
      <c r="H307" s="3" t="s">
        <v>876</v>
      </c>
      <c r="N307" s="2">
        <v>1</v>
      </c>
      <c r="S307" s="46" t="s">
        <v>997</v>
      </c>
      <c r="T307" s="46">
        <v>1</v>
      </c>
      <c r="U307" s="46">
        <v>26</v>
      </c>
      <c r="V307" s="46" t="s">
        <v>986</v>
      </c>
      <c r="AA307" s="2"/>
      <c r="AG307" s="2"/>
      <c r="AJ307" s="2"/>
      <c r="AS307" s="2"/>
      <c r="AT307" s="2">
        <v>1</v>
      </c>
      <c r="AV307" s="3" t="s">
        <v>133</v>
      </c>
      <c r="AW307" s="29">
        <f>(3231+104)*0.9</f>
        <v>3001.5</v>
      </c>
      <c r="AX307" s="1">
        <v>22</v>
      </c>
      <c r="AY307" s="2" t="s">
        <v>877</v>
      </c>
    </row>
    <row r="308" spans="1:53" x14ac:dyDescent="0.2">
      <c r="B308" s="2">
        <v>500</v>
      </c>
      <c r="C308" s="46" t="s">
        <v>24</v>
      </c>
      <c r="D308" s="2" t="s">
        <v>796</v>
      </c>
      <c r="E308" s="2" t="s">
        <v>797</v>
      </c>
      <c r="F308" s="42" t="s">
        <v>798</v>
      </c>
      <c r="G308" s="5" t="s">
        <v>929</v>
      </c>
      <c r="H308" s="3" t="s">
        <v>880</v>
      </c>
      <c r="J308" s="2">
        <v>1</v>
      </c>
      <c r="S308" s="46" t="s">
        <v>1017</v>
      </c>
      <c r="T308" s="46" t="s">
        <v>1017</v>
      </c>
      <c r="U308" s="46" t="s">
        <v>1017</v>
      </c>
      <c r="V308" s="46" t="s">
        <v>1017</v>
      </c>
      <c r="AA308" s="2"/>
      <c r="AG308" s="2"/>
      <c r="AJ308" s="2"/>
      <c r="AS308" s="2"/>
      <c r="AV308" s="2" t="s">
        <v>895</v>
      </c>
      <c r="AW308" s="2"/>
      <c r="BA308" s="2"/>
    </row>
    <row r="309" spans="1:53" x14ac:dyDescent="0.2">
      <c r="B309" s="2">
        <v>100</v>
      </c>
      <c r="C309" s="46" t="s">
        <v>24</v>
      </c>
      <c r="D309" s="2" t="s">
        <v>106</v>
      </c>
      <c r="E309" s="2" t="s">
        <v>106</v>
      </c>
      <c r="F309" s="42" t="s">
        <v>108</v>
      </c>
      <c r="H309" s="3" t="s">
        <v>876</v>
      </c>
      <c r="O309" s="3"/>
      <c r="P309" s="3"/>
      <c r="S309" s="46" t="s">
        <v>1017</v>
      </c>
      <c r="T309" s="46" t="s">
        <v>1017</v>
      </c>
      <c r="U309" s="46" t="s">
        <v>1017</v>
      </c>
      <c r="V309" s="46" t="s">
        <v>1017</v>
      </c>
      <c r="AA309" s="2"/>
      <c r="AG309" s="2"/>
      <c r="AJ309" s="2"/>
      <c r="AS309" s="2"/>
      <c r="AW309" s="2"/>
      <c r="AY309" s="2" t="s">
        <v>777</v>
      </c>
      <c r="BA309" s="2"/>
    </row>
    <row r="310" spans="1:53" x14ac:dyDescent="0.2">
      <c r="B310" s="2">
        <v>100</v>
      </c>
      <c r="C310" s="46" t="s">
        <v>24</v>
      </c>
      <c r="D310" s="2" t="s">
        <v>107</v>
      </c>
      <c r="E310" s="2" t="s">
        <v>107</v>
      </c>
      <c r="F310" s="42" t="s">
        <v>108</v>
      </c>
      <c r="H310" s="3" t="s">
        <v>876</v>
      </c>
      <c r="O310" s="3"/>
      <c r="P310" s="3"/>
      <c r="S310" s="46" t="s">
        <v>1017</v>
      </c>
      <c r="T310" s="46" t="s">
        <v>1017</v>
      </c>
      <c r="U310" s="46" t="s">
        <v>1017</v>
      </c>
      <c r="V310" s="46" t="s">
        <v>1017</v>
      </c>
      <c r="AA310" s="2"/>
      <c r="AG310" s="2"/>
      <c r="AJ310" s="2"/>
      <c r="AS310" s="2"/>
      <c r="AW310" s="2"/>
      <c r="AY310" s="2" t="s">
        <v>777</v>
      </c>
      <c r="BA310" s="2"/>
    </row>
    <row r="311" spans="1:53" x14ac:dyDescent="0.2">
      <c r="B311" s="2">
        <v>200</v>
      </c>
      <c r="C311" s="46" t="s">
        <v>24</v>
      </c>
      <c r="D311" s="2" t="s">
        <v>309</v>
      </c>
      <c r="E311" s="2" t="s">
        <v>309</v>
      </c>
      <c r="F311" s="42" t="s">
        <v>310</v>
      </c>
      <c r="H311" s="3" t="s">
        <v>777</v>
      </c>
      <c r="S311" s="46" t="s">
        <v>1017</v>
      </c>
      <c r="T311" s="46" t="s">
        <v>1017</v>
      </c>
      <c r="U311" s="46" t="s">
        <v>1017</v>
      </c>
      <c r="V311" s="46" t="s">
        <v>1017</v>
      </c>
      <c r="AA311" s="2"/>
      <c r="AG311" s="2"/>
      <c r="AJ311" s="2"/>
      <c r="AS311" s="2"/>
      <c r="AW311" s="2"/>
      <c r="AX311" s="1">
        <v>3.9</v>
      </c>
      <c r="AY311" s="2" t="s">
        <v>777</v>
      </c>
    </row>
    <row r="312" spans="1:53" x14ac:dyDescent="0.2">
      <c r="B312" s="2">
        <v>400</v>
      </c>
      <c r="C312" s="46" t="s">
        <v>24</v>
      </c>
      <c r="D312" s="2" t="s">
        <v>775</v>
      </c>
      <c r="E312" s="2" t="s">
        <v>775</v>
      </c>
      <c r="F312" s="42" t="s">
        <v>776</v>
      </c>
      <c r="H312" s="3" t="s">
        <v>777</v>
      </c>
      <c r="S312" s="46" t="s">
        <v>1017</v>
      </c>
      <c r="T312" s="46" t="s">
        <v>1017</v>
      </c>
      <c r="U312" s="46" t="s">
        <v>1017</v>
      </c>
      <c r="V312" s="46" t="s">
        <v>1017</v>
      </c>
      <c r="AA312" s="2"/>
      <c r="AG312" s="2"/>
      <c r="AJ312" s="2"/>
      <c r="AS312" s="2"/>
      <c r="AW312" s="2"/>
      <c r="AX312" s="1" t="s">
        <v>311</v>
      </c>
      <c r="AY312" s="2" t="s">
        <v>777</v>
      </c>
    </row>
    <row r="313" spans="1:53" x14ac:dyDescent="0.2">
      <c r="B313" s="2">
        <v>100</v>
      </c>
      <c r="C313" s="46" t="s">
        <v>24</v>
      </c>
      <c r="D313" s="2" t="s">
        <v>508</v>
      </c>
      <c r="E313" s="2" t="s">
        <v>508</v>
      </c>
      <c r="F313" s="42" t="s">
        <v>509</v>
      </c>
      <c r="G313" s="3"/>
      <c r="H313" s="3" t="s">
        <v>876</v>
      </c>
      <c r="N313" s="2">
        <v>1</v>
      </c>
      <c r="S313" s="46" t="s">
        <v>997</v>
      </c>
      <c r="T313" s="46">
        <v>1</v>
      </c>
      <c r="U313" s="46">
        <v>31</v>
      </c>
      <c r="V313" s="46" t="s">
        <v>993</v>
      </c>
      <c r="AA313" s="2"/>
      <c r="AG313" s="2"/>
      <c r="AJ313" s="2"/>
      <c r="AS313" s="2"/>
      <c r="AT313" s="2">
        <v>1</v>
      </c>
      <c r="AW313" s="2"/>
      <c r="AY313" s="2" t="s">
        <v>930</v>
      </c>
      <c r="BA313" s="2"/>
    </row>
    <row r="314" spans="1:53" x14ac:dyDescent="0.2">
      <c r="B314" s="2">
        <v>600</v>
      </c>
      <c r="C314" s="46" t="s">
        <v>30</v>
      </c>
      <c r="D314" s="2" t="s">
        <v>627</v>
      </c>
      <c r="E314" s="2" t="s">
        <v>269</v>
      </c>
      <c r="F314" s="42" t="s">
        <v>271</v>
      </c>
      <c r="G314" s="5" t="s">
        <v>951</v>
      </c>
      <c r="H314" s="5" t="s">
        <v>881</v>
      </c>
      <c r="K314" s="2">
        <v>1</v>
      </c>
      <c r="O314" s="2">
        <v>0</v>
      </c>
      <c r="P314" s="2">
        <v>5</v>
      </c>
      <c r="Q314" s="2" t="s">
        <v>190</v>
      </c>
      <c r="S314" s="46" t="s">
        <v>1017</v>
      </c>
      <c r="T314" s="46" t="s">
        <v>1017</v>
      </c>
      <c r="U314" s="46" t="s">
        <v>1017</v>
      </c>
      <c r="V314" s="46" t="s">
        <v>1017</v>
      </c>
      <c r="AA314" s="2"/>
      <c r="AG314" s="2"/>
      <c r="AH314" s="2">
        <v>1</v>
      </c>
      <c r="AI314" s="2" t="s">
        <v>270</v>
      </c>
      <c r="AJ314" s="2"/>
      <c r="AS314" s="2"/>
      <c r="AW314" s="2"/>
      <c r="BA314" s="2"/>
    </row>
    <row r="315" spans="1:53" x14ac:dyDescent="0.2">
      <c r="B315" s="2">
        <v>600</v>
      </c>
      <c r="C315" s="46" t="s">
        <v>30</v>
      </c>
      <c r="D315" s="2" t="s">
        <v>627</v>
      </c>
      <c r="E315" s="2" t="s">
        <v>187</v>
      </c>
      <c r="F315" s="42" t="s">
        <v>820</v>
      </c>
      <c r="G315" s="3" t="s">
        <v>202</v>
      </c>
      <c r="H315" s="3" t="s">
        <v>357</v>
      </c>
      <c r="N315" s="10">
        <v>1</v>
      </c>
      <c r="O315" s="2">
        <v>0</v>
      </c>
      <c r="P315" s="10">
        <v>100</v>
      </c>
      <c r="Q315" s="2" t="s">
        <v>202</v>
      </c>
      <c r="S315" s="46" t="s">
        <v>1017</v>
      </c>
      <c r="T315" s="46" t="s">
        <v>1017</v>
      </c>
      <c r="U315" s="46" t="s">
        <v>1017</v>
      </c>
      <c r="V315" s="46" t="s">
        <v>1017</v>
      </c>
      <c r="AA315" s="2"/>
      <c r="AB315" s="2">
        <v>1</v>
      </c>
      <c r="AC315" s="2" t="s">
        <v>45</v>
      </c>
      <c r="AD315" s="27">
        <f>1680+860+1160</f>
        <v>3700</v>
      </c>
      <c r="AE315" s="2">
        <v>1</v>
      </c>
      <c r="AG315" s="2"/>
      <c r="AJ315" s="2"/>
      <c r="AS315" s="2"/>
      <c r="AW315" s="2"/>
      <c r="BA315" s="2"/>
    </row>
    <row r="316" spans="1:53" x14ac:dyDescent="0.2">
      <c r="B316" s="2">
        <v>600</v>
      </c>
      <c r="C316" s="46" t="s">
        <v>30</v>
      </c>
      <c r="D316" s="2" t="s">
        <v>627</v>
      </c>
      <c r="E316" s="2" t="s">
        <v>185</v>
      </c>
      <c r="F316" s="42" t="s">
        <v>821</v>
      </c>
      <c r="G316" s="2" t="s">
        <v>553</v>
      </c>
      <c r="H316" s="5" t="s">
        <v>357</v>
      </c>
      <c r="N316" s="2">
        <v>1</v>
      </c>
      <c r="O316" s="2">
        <v>2</v>
      </c>
      <c r="P316" s="2">
        <v>12</v>
      </c>
      <c r="Q316" s="2" t="s">
        <v>352</v>
      </c>
      <c r="S316" s="46" t="s">
        <v>1017</v>
      </c>
      <c r="T316" s="46" t="s">
        <v>1017</v>
      </c>
      <c r="U316" s="46" t="s">
        <v>1017</v>
      </c>
      <c r="V316" s="46" t="s">
        <v>1017</v>
      </c>
      <c r="AB316" s="2">
        <v>1</v>
      </c>
      <c r="AC316" s="2" t="s">
        <v>575</v>
      </c>
      <c r="AD316" s="27">
        <f>280+80+910+30+280</f>
        <v>1580</v>
      </c>
      <c r="AE316" s="2">
        <v>1</v>
      </c>
      <c r="AF316" s="2" t="s">
        <v>900</v>
      </c>
      <c r="AG316" s="27">
        <f>631+744</f>
        <v>1375</v>
      </c>
      <c r="AH316" s="2">
        <v>1</v>
      </c>
      <c r="AI316" s="2" t="s">
        <v>953</v>
      </c>
      <c r="AJ316" s="2">
        <f>900.2+378</f>
        <v>1278.2</v>
      </c>
      <c r="AS316" s="2"/>
      <c r="AW316" s="2"/>
      <c r="BA316" s="2"/>
    </row>
    <row r="317" spans="1:53" x14ac:dyDescent="0.2">
      <c r="B317" s="2">
        <v>600</v>
      </c>
      <c r="C317" s="46" t="s">
        <v>30</v>
      </c>
      <c r="D317" s="2" t="s">
        <v>627</v>
      </c>
      <c r="E317" s="2" t="s">
        <v>627</v>
      </c>
      <c r="F317" s="42" t="s">
        <v>628</v>
      </c>
      <c r="G317" s="3"/>
      <c r="H317" s="3" t="s">
        <v>876</v>
      </c>
      <c r="N317" s="2">
        <v>1</v>
      </c>
      <c r="S317" s="46" t="s">
        <v>997</v>
      </c>
      <c r="T317" s="46">
        <v>1</v>
      </c>
      <c r="U317" s="46">
        <v>40</v>
      </c>
      <c r="V317" s="46">
        <v>0</v>
      </c>
      <c r="AA317" s="2"/>
      <c r="AG317" s="2"/>
      <c r="AJ317" s="2"/>
      <c r="AS317" s="2"/>
      <c r="AT317" s="2">
        <v>1</v>
      </c>
      <c r="AV317" s="2" t="s">
        <v>184</v>
      </c>
      <c r="AW317" s="2"/>
      <c r="AX317" s="1">
        <v>0.37</v>
      </c>
      <c r="AY317" s="2" t="s">
        <v>930</v>
      </c>
      <c r="BA317" s="2"/>
    </row>
    <row r="318" spans="1:53" x14ac:dyDescent="0.2">
      <c r="A318" s="46">
        <v>1</v>
      </c>
      <c r="B318" s="2">
        <v>100</v>
      </c>
      <c r="C318" s="46" t="s">
        <v>24</v>
      </c>
      <c r="D318" s="2" t="s">
        <v>320</v>
      </c>
      <c r="E318" s="2" t="s">
        <v>6</v>
      </c>
      <c r="F318" s="42" t="s">
        <v>7</v>
      </c>
      <c r="G318" s="5" t="s">
        <v>929</v>
      </c>
      <c r="H318" s="5" t="s">
        <v>880</v>
      </c>
      <c r="J318" s="2">
        <v>1</v>
      </c>
      <c r="S318" s="46" t="s">
        <v>1017</v>
      </c>
      <c r="T318" s="46" t="s">
        <v>1017</v>
      </c>
      <c r="U318" s="46" t="s">
        <v>1017</v>
      </c>
      <c r="V318" s="46" t="s">
        <v>1017</v>
      </c>
      <c r="AA318" s="2"/>
      <c r="AG318" s="2"/>
      <c r="AJ318" s="2"/>
      <c r="AS318" s="2"/>
      <c r="AW318" s="2"/>
      <c r="BA318" s="2"/>
    </row>
    <row r="319" spans="1:53" x14ac:dyDescent="0.2">
      <c r="A319" s="46">
        <v>1</v>
      </c>
      <c r="B319" s="2">
        <v>100</v>
      </c>
      <c r="C319" s="46" t="s">
        <v>24</v>
      </c>
      <c r="D319" s="2" t="s">
        <v>320</v>
      </c>
      <c r="E319" s="2" t="s">
        <v>320</v>
      </c>
      <c r="F319" s="42" t="s">
        <v>312</v>
      </c>
      <c r="G319" s="3"/>
      <c r="H319" s="3" t="s">
        <v>876</v>
      </c>
      <c r="N319" s="2">
        <v>1</v>
      </c>
      <c r="S319" s="46" t="s">
        <v>1017</v>
      </c>
      <c r="T319" s="46" t="s">
        <v>1017</v>
      </c>
      <c r="U319" s="46" t="s">
        <v>1017</v>
      </c>
      <c r="V319" s="46" t="s">
        <v>1017</v>
      </c>
      <c r="AA319" s="2"/>
      <c r="AG319" s="2"/>
      <c r="AJ319" s="2"/>
      <c r="AS319" s="2"/>
      <c r="AT319" s="2">
        <v>1</v>
      </c>
      <c r="AV319" s="2" t="s">
        <v>801</v>
      </c>
      <c r="AW319" s="2"/>
      <c r="AX319" s="1">
        <f>2*6</f>
        <v>12</v>
      </c>
      <c r="AY319" s="2" t="s">
        <v>930</v>
      </c>
      <c r="BA319" s="2"/>
    </row>
    <row r="320" spans="1:53" x14ac:dyDescent="0.2">
      <c r="B320" s="2">
        <v>100</v>
      </c>
      <c r="C320" s="46" t="s">
        <v>30</v>
      </c>
      <c r="D320" s="2" t="s">
        <v>320</v>
      </c>
      <c r="E320" s="2" t="s">
        <v>718</v>
      </c>
      <c r="F320" s="42" t="s">
        <v>112</v>
      </c>
      <c r="G320" s="2" t="s">
        <v>247</v>
      </c>
      <c r="H320" s="3" t="s">
        <v>289</v>
      </c>
      <c r="M320" s="2">
        <v>1</v>
      </c>
      <c r="S320" s="46" t="s">
        <v>997</v>
      </c>
      <c r="T320" s="46">
        <v>1</v>
      </c>
      <c r="U320" s="46">
        <v>70</v>
      </c>
      <c r="V320" s="46" t="s">
        <v>996</v>
      </c>
      <c r="X320" s="2" t="s">
        <v>239</v>
      </c>
      <c r="AA320" s="2"/>
      <c r="AG320" s="2"/>
      <c r="AJ320" s="2"/>
      <c r="AS320" s="2"/>
      <c r="AV320" s="2" t="s">
        <v>963</v>
      </c>
      <c r="AW320" s="2"/>
      <c r="BA320" s="2"/>
    </row>
    <row r="321" spans="2:53" x14ac:dyDescent="0.2">
      <c r="B321" s="2">
        <v>200</v>
      </c>
      <c r="C321" s="46" t="s">
        <v>24</v>
      </c>
      <c r="D321" s="2" t="s">
        <v>330</v>
      </c>
      <c r="E321" s="2" t="s">
        <v>115</v>
      </c>
      <c r="F321" s="42" t="s">
        <v>116</v>
      </c>
      <c r="H321" s="5" t="s">
        <v>0</v>
      </c>
      <c r="R321" s="2" t="s">
        <v>938</v>
      </c>
      <c r="S321" s="46" t="s">
        <v>1017</v>
      </c>
      <c r="T321" s="46" t="s">
        <v>1017</v>
      </c>
      <c r="U321" s="46" t="s">
        <v>1017</v>
      </c>
      <c r="V321" s="46" t="s">
        <v>1017</v>
      </c>
      <c r="AA321" s="2"/>
      <c r="AG321" s="2"/>
      <c r="AJ321" s="2"/>
      <c r="AV321" s="2" t="s">
        <v>866</v>
      </c>
      <c r="AW321" s="2"/>
    </row>
    <row r="322" spans="2:53" x14ac:dyDescent="0.2">
      <c r="B322" s="2">
        <v>200</v>
      </c>
      <c r="C322" s="46" t="s">
        <v>24</v>
      </c>
      <c r="D322" s="2" t="s">
        <v>330</v>
      </c>
      <c r="E322" s="2" t="s">
        <v>117</v>
      </c>
      <c r="F322" s="42" t="s">
        <v>135</v>
      </c>
      <c r="H322" s="5" t="s">
        <v>0</v>
      </c>
      <c r="R322" s="2" t="s">
        <v>938</v>
      </c>
      <c r="S322" s="46" t="s">
        <v>1017</v>
      </c>
      <c r="T322" s="46" t="s">
        <v>1017</v>
      </c>
      <c r="U322" s="46" t="s">
        <v>1017</v>
      </c>
      <c r="V322" s="46" t="s">
        <v>1017</v>
      </c>
      <c r="AA322" s="2"/>
      <c r="AG322" s="2"/>
      <c r="AJ322" s="2"/>
      <c r="AV322" s="2" t="s">
        <v>866</v>
      </c>
      <c r="AW322" s="2"/>
    </row>
    <row r="323" spans="2:53" x14ac:dyDescent="0.2">
      <c r="B323" s="2">
        <v>200</v>
      </c>
      <c r="C323" s="46" t="s">
        <v>24</v>
      </c>
      <c r="D323" s="2" t="s">
        <v>330</v>
      </c>
      <c r="E323" s="2" t="s">
        <v>118</v>
      </c>
      <c r="F323" s="42" t="s">
        <v>134</v>
      </c>
      <c r="H323" s="5" t="s">
        <v>0</v>
      </c>
      <c r="R323" s="2" t="s">
        <v>938</v>
      </c>
      <c r="S323" s="46" t="s">
        <v>1017</v>
      </c>
      <c r="T323" s="46" t="s">
        <v>1017</v>
      </c>
      <c r="U323" s="46" t="s">
        <v>1017</v>
      </c>
      <c r="V323" s="46" t="s">
        <v>1017</v>
      </c>
      <c r="AA323" s="2"/>
      <c r="AG323" s="2"/>
      <c r="AJ323" s="2"/>
      <c r="AV323" s="2" t="s">
        <v>866</v>
      </c>
      <c r="AW323" s="2"/>
    </row>
    <row r="324" spans="2:53" x14ac:dyDescent="0.2">
      <c r="B324" s="2">
        <v>200</v>
      </c>
      <c r="C324" s="46" t="s">
        <v>24</v>
      </c>
      <c r="D324" s="2" t="s">
        <v>330</v>
      </c>
      <c r="E324" s="2" t="s">
        <v>473</v>
      </c>
      <c r="F324" s="42" t="s">
        <v>433</v>
      </c>
      <c r="G324" s="5" t="s">
        <v>214</v>
      </c>
      <c r="H324" s="3" t="s">
        <v>881</v>
      </c>
      <c r="K324" s="2">
        <v>1</v>
      </c>
      <c r="O324" s="2">
        <v>0</v>
      </c>
      <c r="P324" s="2">
        <v>1.6</v>
      </c>
      <c r="Q324" s="2" t="s">
        <v>95</v>
      </c>
      <c r="R324" s="2" t="s">
        <v>938</v>
      </c>
      <c r="S324" s="46" t="s">
        <v>1017</v>
      </c>
      <c r="T324" s="46" t="s">
        <v>1017</v>
      </c>
      <c r="U324" s="46" t="s">
        <v>1017</v>
      </c>
      <c r="V324" s="46" t="s">
        <v>1017</v>
      </c>
      <c r="Y324" s="2">
        <v>1</v>
      </c>
      <c r="Z324" s="2" t="s">
        <v>300</v>
      </c>
      <c r="AA324" s="27">
        <v>5796.333333333333</v>
      </c>
      <c r="AB324" s="2">
        <v>1</v>
      </c>
      <c r="AC324" s="2" t="s">
        <v>572</v>
      </c>
      <c r="AD324" s="27">
        <f>5200+370+850</f>
        <v>6420</v>
      </c>
      <c r="AG324" s="2"/>
      <c r="AH324" s="2">
        <v>1</v>
      </c>
      <c r="AJ324" s="2"/>
      <c r="AQ324" s="2">
        <v>1</v>
      </c>
      <c r="AR324" s="2" t="s">
        <v>535</v>
      </c>
      <c r="AS324" s="27">
        <f>4923+650</f>
        <v>5573</v>
      </c>
      <c r="AV324" s="2" t="s">
        <v>98</v>
      </c>
      <c r="AW324" s="2"/>
      <c r="BA324" s="2"/>
    </row>
    <row r="325" spans="2:53" x14ac:dyDescent="0.2">
      <c r="B325" s="2">
        <v>200</v>
      </c>
      <c r="C325" s="46" t="s">
        <v>24</v>
      </c>
      <c r="D325" s="2" t="s">
        <v>330</v>
      </c>
      <c r="E325" s="2" t="s">
        <v>475</v>
      </c>
      <c r="F325" s="42" t="s">
        <v>434</v>
      </c>
      <c r="G325" s="5" t="s">
        <v>214</v>
      </c>
      <c r="H325" s="3" t="s">
        <v>881</v>
      </c>
      <c r="K325" s="2">
        <v>1</v>
      </c>
      <c r="O325" s="2">
        <v>0</v>
      </c>
      <c r="P325" s="2">
        <v>1.6</v>
      </c>
      <c r="Q325" s="2" t="s">
        <v>95</v>
      </c>
      <c r="R325" s="2" t="s">
        <v>938</v>
      </c>
      <c r="S325" s="46" t="s">
        <v>1017</v>
      </c>
      <c r="T325" s="46" t="s">
        <v>1017</v>
      </c>
      <c r="U325" s="46" t="s">
        <v>1017</v>
      </c>
      <c r="V325" s="46" t="s">
        <v>1017</v>
      </c>
      <c r="Y325" s="2">
        <v>1</v>
      </c>
      <c r="Z325" s="2" t="s">
        <v>300</v>
      </c>
      <c r="AA325" s="27">
        <v>5796.333333333333</v>
      </c>
      <c r="AB325" s="2">
        <v>1</v>
      </c>
      <c r="AC325" s="2" t="s">
        <v>572</v>
      </c>
      <c r="AD325" s="27">
        <f>5200+370+850</f>
        <v>6420</v>
      </c>
      <c r="AG325" s="2"/>
      <c r="AH325" s="2">
        <v>1</v>
      </c>
      <c r="AJ325" s="2"/>
      <c r="AQ325" s="2">
        <v>1</v>
      </c>
      <c r="AR325" s="2" t="s">
        <v>535</v>
      </c>
      <c r="AS325" s="27">
        <f>4923+650</f>
        <v>5573</v>
      </c>
      <c r="AV325" s="2" t="s">
        <v>97</v>
      </c>
      <c r="AW325" s="2"/>
      <c r="BA325" s="2"/>
    </row>
    <row r="326" spans="2:53" x14ac:dyDescent="0.2">
      <c r="B326" s="2">
        <v>200</v>
      </c>
      <c r="C326" s="46" t="s">
        <v>24</v>
      </c>
      <c r="D326" s="2" t="s">
        <v>330</v>
      </c>
      <c r="E326" s="2" t="s">
        <v>536</v>
      </c>
      <c r="F326" s="42" t="s">
        <v>435</v>
      </c>
      <c r="G326" s="5" t="s">
        <v>214</v>
      </c>
      <c r="H326" s="3" t="s">
        <v>881</v>
      </c>
      <c r="K326" s="2">
        <v>1</v>
      </c>
      <c r="O326" s="2">
        <v>0</v>
      </c>
      <c r="P326" s="2">
        <v>1.6</v>
      </c>
      <c r="Q326" s="2" t="s">
        <v>95</v>
      </c>
      <c r="R326" s="2" t="s">
        <v>938</v>
      </c>
      <c r="S326" s="46" t="s">
        <v>1017</v>
      </c>
      <c r="T326" s="46" t="s">
        <v>1017</v>
      </c>
      <c r="U326" s="46" t="s">
        <v>1017</v>
      </c>
      <c r="V326" s="46" t="s">
        <v>1017</v>
      </c>
      <c r="Y326" s="2">
        <v>1</v>
      </c>
      <c r="Z326" s="2" t="s">
        <v>300</v>
      </c>
      <c r="AA326" s="27">
        <v>5796.333333333333</v>
      </c>
      <c r="AB326" s="2">
        <v>1</v>
      </c>
      <c r="AC326" s="2" t="s">
        <v>572</v>
      </c>
      <c r="AD326" s="27">
        <f>5200+370+850</f>
        <v>6420</v>
      </c>
      <c r="AG326" s="2"/>
      <c r="AH326" s="2">
        <v>1</v>
      </c>
      <c r="AJ326" s="2"/>
      <c r="AQ326" s="2">
        <v>1</v>
      </c>
      <c r="AR326" s="2" t="s">
        <v>535</v>
      </c>
      <c r="AS326" s="27">
        <f>4923+650</f>
        <v>5573</v>
      </c>
      <c r="AV326" s="2" t="s">
        <v>96</v>
      </c>
      <c r="AW326" s="2"/>
      <c r="BA326" s="2"/>
    </row>
    <row r="327" spans="2:53" x14ac:dyDescent="0.2">
      <c r="B327" s="2">
        <v>200</v>
      </c>
      <c r="C327" s="46" t="s">
        <v>24</v>
      </c>
      <c r="D327" s="2" t="s">
        <v>330</v>
      </c>
      <c r="E327" s="2" t="s">
        <v>136</v>
      </c>
      <c r="F327" s="42" t="s">
        <v>139</v>
      </c>
      <c r="H327" s="5" t="s">
        <v>0</v>
      </c>
      <c r="R327" s="2" t="s">
        <v>938</v>
      </c>
      <c r="S327" s="46" t="s">
        <v>1017</v>
      </c>
      <c r="T327" s="46" t="s">
        <v>1017</v>
      </c>
      <c r="U327" s="46" t="s">
        <v>1017</v>
      </c>
      <c r="V327" s="46" t="s">
        <v>1017</v>
      </c>
      <c r="AA327" s="2"/>
      <c r="AG327" s="2"/>
      <c r="AJ327" s="2"/>
      <c r="AV327" s="2" t="s">
        <v>866</v>
      </c>
      <c r="AW327" s="2"/>
    </row>
    <row r="328" spans="2:53" x14ac:dyDescent="0.2">
      <c r="B328" s="2">
        <v>200</v>
      </c>
      <c r="C328" s="46" t="s">
        <v>24</v>
      </c>
      <c r="D328" s="2" t="s">
        <v>330</v>
      </c>
      <c r="E328" s="2" t="s">
        <v>137</v>
      </c>
      <c r="F328" s="42" t="s">
        <v>140</v>
      </c>
      <c r="H328" s="5" t="s">
        <v>0</v>
      </c>
      <c r="R328" s="2" t="s">
        <v>938</v>
      </c>
      <c r="S328" s="46" t="s">
        <v>1017</v>
      </c>
      <c r="T328" s="46" t="s">
        <v>1017</v>
      </c>
      <c r="U328" s="46" t="s">
        <v>1017</v>
      </c>
      <c r="V328" s="46" t="s">
        <v>1017</v>
      </c>
      <c r="AA328" s="2"/>
      <c r="AG328" s="2"/>
      <c r="AJ328" s="2"/>
      <c r="AV328" s="2" t="s">
        <v>866</v>
      </c>
      <c r="AW328" s="2"/>
    </row>
    <row r="329" spans="2:53" x14ac:dyDescent="0.2">
      <c r="B329" s="2">
        <v>200</v>
      </c>
      <c r="C329" s="46" t="s">
        <v>24</v>
      </c>
      <c r="D329" s="2" t="s">
        <v>330</v>
      </c>
      <c r="E329" s="2" t="s">
        <v>138</v>
      </c>
      <c r="F329" s="42" t="s">
        <v>141</v>
      </c>
      <c r="H329" s="5" t="s">
        <v>0</v>
      </c>
      <c r="R329" s="2" t="s">
        <v>938</v>
      </c>
      <c r="S329" s="46" t="s">
        <v>1017</v>
      </c>
      <c r="T329" s="46" t="s">
        <v>1017</v>
      </c>
      <c r="U329" s="46" t="s">
        <v>1017</v>
      </c>
      <c r="V329" s="46" t="s">
        <v>1017</v>
      </c>
      <c r="AA329" s="2"/>
      <c r="AG329" s="2"/>
      <c r="AJ329" s="2"/>
      <c r="AV329" s="2" t="s">
        <v>866</v>
      </c>
      <c r="AW329" s="2"/>
    </row>
    <row r="330" spans="2:53" x14ac:dyDescent="0.2">
      <c r="B330" s="2">
        <v>200</v>
      </c>
      <c r="C330" s="46" t="s">
        <v>24</v>
      </c>
      <c r="D330" s="2" t="s">
        <v>330</v>
      </c>
      <c r="E330" s="2" t="s">
        <v>480</v>
      </c>
      <c r="F330" s="42" t="s">
        <v>430</v>
      </c>
      <c r="G330" s="3" t="s">
        <v>552</v>
      </c>
      <c r="H330" s="3" t="s">
        <v>881</v>
      </c>
      <c r="K330" s="2">
        <v>1</v>
      </c>
      <c r="O330" s="2">
        <v>0</v>
      </c>
      <c r="P330" s="2" t="s">
        <v>69</v>
      </c>
      <c r="R330" s="2" t="s">
        <v>938</v>
      </c>
      <c r="S330" s="46" t="s">
        <v>1017</v>
      </c>
      <c r="T330" s="46" t="s">
        <v>1017</v>
      </c>
      <c r="U330" s="46" t="s">
        <v>1017</v>
      </c>
      <c r="V330" s="46" t="s">
        <v>1017</v>
      </c>
      <c r="W330" s="2">
        <v>1</v>
      </c>
      <c r="X330" s="2" t="s">
        <v>242</v>
      </c>
      <c r="AB330" s="2">
        <v>1</v>
      </c>
      <c r="AC330" s="2" t="s">
        <v>573</v>
      </c>
      <c r="AD330" s="27">
        <v>3010</v>
      </c>
      <c r="AE330" s="2">
        <v>1</v>
      </c>
      <c r="AF330" s="2" t="s">
        <v>902</v>
      </c>
      <c r="AG330" s="27">
        <v>1210</v>
      </c>
      <c r="AH330" s="2">
        <v>1</v>
      </c>
      <c r="AI330" s="2" t="s">
        <v>229</v>
      </c>
      <c r="AJ330" s="27">
        <f>1220.85+741.6</f>
        <v>1962.4499999999998</v>
      </c>
      <c r="AS330" s="2"/>
      <c r="AV330" s="3" t="s">
        <v>971</v>
      </c>
      <c r="AW330" s="3"/>
      <c r="BA330" s="2"/>
    </row>
    <row r="331" spans="2:53" x14ac:dyDescent="0.2">
      <c r="B331" s="2">
        <v>200</v>
      </c>
      <c r="C331" s="46" t="s">
        <v>24</v>
      </c>
      <c r="D331" s="2" t="s">
        <v>330</v>
      </c>
      <c r="E331" s="2" t="s">
        <v>481</v>
      </c>
      <c r="F331" s="42" t="s">
        <v>431</v>
      </c>
      <c r="G331" s="3" t="s">
        <v>552</v>
      </c>
      <c r="H331" s="3" t="s">
        <v>881</v>
      </c>
      <c r="K331" s="2">
        <v>1</v>
      </c>
      <c r="O331" s="2">
        <v>0</v>
      </c>
      <c r="P331" s="2">
        <v>250</v>
      </c>
      <c r="Q331" s="10" t="s">
        <v>195</v>
      </c>
      <c r="R331" s="10" t="s">
        <v>938</v>
      </c>
      <c r="S331" s="46" t="s">
        <v>1017</v>
      </c>
      <c r="T331" s="46" t="s">
        <v>1017</v>
      </c>
      <c r="U331" s="46" t="s">
        <v>1017</v>
      </c>
      <c r="V331" s="46" t="s">
        <v>1017</v>
      </c>
      <c r="W331" s="2">
        <v>1</v>
      </c>
      <c r="X331" s="2" t="s">
        <v>243</v>
      </c>
      <c r="AB331" s="2">
        <v>1</v>
      </c>
      <c r="AC331" s="2" t="s">
        <v>574</v>
      </c>
      <c r="AD331" s="27">
        <v>3340</v>
      </c>
      <c r="AE331" s="2">
        <v>1</v>
      </c>
      <c r="AF331" s="2" t="s">
        <v>903</v>
      </c>
      <c r="AG331" s="27">
        <v>1352</v>
      </c>
      <c r="AH331" s="2">
        <v>1</v>
      </c>
      <c r="AI331" s="2" t="s">
        <v>229</v>
      </c>
      <c r="AJ331" s="27">
        <f>1220.85+741.6</f>
        <v>1962.4499999999998</v>
      </c>
      <c r="AS331" s="2"/>
      <c r="AV331" s="3" t="s">
        <v>972</v>
      </c>
      <c r="AW331" s="3"/>
      <c r="BA331" s="2"/>
    </row>
    <row r="332" spans="2:53" x14ac:dyDescent="0.2">
      <c r="B332" s="2">
        <v>200</v>
      </c>
      <c r="C332" s="46" t="s">
        <v>24</v>
      </c>
      <c r="D332" s="2" t="s">
        <v>330</v>
      </c>
      <c r="E332" s="2" t="s">
        <v>537</v>
      </c>
      <c r="F332" s="42" t="s">
        <v>432</v>
      </c>
      <c r="G332" s="3" t="s">
        <v>552</v>
      </c>
      <c r="H332" s="3" t="s">
        <v>881</v>
      </c>
      <c r="K332" s="2">
        <v>1</v>
      </c>
      <c r="O332" s="2">
        <v>0</v>
      </c>
      <c r="P332" s="2">
        <v>110</v>
      </c>
      <c r="Q332" s="10" t="s">
        <v>195</v>
      </c>
      <c r="R332" s="10" t="s">
        <v>938</v>
      </c>
      <c r="S332" s="46" t="s">
        <v>1017</v>
      </c>
      <c r="T332" s="46" t="s">
        <v>1017</v>
      </c>
      <c r="U332" s="46" t="s">
        <v>1017</v>
      </c>
      <c r="V332" s="46" t="s">
        <v>1017</v>
      </c>
      <c r="W332" s="2">
        <v>1</v>
      </c>
      <c r="X332" s="2" t="s">
        <v>242</v>
      </c>
      <c r="AB332" s="2">
        <v>1</v>
      </c>
      <c r="AC332" s="2" t="s">
        <v>573</v>
      </c>
      <c r="AD332" s="27">
        <v>3010</v>
      </c>
      <c r="AE332" s="2">
        <v>1</v>
      </c>
      <c r="AF332" s="2" t="s">
        <v>902</v>
      </c>
      <c r="AG332" s="27">
        <v>1210</v>
      </c>
      <c r="AH332" s="2">
        <v>1</v>
      </c>
      <c r="AI332" s="2" t="s">
        <v>229</v>
      </c>
      <c r="AJ332" s="27">
        <f>1220.85+741.6</f>
        <v>1962.4499999999998</v>
      </c>
      <c r="AS332" s="2"/>
      <c r="AV332" s="3" t="s">
        <v>971</v>
      </c>
      <c r="AW332" s="3"/>
      <c r="BA332" s="2"/>
    </row>
    <row r="333" spans="2:53" x14ac:dyDescent="0.2">
      <c r="B333" s="2">
        <v>200</v>
      </c>
      <c r="C333" s="46" t="s">
        <v>24</v>
      </c>
      <c r="D333" s="2" t="s">
        <v>330</v>
      </c>
      <c r="E333" s="2" t="s">
        <v>330</v>
      </c>
      <c r="F333" s="42" t="s">
        <v>392</v>
      </c>
      <c r="H333" s="3" t="s">
        <v>876</v>
      </c>
      <c r="N333" s="2">
        <v>1</v>
      </c>
      <c r="S333" s="46" t="s">
        <v>1017</v>
      </c>
      <c r="T333" s="46" t="s">
        <v>1017</v>
      </c>
      <c r="U333" s="46" t="s">
        <v>1017</v>
      </c>
      <c r="V333" s="46" t="s">
        <v>1017</v>
      </c>
      <c r="AA333" s="2"/>
      <c r="AG333" s="2"/>
      <c r="AJ333" s="2"/>
      <c r="AS333" s="2"/>
      <c r="AT333" s="2">
        <v>1</v>
      </c>
      <c r="AV333" s="3" t="s">
        <v>778</v>
      </c>
      <c r="AW333" s="3"/>
      <c r="AX333" s="1">
        <f>2*2</f>
        <v>4</v>
      </c>
      <c r="AY333" s="2" t="s">
        <v>930</v>
      </c>
      <c r="BA333" s="2"/>
    </row>
    <row r="334" spans="2:53" ht="25.5" x14ac:dyDescent="0.2">
      <c r="B334" s="2">
        <v>400</v>
      </c>
      <c r="C334" s="46" t="s">
        <v>24</v>
      </c>
      <c r="D334" s="2" t="s">
        <v>336</v>
      </c>
      <c r="E334" s="2" t="s">
        <v>336</v>
      </c>
      <c r="F334" s="42" t="s">
        <v>548</v>
      </c>
      <c r="G334" s="3"/>
      <c r="H334" s="3" t="s">
        <v>876</v>
      </c>
      <c r="N334" s="2">
        <v>1</v>
      </c>
      <c r="S334" s="46" t="s">
        <v>1017</v>
      </c>
      <c r="T334" s="46" t="s">
        <v>1017</v>
      </c>
      <c r="U334" s="46" t="s">
        <v>1017</v>
      </c>
      <c r="V334" s="46" t="s">
        <v>1017</v>
      </c>
      <c r="AA334" s="2"/>
      <c r="AG334" s="2"/>
      <c r="AJ334" s="2"/>
      <c r="AS334" s="2"/>
      <c r="AT334" s="2">
        <v>1</v>
      </c>
      <c r="AV334" s="3" t="s">
        <v>778</v>
      </c>
      <c r="AW334" s="3"/>
      <c r="AX334" s="1">
        <f>2*7.6</f>
        <v>15.2</v>
      </c>
      <c r="AY334" s="2" t="s">
        <v>930</v>
      </c>
      <c r="BA334" s="2"/>
    </row>
    <row r="335" spans="2:53" ht="25.5" x14ac:dyDescent="0.2">
      <c r="B335" s="2">
        <v>400</v>
      </c>
      <c r="C335" s="46" t="s">
        <v>24</v>
      </c>
      <c r="D335" s="2" t="s">
        <v>342</v>
      </c>
      <c r="E335" s="2" t="s">
        <v>342</v>
      </c>
      <c r="F335" s="42" t="s">
        <v>549</v>
      </c>
      <c r="G335" s="3"/>
      <c r="H335" s="3" t="s">
        <v>876</v>
      </c>
      <c r="N335" s="2">
        <v>1</v>
      </c>
      <c r="S335" s="46" t="s">
        <v>1017</v>
      </c>
      <c r="T335" s="46" t="s">
        <v>1017</v>
      </c>
      <c r="U335" s="46" t="s">
        <v>1017</v>
      </c>
      <c r="V335" s="46" t="s">
        <v>1017</v>
      </c>
      <c r="AA335" s="2"/>
      <c r="AG335" s="2"/>
      <c r="AJ335" s="2"/>
      <c r="AS335" s="2"/>
      <c r="AT335" s="2">
        <v>1</v>
      </c>
      <c r="AV335" s="2" t="s">
        <v>778</v>
      </c>
      <c r="AW335" s="2"/>
      <c r="AX335" s="1">
        <f>2*7.6</f>
        <v>15.2</v>
      </c>
      <c r="AY335" s="2" t="s">
        <v>930</v>
      </c>
      <c r="BA335" s="2"/>
    </row>
    <row r="336" spans="2:53" x14ac:dyDescent="0.2">
      <c r="B336" s="2">
        <v>100</v>
      </c>
      <c r="C336" s="46" t="s">
        <v>24</v>
      </c>
      <c r="D336" s="2" t="s">
        <v>415</v>
      </c>
      <c r="E336" s="2" t="s">
        <v>415</v>
      </c>
      <c r="F336" s="42" t="s">
        <v>113</v>
      </c>
      <c r="G336" s="3"/>
      <c r="H336" s="3" t="s">
        <v>876</v>
      </c>
      <c r="N336" s="2">
        <v>1</v>
      </c>
      <c r="S336" s="46" t="s">
        <v>997</v>
      </c>
      <c r="T336" s="46">
        <v>1</v>
      </c>
      <c r="U336" s="46">
        <v>19</v>
      </c>
      <c r="V336" s="46" t="s">
        <v>992</v>
      </c>
      <c r="AA336" s="2"/>
      <c r="AG336" s="2"/>
      <c r="AJ336" s="2"/>
      <c r="AS336" s="2"/>
      <c r="AT336" s="2">
        <v>1</v>
      </c>
      <c r="AW336" s="2"/>
      <c r="AX336" s="1">
        <v>22</v>
      </c>
      <c r="AY336" s="2" t="s">
        <v>930</v>
      </c>
      <c r="BA336" s="2"/>
    </row>
    <row r="337" spans="1:54" ht="25.5" x14ac:dyDescent="0.2">
      <c r="B337" s="2">
        <v>500</v>
      </c>
      <c r="C337" s="46" t="s">
        <v>24</v>
      </c>
      <c r="D337" s="2" t="s">
        <v>415</v>
      </c>
      <c r="E337" s="2" t="s">
        <v>883</v>
      </c>
      <c r="F337" s="42" t="s">
        <v>763</v>
      </c>
      <c r="G337" s="5" t="s">
        <v>951</v>
      </c>
      <c r="H337" s="3" t="s">
        <v>881</v>
      </c>
      <c r="K337" s="2">
        <v>1</v>
      </c>
      <c r="O337" s="2">
        <v>0</v>
      </c>
      <c r="P337" s="2">
        <v>2</v>
      </c>
      <c r="Q337" s="2" t="s">
        <v>190</v>
      </c>
      <c r="S337" s="46" t="s">
        <v>1017</v>
      </c>
      <c r="T337" s="46" t="s">
        <v>1017</v>
      </c>
      <c r="U337" s="46" t="s">
        <v>1017</v>
      </c>
      <c r="V337" s="46" t="s">
        <v>1017</v>
      </c>
      <c r="W337" s="2">
        <v>1</v>
      </c>
      <c r="X337" s="2" t="s">
        <v>238</v>
      </c>
      <c r="Y337" s="2">
        <v>1</v>
      </c>
      <c r="Z337" s="2" t="s">
        <v>299</v>
      </c>
      <c r="AA337" s="27">
        <v>570</v>
      </c>
      <c r="AB337" s="2">
        <v>1</v>
      </c>
      <c r="AC337" s="2" t="s">
        <v>568</v>
      </c>
      <c r="AD337" s="27">
        <v>630</v>
      </c>
      <c r="AE337" s="2">
        <v>1</v>
      </c>
      <c r="AH337" s="2">
        <v>1</v>
      </c>
      <c r="AI337" s="2">
        <v>584</v>
      </c>
      <c r="AJ337" s="2"/>
      <c r="AS337" s="2"/>
      <c r="AV337" s="2" t="s">
        <v>584</v>
      </c>
      <c r="AW337" s="2"/>
      <c r="BA337" s="2"/>
    </row>
    <row r="338" spans="1:54" x14ac:dyDescent="0.2">
      <c r="B338" s="2">
        <v>200</v>
      </c>
      <c r="C338" s="46" t="s">
        <v>24</v>
      </c>
      <c r="D338" s="2" t="s">
        <v>325</v>
      </c>
      <c r="E338" s="2" t="s">
        <v>531</v>
      </c>
      <c r="F338" s="42" t="s">
        <v>114</v>
      </c>
      <c r="G338" s="3"/>
      <c r="H338" s="3" t="s">
        <v>357</v>
      </c>
      <c r="N338" s="2">
        <v>1</v>
      </c>
      <c r="S338" s="46" t="s">
        <v>997</v>
      </c>
      <c r="T338" s="46">
        <v>2</v>
      </c>
      <c r="U338" s="46">
        <v>34</v>
      </c>
      <c r="V338" s="46" t="s">
        <v>1008</v>
      </c>
      <c r="AA338" s="2"/>
      <c r="AG338" s="2"/>
      <c r="AJ338" s="2"/>
      <c r="AS338" s="2"/>
      <c r="AW338" s="2"/>
      <c r="BA338" s="2"/>
    </row>
    <row r="339" spans="1:54" x14ac:dyDescent="0.2">
      <c r="B339" s="2">
        <v>200</v>
      </c>
      <c r="C339" s="46" t="s">
        <v>24</v>
      </c>
      <c r="D339" s="2" t="s">
        <v>325</v>
      </c>
      <c r="E339" s="2" t="s">
        <v>3</v>
      </c>
      <c r="F339" s="42" t="s">
        <v>157</v>
      </c>
      <c r="G339" s="3" t="s">
        <v>909</v>
      </c>
      <c r="H339" s="3" t="s">
        <v>881</v>
      </c>
      <c r="K339" s="2">
        <v>1</v>
      </c>
      <c r="O339" s="2">
        <v>0</v>
      </c>
      <c r="P339" s="2">
        <v>10</v>
      </c>
      <c r="Q339" s="2" t="s">
        <v>411</v>
      </c>
      <c r="S339" s="46" t="s">
        <v>1017</v>
      </c>
      <c r="T339" s="46" t="s">
        <v>1017</v>
      </c>
      <c r="U339" s="46" t="s">
        <v>1017</v>
      </c>
      <c r="V339" s="46" t="s">
        <v>1017</v>
      </c>
      <c r="W339" s="2">
        <v>1</v>
      </c>
      <c r="X339" s="2" t="s">
        <v>201</v>
      </c>
      <c r="Y339" s="2">
        <v>1</v>
      </c>
      <c r="Z339" s="2" t="s">
        <v>221</v>
      </c>
      <c r="AA339" s="27">
        <v>650.25</v>
      </c>
      <c r="AB339" s="2">
        <v>1</v>
      </c>
      <c r="AC339" s="2" t="s">
        <v>566</v>
      </c>
      <c r="AD339" s="27">
        <v>263</v>
      </c>
      <c r="AE339" s="2">
        <v>1</v>
      </c>
      <c r="AF339" s="2" t="s">
        <v>898</v>
      </c>
      <c r="AG339" s="27">
        <v>351.27</v>
      </c>
      <c r="AH339" s="2">
        <v>1</v>
      </c>
      <c r="AI339" s="2" t="s">
        <v>234</v>
      </c>
      <c r="AJ339" s="27">
        <v>484</v>
      </c>
      <c r="AS339" s="2"/>
      <c r="AW339" s="2"/>
      <c r="BA339" s="2"/>
    </row>
    <row r="340" spans="1:54" s="35" customFormat="1" x14ac:dyDescent="0.2">
      <c r="A340" s="36"/>
      <c r="B340" s="2">
        <v>200</v>
      </c>
      <c r="C340" s="46" t="s">
        <v>24</v>
      </c>
      <c r="D340" s="2" t="s">
        <v>325</v>
      </c>
      <c r="E340" s="2" t="s">
        <v>325</v>
      </c>
      <c r="F340" s="42" t="s">
        <v>390</v>
      </c>
      <c r="G340" s="3"/>
      <c r="H340" s="3" t="s">
        <v>876</v>
      </c>
      <c r="I340" s="2"/>
      <c r="J340" s="2"/>
      <c r="K340" s="2"/>
      <c r="L340" s="2"/>
      <c r="M340" s="2"/>
      <c r="N340" s="2">
        <v>1</v>
      </c>
      <c r="O340" s="2"/>
      <c r="P340" s="2"/>
      <c r="Q340" s="2"/>
      <c r="R340" s="2"/>
      <c r="S340" s="46" t="s">
        <v>997</v>
      </c>
      <c r="T340" s="46">
        <v>1</v>
      </c>
      <c r="U340" s="46">
        <v>81</v>
      </c>
      <c r="V340" s="46" t="s">
        <v>986</v>
      </c>
      <c r="W340" s="2"/>
      <c r="X340" s="2"/>
      <c r="Y340" s="2"/>
      <c r="Z340" s="2"/>
      <c r="AA340" s="2"/>
      <c r="AB340" s="2"/>
      <c r="AC340" s="2"/>
      <c r="AD340" s="27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>
        <v>1</v>
      </c>
      <c r="AU340" s="2"/>
      <c r="AV340" s="3" t="s">
        <v>5</v>
      </c>
      <c r="AW340" s="29">
        <f>(3723+104)*0.9</f>
        <v>3444.3</v>
      </c>
      <c r="AX340" s="1">
        <v>55</v>
      </c>
      <c r="AY340" s="2" t="s">
        <v>877</v>
      </c>
      <c r="AZ340" s="2"/>
      <c r="BA340" s="2"/>
      <c r="BB340" s="2"/>
    </row>
    <row r="341" spans="1:54" x14ac:dyDescent="0.2">
      <c r="B341" s="2">
        <v>200</v>
      </c>
      <c r="C341" s="46" t="s">
        <v>24</v>
      </c>
      <c r="D341" s="2" t="s">
        <v>326</v>
      </c>
      <c r="E341" s="2" t="s">
        <v>326</v>
      </c>
      <c r="F341" s="42" t="s">
        <v>390</v>
      </c>
      <c r="G341" s="3"/>
      <c r="H341" s="3" t="s">
        <v>876</v>
      </c>
      <c r="N341" s="2">
        <v>1</v>
      </c>
      <c r="S341" s="46" t="s">
        <v>997</v>
      </c>
      <c r="T341" s="46">
        <v>1</v>
      </c>
      <c r="U341" s="46">
        <v>15</v>
      </c>
      <c r="V341" s="46" t="s">
        <v>991</v>
      </c>
      <c r="AA341" s="2"/>
      <c r="AG341" s="2"/>
      <c r="AJ341" s="2"/>
      <c r="AS341" s="2"/>
      <c r="AT341" s="2">
        <v>1</v>
      </c>
      <c r="AW341" s="2"/>
      <c r="AX341" s="1">
        <v>55</v>
      </c>
      <c r="AY341" s="2" t="s">
        <v>68</v>
      </c>
      <c r="BA341" s="2"/>
    </row>
    <row r="342" spans="1:54" x14ac:dyDescent="0.2">
      <c r="B342" s="2">
        <v>200</v>
      </c>
      <c r="C342" s="46" t="s">
        <v>24</v>
      </c>
      <c r="D342" s="2" t="s">
        <v>327</v>
      </c>
      <c r="E342" s="2" t="s">
        <v>327</v>
      </c>
      <c r="F342" s="42" t="s">
        <v>391</v>
      </c>
      <c r="G342" s="3"/>
      <c r="H342" s="3" t="s">
        <v>876</v>
      </c>
      <c r="N342" s="2">
        <v>1</v>
      </c>
      <c r="S342" s="46" t="s">
        <v>997</v>
      </c>
      <c r="T342" s="46">
        <v>1</v>
      </c>
      <c r="U342" s="46">
        <v>22</v>
      </c>
      <c r="V342" s="46" t="s">
        <v>992</v>
      </c>
      <c r="AA342" s="2"/>
      <c r="AG342" s="2"/>
      <c r="AJ342" s="2"/>
      <c r="AS342" s="2"/>
      <c r="AT342" s="2">
        <v>1</v>
      </c>
      <c r="AW342" s="2"/>
      <c r="AX342" s="1">
        <v>18.5</v>
      </c>
      <c r="AY342" s="2" t="s">
        <v>930</v>
      </c>
      <c r="BA342" s="2"/>
    </row>
    <row r="343" spans="1:54" x14ac:dyDescent="0.2">
      <c r="B343" s="2">
        <v>200</v>
      </c>
      <c r="C343" s="46" t="s">
        <v>24</v>
      </c>
      <c r="D343" s="2" t="s">
        <v>425</v>
      </c>
      <c r="E343" s="2" t="s">
        <v>551</v>
      </c>
      <c r="F343" s="42" t="s">
        <v>158</v>
      </c>
      <c r="G343" s="3" t="s">
        <v>909</v>
      </c>
      <c r="H343" s="3" t="s">
        <v>881</v>
      </c>
      <c r="K343" s="2">
        <v>1</v>
      </c>
      <c r="O343" s="2">
        <v>0</v>
      </c>
      <c r="P343" s="2">
        <v>10</v>
      </c>
      <c r="Q343" s="2" t="s">
        <v>411</v>
      </c>
      <c r="S343" s="46" t="s">
        <v>1017</v>
      </c>
      <c r="T343" s="46" t="s">
        <v>1017</v>
      </c>
      <c r="U343" s="46" t="s">
        <v>1017</v>
      </c>
      <c r="V343" s="46" t="s">
        <v>1017</v>
      </c>
      <c r="W343" s="2">
        <v>1</v>
      </c>
      <c r="X343" s="2" t="s">
        <v>201</v>
      </c>
      <c r="Y343" s="2">
        <v>1</v>
      </c>
      <c r="Z343" s="2" t="s">
        <v>221</v>
      </c>
      <c r="AA343" s="27">
        <v>650.25</v>
      </c>
      <c r="AB343" s="2">
        <v>1</v>
      </c>
      <c r="AC343" s="2" t="s">
        <v>566</v>
      </c>
      <c r="AD343" s="27">
        <v>263</v>
      </c>
      <c r="AE343" s="2">
        <v>1</v>
      </c>
      <c r="AF343" s="2" t="s">
        <v>898</v>
      </c>
      <c r="AG343" s="27">
        <v>351.27</v>
      </c>
      <c r="AH343" s="2">
        <v>1</v>
      </c>
      <c r="AI343" s="2" t="s">
        <v>234</v>
      </c>
      <c r="AJ343" s="27">
        <v>484</v>
      </c>
      <c r="AS343" s="2"/>
      <c r="AW343" s="2"/>
      <c r="BA343" s="2"/>
    </row>
    <row r="344" spans="1:54" x14ac:dyDescent="0.2">
      <c r="B344" s="2">
        <v>200</v>
      </c>
      <c r="C344" s="46" t="s">
        <v>24</v>
      </c>
      <c r="D344" s="2" t="s">
        <v>425</v>
      </c>
      <c r="E344" s="2" t="s">
        <v>425</v>
      </c>
      <c r="F344" s="42" t="s">
        <v>426</v>
      </c>
      <c r="G344" s="3"/>
      <c r="H344" s="3" t="s">
        <v>876</v>
      </c>
      <c r="N344" s="2">
        <v>1</v>
      </c>
      <c r="S344" s="46" t="s">
        <v>997</v>
      </c>
      <c r="T344" s="46">
        <v>1</v>
      </c>
      <c r="U344" s="46">
        <v>53</v>
      </c>
      <c r="V344" s="46" t="s">
        <v>998</v>
      </c>
      <c r="AA344" s="2"/>
      <c r="AG344" s="2"/>
      <c r="AJ344" s="2"/>
      <c r="AS344" s="2"/>
      <c r="AT344" s="2">
        <v>1</v>
      </c>
      <c r="AV344" s="2" t="s">
        <v>973</v>
      </c>
      <c r="AW344" s="2"/>
      <c r="AX344" s="1">
        <v>11</v>
      </c>
      <c r="AY344" s="2" t="s">
        <v>930</v>
      </c>
      <c r="BA344" s="2"/>
    </row>
    <row r="345" spans="1:54" x14ac:dyDescent="0.2">
      <c r="B345" s="2">
        <v>400</v>
      </c>
      <c r="C345" s="46" t="s">
        <v>24</v>
      </c>
      <c r="D345" s="2" t="s">
        <v>344</v>
      </c>
      <c r="E345" s="2" t="s">
        <v>280</v>
      </c>
      <c r="F345" s="42" t="s">
        <v>583</v>
      </c>
      <c r="G345" s="5" t="s">
        <v>951</v>
      </c>
      <c r="H345" s="3" t="s">
        <v>881</v>
      </c>
      <c r="K345" s="2">
        <v>1</v>
      </c>
      <c r="O345" s="2">
        <v>0</v>
      </c>
      <c r="P345" s="2">
        <v>2</v>
      </c>
      <c r="Q345" s="2" t="s">
        <v>190</v>
      </c>
      <c r="S345" s="46" t="s">
        <v>1017</v>
      </c>
      <c r="T345" s="46" t="s">
        <v>1017</v>
      </c>
      <c r="U345" s="46" t="s">
        <v>1017</v>
      </c>
      <c r="V345" s="46" t="s">
        <v>1017</v>
      </c>
      <c r="W345" s="2">
        <v>1</v>
      </c>
      <c r="X345" s="2" t="s">
        <v>238</v>
      </c>
      <c r="Y345" s="2">
        <v>1</v>
      </c>
      <c r="Z345" s="2" t="s">
        <v>299</v>
      </c>
      <c r="AA345" s="27">
        <v>570</v>
      </c>
      <c r="AB345" s="2">
        <v>1</v>
      </c>
      <c r="AC345" s="2" t="s">
        <v>568</v>
      </c>
      <c r="AD345" s="27">
        <v>630</v>
      </c>
      <c r="AE345" s="2">
        <v>1</v>
      </c>
      <c r="AH345" s="2">
        <v>1</v>
      </c>
      <c r="AI345" s="2">
        <v>584</v>
      </c>
      <c r="AJ345" s="2"/>
      <c r="AS345" s="2"/>
      <c r="AV345" s="2" t="s">
        <v>584</v>
      </c>
      <c r="AW345" s="2"/>
      <c r="BA345" s="2"/>
    </row>
    <row r="346" spans="1:54" x14ac:dyDescent="0.2">
      <c r="B346" s="2">
        <v>400</v>
      </c>
      <c r="C346" s="46" t="s">
        <v>24</v>
      </c>
      <c r="D346" s="2" t="s">
        <v>344</v>
      </c>
      <c r="E346" s="2" t="s">
        <v>344</v>
      </c>
      <c r="F346" s="42" t="s">
        <v>550</v>
      </c>
      <c r="G346" s="3"/>
      <c r="H346" s="3" t="s">
        <v>876</v>
      </c>
      <c r="N346" s="2">
        <v>1</v>
      </c>
      <c r="S346" s="46" t="s">
        <v>997</v>
      </c>
      <c r="T346" s="46">
        <v>1</v>
      </c>
      <c r="U346" s="46">
        <v>35</v>
      </c>
      <c r="V346" s="46" t="s">
        <v>992</v>
      </c>
      <c r="AA346" s="2"/>
      <c r="AG346" s="2"/>
      <c r="AJ346" s="2"/>
      <c r="AS346" s="2"/>
      <c r="AT346" s="2">
        <v>1</v>
      </c>
      <c r="AW346" s="2"/>
      <c r="AX346" s="1">
        <v>18.5</v>
      </c>
      <c r="AY346" s="2" t="s">
        <v>930</v>
      </c>
      <c r="BA346" s="2"/>
    </row>
    <row r="347" spans="1:54" x14ac:dyDescent="0.2">
      <c r="B347" s="2">
        <v>400</v>
      </c>
      <c r="C347" s="46" t="s">
        <v>24</v>
      </c>
      <c r="D347" s="2" t="s">
        <v>26</v>
      </c>
      <c r="E347" s="2" t="s">
        <v>26</v>
      </c>
      <c r="F347" s="42" t="s">
        <v>27</v>
      </c>
      <c r="G347" s="3"/>
      <c r="H347" s="3" t="s">
        <v>876</v>
      </c>
      <c r="N347" s="2">
        <v>1</v>
      </c>
      <c r="S347" s="46" t="s">
        <v>997</v>
      </c>
      <c r="T347" s="46">
        <v>1</v>
      </c>
      <c r="U347" s="46">
        <v>64</v>
      </c>
      <c r="V347" s="46" t="s">
        <v>998</v>
      </c>
      <c r="AA347" s="2"/>
      <c r="AG347" s="2"/>
      <c r="AJ347" s="2"/>
      <c r="AS347" s="2"/>
      <c r="AV347" s="2" t="s">
        <v>28</v>
      </c>
      <c r="AW347" s="2"/>
      <c r="AX347" s="1">
        <v>11</v>
      </c>
      <c r="AY347" s="2" t="s">
        <v>930</v>
      </c>
      <c r="BA347" s="2"/>
    </row>
    <row r="348" spans="1:54" x14ac:dyDescent="0.2">
      <c r="B348" s="2">
        <v>500</v>
      </c>
      <c r="C348" s="46" t="s">
        <v>24</v>
      </c>
      <c r="D348" s="2" t="s">
        <v>581</v>
      </c>
      <c r="E348" s="2" t="s">
        <v>602</v>
      </c>
      <c r="F348" s="42" t="s">
        <v>603</v>
      </c>
      <c r="G348" s="3" t="s">
        <v>552</v>
      </c>
      <c r="H348" s="3" t="s">
        <v>881</v>
      </c>
      <c r="K348" s="2">
        <v>1</v>
      </c>
      <c r="O348" s="2">
        <v>0</v>
      </c>
      <c r="P348" s="2">
        <v>400</v>
      </c>
      <c r="Q348" s="2" t="s">
        <v>195</v>
      </c>
      <c r="S348" s="46" t="s">
        <v>1017</v>
      </c>
      <c r="T348" s="46" t="s">
        <v>1017</v>
      </c>
      <c r="U348" s="46" t="s">
        <v>1017</v>
      </c>
      <c r="V348" s="46" t="s">
        <v>1017</v>
      </c>
      <c r="W348" s="2">
        <v>1</v>
      </c>
      <c r="X348" s="2" t="s">
        <v>281</v>
      </c>
      <c r="AB348" s="2">
        <v>1</v>
      </c>
      <c r="AC348" s="2" t="s">
        <v>578</v>
      </c>
      <c r="AD348" s="27">
        <v>4770</v>
      </c>
      <c r="AE348" s="2">
        <v>1</v>
      </c>
      <c r="AF348" s="2" t="s">
        <v>906</v>
      </c>
      <c r="AG348" s="27">
        <v>1994</v>
      </c>
      <c r="AH348" s="2">
        <v>1</v>
      </c>
      <c r="AI348" s="2" t="s">
        <v>231</v>
      </c>
      <c r="AJ348" s="27">
        <f>2196.45+725.4</f>
        <v>2921.85</v>
      </c>
      <c r="AS348" s="2"/>
      <c r="AV348" s="2" t="s">
        <v>974</v>
      </c>
      <c r="AW348" s="2"/>
      <c r="BA348" s="2"/>
    </row>
    <row r="349" spans="1:54" x14ac:dyDescent="0.2">
      <c r="B349" s="2">
        <v>500</v>
      </c>
      <c r="C349" s="46" t="s">
        <v>24</v>
      </c>
      <c r="D349" s="2" t="s">
        <v>581</v>
      </c>
      <c r="E349" s="2" t="s">
        <v>307</v>
      </c>
      <c r="F349" s="42" t="s">
        <v>308</v>
      </c>
      <c r="H349" s="3" t="s">
        <v>0</v>
      </c>
      <c r="S349" s="46" t="s">
        <v>1017</v>
      </c>
      <c r="T349" s="46" t="s">
        <v>1017</v>
      </c>
      <c r="U349" s="46" t="s">
        <v>1017</v>
      </c>
      <c r="V349" s="46" t="s">
        <v>1017</v>
      </c>
      <c r="AA349" s="2"/>
      <c r="AG349" s="2"/>
      <c r="AJ349" s="2"/>
      <c r="AS349" s="2"/>
      <c r="AV349" s="3"/>
      <c r="AW349" s="3"/>
      <c r="BA349" s="2"/>
    </row>
    <row r="350" spans="1:54" s="24" customFormat="1" x14ac:dyDescent="0.2">
      <c r="A350" s="36"/>
      <c r="B350" s="2">
        <v>500</v>
      </c>
      <c r="C350" s="46" t="s">
        <v>24</v>
      </c>
      <c r="D350" s="2" t="s">
        <v>581</v>
      </c>
      <c r="E350" s="2" t="s">
        <v>303</v>
      </c>
      <c r="F350" s="42" t="s">
        <v>306</v>
      </c>
      <c r="G350" s="2"/>
      <c r="H350" s="3" t="s">
        <v>357</v>
      </c>
      <c r="I350" s="2"/>
      <c r="J350" s="2"/>
      <c r="K350" s="2"/>
      <c r="L350" s="2"/>
      <c r="M350" s="2"/>
      <c r="N350" s="2">
        <v>1</v>
      </c>
      <c r="O350" s="2"/>
      <c r="P350" s="2"/>
      <c r="Q350" s="2"/>
      <c r="R350" s="2"/>
      <c r="S350" s="46" t="s">
        <v>1017</v>
      </c>
      <c r="T350" s="46" t="s">
        <v>1017</v>
      </c>
      <c r="U350" s="46" t="s">
        <v>1017</v>
      </c>
      <c r="V350" s="46" t="s">
        <v>1017</v>
      </c>
      <c r="W350" s="2"/>
      <c r="X350" s="2"/>
      <c r="Y350" s="2"/>
      <c r="Z350" s="2"/>
      <c r="AA350" s="2"/>
      <c r="AB350" s="2"/>
      <c r="AC350" s="2"/>
      <c r="AD350" s="27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3"/>
      <c r="AW350" s="3"/>
      <c r="AX350" s="1"/>
      <c r="AY350" s="2"/>
      <c r="AZ350" s="2"/>
      <c r="BA350" s="2"/>
      <c r="BB350" s="2"/>
    </row>
    <row r="351" spans="1:54" x14ac:dyDescent="0.2">
      <c r="B351" s="2">
        <v>500</v>
      </c>
      <c r="C351" s="46" t="s">
        <v>24</v>
      </c>
      <c r="D351" s="2" t="s">
        <v>581</v>
      </c>
      <c r="E351" s="2" t="s">
        <v>219</v>
      </c>
      <c r="F351" s="42" t="s">
        <v>304</v>
      </c>
      <c r="G351" s="3" t="s">
        <v>909</v>
      </c>
      <c r="H351" s="3" t="s">
        <v>881</v>
      </c>
      <c r="K351" s="2">
        <v>1</v>
      </c>
      <c r="O351" s="2">
        <v>0</v>
      </c>
      <c r="P351" s="2">
        <v>5</v>
      </c>
      <c r="Q351" s="2" t="s">
        <v>411</v>
      </c>
      <c r="S351" s="46" t="s">
        <v>1017</v>
      </c>
      <c r="T351" s="46" t="s">
        <v>1017</v>
      </c>
      <c r="U351" s="46" t="s">
        <v>1017</v>
      </c>
      <c r="V351" s="46" t="s">
        <v>1017</v>
      </c>
      <c r="W351" s="2">
        <v>1</v>
      </c>
      <c r="X351" s="2" t="s">
        <v>220</v>
      </c>
      <c r="Y351" s="2">
        <v>1</v>
      </c>
      <c r="Z351" s="2" t="s">
        <v>221</v>
      </c>
      <c r="AA351" s="27">
        <v>650.25</v>
      </c>
      <c r="AB351" s="2">
        <v>1</v>
      </c>
      <c r="AC351" s="2" t="s">
        <v>566</v>
      </c>
      <c r="AD351" s="27">
        <v>263</v>
      </c>
      <c r="AE351" s="2">
        <v>1</v>
      </c>
      <c r="AF351" s="2" t="s">
        <v>898</v>
      </c>
      <c r="AG351" s="27">
        <v>351.27</v>
      </c>
      <c r="AH351" s="2">
        <v>1</v>
      </c>
      <c r="AI351" s="2" t="s">
        <v>234</v>
      </c>
      <c r="AJ351" s="27">
        <v>484</v>
      </c>
      <c r="AS351" s="2"/>
      <c r="AV351" s="3"/>
      <c r="AW351" s="3"/>
      <c r="BA351" s="2"/>
    </row>
    <row r="352" spans="1:54" x14ac:dyDescent="0.2">
      <c r="B352" s="2">
        <v>500</v>
      </c>
      <c r="C352" s="46" t="s">
        <v>24</v>
      </c>
      <c r="D352" s="2" t="s">
        <v>581</v>
      </c>
      <c r="E352" s="2" t="s">
        <v>764</v>
      </c>
      <c r="F352" s="42" t="s">
        <v>491</v>
      </c>
      <c r="G352" s="5" t="s">
        <v>929</v>
      </c>
      <c r="H352" s="3" t="s">
        <v>880</v>
      </c>
      <c r="J352" s="2">
        <v>1</v>
      </c>
      <c r="S352" s="46" t="s">
        <v>1017</v>
      </c>
      <c r="T352" s="46" t="s">
        <v>1017</v>
      </c>
      <c r="U352" s="46" t="s">
        <v>1017</v>
      </c>
      <c r="V352" s="46" t="s">
        <v>1017</v>
      </c>
      <c r="AA352" s="2"/>
      <c r="AG352" s="2"/>
      <c r="AJ352" s="2"/>
      <c r="AS352" s="2"/>
      <c r="AV352" s="2" t="s">
        <v>895</v>
      </c>
      <c r="AW352" s="2"/>
      <c r="BA352" s="2"/>
    </row>
    <row r="353" spans="2:53" x14ac:dyDescent="0.2">
      <c r="B353" s="2">
        <v>500</v>
      </c>
      <c r="C353" s="46" t="s">
        <v>24</v>
      </c>
      <c r="D353" s="2" t="s">
        <v>581</v>
      </c>
      <c r="E353" s="2" t="s">
        <v>765</v>
      </c>
      <c r="F353" s="42" t="s">
        <v>490</v>
      </c>
      <c r="G353" s="5" t="s">
        <v>929</v>
      </c>
      <c r="H353" s="3" t="s">
        <v>880</v>
      </c>
      <c r="J353" s="2">
        <v>1</v>
      </c>
      <c r="S353" s="46" t="s">
        <v>1017</v>
      </c>
      <c r="T353" s="46" t="s">
        <v>1017</v>
      </c>
      <c r="U353" s="46" t="s">
        <v>1017</v>
      </c>
      <c r="V353" s="46" t="s">
        <v>1017</v>
      </c>
      <c r="AA353" s="2"/>
      <c r="AG353" s="2"/>
      <c r="AJ353" s="2"/>
      <c r="AS353" s="2"/>
      <c r="AV353" s="2" t="s">
        <v>895</v>
      </c>
      <c r="AW353" s="2"/>
      <c r="BA353" s="2"/>
    </row>
    <row r="354" spans="2:53" x14ac:dyDescent="0.2">
      <c r="B354" s="2">
        <v>500</v>
      </c>
      <c r="C354" s="46" t="s">
        <v>24</v>
      </c>
      <c r="D354" s="2" t="s">
        <v>581</v>
      </c>
      <c r="E354" s="2" t="s">
        <v>766</v>
      </c>
      <c r="F354" s="42" t="s">
        <v>489</v>
      </c>
      <c r="G354" s="5" t="s">
        <v>929</v>
      </c>
      <c r="H354" s="3" t="s">
        <v>880</v>
      </c>
      <c r="J354" s="2">
        <v>1</v>
      </c>
      <c r="S354" s="46" t="s">
        <v>1017</v>
      </c>
      <c r="T354" s="46" t="s">
        <v>1017</v>
      </c>
      <c r="U354" s="46" t="s">
        <v>1017</v>
      </c>
      <c r="V354" s="46" t="s">
        <v>1017</v>
      </c>
      <c r="AA354" s="2"/>
      <c r="AG354" s="2"/>
      <c r="AJ354" s="2"/>
      <c r="AS354" s="2"/>
      <c r="AV354" s="2" t="s">
        <v>895</v>
      </c>
      <c r="AW354" s="2"/>
      <c r="BA354" s="2"/>
    </row>
    <row r="355" spans="2:53" x14ac:dyDescent="0.2">
      <c r="B355" s="2">
        <v>500</v>
      </c>
      <c r="C355" s="46" t="s">
        <v>24</v>
      </c>
      <c r="D355" s="2" t="s">
        <v>581</v>
      </c>
      <c r="E355" s="2" t="s">
        <v>767</v>
      </c>
      <c r="F355" s="42" t="s">
        <v>488</v>
      </c>
      <c r="G355" s="5" t="s">
        <v>929</v>
      </c>
      <c r="H355" s="3" t="s">
        <v>880</v>
      </c>
      <c r="J355" s="2">
        <v>1</v>
      </c>
      <c r="S355" s="46" t="s">
        <v>1017</v>
      </c>
      <c r="T355" s="46" t="s">
        <v>1017</v>
      </c>
      <c r="U355" s="46" t="s">
        <v>1017</v>
      </c>
      <c r="V355" s="46" t="s">
        <v>1017</v>
      </c>
      <c r="AA355" s="2"/>
      <c r="AG355" s="2"/>
      <c r="AJ355" s="2"/>
      <c r="AS355" s="2"/>
      <c r="AV355" s="2" t="s">
        <v>895</v>
      </c>
      <c r="AW355" s="2"/>
      <c r="BA355" s="2"/>
    </row>
    <row r="356" spans="2:53" x14ac:dyDescent="0.2">
      <c r="B356" s="2">
        <v>500</v>
      </c>
      <c r="C356" s="46" t="s">
        <v>24</v>
      </c>
      <c r="D356" s="2" t="s">
        <v>581</v>
      </c>
      <c r="E356" s="2" t="s">
        <v>768</v>
      </c>
      <c r="F356" s="42" t="s">
        <v>487</v>
      </c>
      <c r="G356" s="5" t="s">
        <v>929</v>
      </c>
      <c r="H356" s="3" t="s">
        <v>880</v>
      </c>
      <c r="J356" s="2">
        <v>1</v>
      </c>
      <c r="S356" s="46" t="s">
        <v>1017</v>
      </c>
      <c r="T356" s="46" t="s">
        <v>1017</v>
      </c>
      <c r="U356" s="46" t="s">
        <v>1017</v>
      </c>
      <c r="V356" s="46" t="s">
        <v>1017</v>
      </c>
      <c r="AA356" s="2"/>
      <c r="AG356" s="2"/>
      <c r="AJ356" s="2"/>
      <c r="AS356" s="2"/>
      <c r="AV356" s="2" t="s">
        <v>895</v>
      </c>
      <c r="AW356" s="2"/>
      <c r="BA356" s="2"/>
    </row>
    <row r="357" spans="2:53" x14ac:dyDescent="0.2">
      <c r="B357" s="2">
        <v>500</v>
      </c>
      <c r="C357" s="46" t="s">
        <v>24</v>
      </c>
      <c r="D357" s="2" t="s">
        <v>581</v>
      </c>
      <c r="E357" s="2" t="s">
        <v>793</v>
      </c>
      <c r="F357" s="42" t="s">
        <v>492</v>
      </c>
      <c r="G357" s="5" t="s">
        <v>929</v>
      </c>
      <c r="H357" s="3" t="s">
        <v>880</v>
      </c>
      <c r="J357" s="2">
        <v>1</v>
      </c>
      <c r="S357" s="46" t="s">
        <v>1017</v>
      </c>
      <c r="T357" s="46" t="s">
        <v>1017</v>
      </c>
      <c r="U357" s="46" t="s">
        <v>1017</v>
      </c>
      <c r="V357" s="46" t="s">
        <v>1017</v>
      </c>
      <c r="AA357" s="2"/>
      <c r="AG357" s="2"/>
      <c r="AJ357" s="2"/>
      <c r="AS357" s="2"/>
      <c r="AV357" s="2" t="s">
        <v>895</v>
      </c>
      <c r="AW357" s="2"/>
      <c r="BA357" s="2"/>
    </row>
    <row r="358" spans="2:53" x14ac:dyDescent="0.2">
      <c r="B358" s="2">
        <v>500</v>
      </c>
      <c r="C358" s="46" t="s">
        <v>24</v>
      </c>
      <c r="D358" s="2" t="s">
        <v>581</v>
      </c>
      <c r="E358" s="2" t="s">
        <v>581</v>
      </c>
      <c r="F358" s="42" t="s">
        <v>600</v>
      </c>
      <c r="H358" s="3" t="s">
        <v>876</v>
      </c>
      <c r="N358" s="2">
        <v>1</v>
      </c>
      <c r="S358" s="46" t="s">
        <v>997</v>
      </c>
      <c r="T358" s="46">
        <v>1</v>
      </c>
      <c r="U358" s="46">
        <v>85</v>
      </c>
      <c r="V358" s="46" t="s">
        <v>986</v>
      </c>
      <c r="AA358" s="2"/>
      <c r="AG358" s="2"/>
      <c r="AJ358" s="2"/>
      <c r="AS358" s="2"/>
      <c r="AT358" s="2">
        <v>1</v>
      </c>
      <c r="AV358" s="3" t="s">
        <v>8</v>
      </c>
      <c r="AW358" s="29">
        <f>(3231+104)*0.9</f>
        <v>3001.5</v>
      </c>
      <c r="AX358" s="1">
        <v>37</v>
      </c>
      <c r="AY358" s="2" t="s">
        <v>877</v>
      </c>
      <c r="BA358" s="2"/>
    </row>
    <row r="359" spans="2:53" x14ac:dyDescent="0.2">
      <c r="B359" s="2">
        <v>500</v>
      </c>
      <c r="C359" s="46" t="s">
        <v>24</v>
      </c>
      <c r="D359" s="2" t="s">
        <v>581</v>
      </c>
      <c r="E359" s="2" t="s">
        <v>87</v>
      </c>
      <c r="F359" s="42" t="s">
        <v>89</v>
      </c>
      <c r="H359" s="5" t="s">
        <v>876</v>
      </c>
      <c r="S359" s="46" t="s">
        <v>997</v>
      </c>
      <c r="T359" s="46">
        <v>1</v>
      </c>
      <c r="U359" s="46">
        <v>40</v>
      </c>
      <c r="V359" s="46" t="s">
        <v>992</v>
      </c>
      <c r="AA359" s="2"/>
      <c r="AG359" s="2"/>
      <c r="AJ359" s="2"/>
      <c r="AS359" s="2"/>
      <c r="AT359" s="2">
        <v>1</v>
      </c>
      <c r="AV359" s="3"/>
      <c r="AW359" s="3"/>
      <c r="AX359" s="1">
        <v>37</v>
      </c>
      <c r="AY359" s="2" t="s">
        <v>930</v>
      </c>
      <c r="BA359" s="2"/>
    </row>
    <row r="360" spans="2:53" x14ac:dyDescent="0.2">
      <c r="B360" s="2">
        <v>600</v>
      </c>
      <c r="C360" s="46" t="s">
        <v>24</v>
      </c>
      <c r="D360" s="2" t="s">
        <v>346</v>
      </c>
      <c r="E360" s="2" t="s">
        <v>353</v>
      </c>
      <c r="F360" s="42" t="s">
        <v>285</v>
      </c>
      <c r="G360" s="3" t="s">
        <v>909</v>
      </c>
      <c r="H360" s="2" t="s">
        <v>881</v>
      </c>
      <c r="K360" s="2">
        <v>1</v>
      </c>
      <c r="O360" s="2">
        <v>0</v>
      </c>
      <c r="P360" s="2">
        <v>5</v>
      </c>
      <c r="Q360" s="2" t="s">
        <v>411</v>
      </c>
      <c r="S360" s="46" t="s">
        <v>1017</v>
      </c>
      <c r="T360" s="46" t="s">
        <v>1017</v>
      </c>
      <c r="U360" s="46" t="s">
        <v>1017</v>
      </c>
      <c r="V360" s="46" t="s">
        <v>1017</v>
      </c>
      <c r="W360" s="2">
        <v>1</v>
      </c>
      <c r="X360" s="2" t="s">
        <v>220</v>
      </c>
      <c r="Y360" s="2">
        <v>1</v>
      </c>
      <c r="Z360" s="2" t="s">
        <v>298</v>
      </c>
      <c r="AA360" s="27">
        <v>650.25</v>
      </c>
      <c r="AB360" s="2">
        <v>1</v>
      </c>
      <c r="AC360" s="2" t="s">
        <v>566</v>
      </c>
      <c r="AD360" s="27">
        <v>263</v>
      </c>
      <c r="AE360" s="2">
        <v>1</v>
      </c>
      <c r="AF360" s="2" t="s">
        <v>898</v>
      </c>
      <c r="AG360" s="27">
        <v>351.27</v>
      </c>
      <c r="AH360" s="2">
        <v>1</v>
      </c>
      <c r="AI360" s="2" t="s">
        <v>234</v>
      </c>
      <c r="AJ360" s="27">
        <v>484</v>
      </c>
      <c r="AK360" s="2">
        <v>1</v>
      </c>
      <c r="AL360" s="2" t="s">
        <v>206</v>
      </c>
      <c r="AM360" s="2">
        <f>423+33</f>
        <v>456</v>
      </c>
      <c r="AS360" s="2"/>
      <c r="AV360" s="3" t="s">
        <v>294</v>
      </c>
      <c r="AW360" s="3"/>
      <c r="BA360" s="2"/>
    </row>
    <row r="361" spans="2:53" x14ac:dyDescent="0.2">
      <c r="B361" s="2">
        <v>600</v>
      </c>
      <c r="C361" s="46" t="s">
        <v>30</v>
      </c>
      <c r="D361" s="2" t="s">
        <v>346</v>
      </c>
      <c r="E361" s="2" t="s">
        <v>354</v>
      </c>
      <c r="F361" s="42" t="s">
        <v>506</v>
      </c>
      <c r="H361" s="2" t="s">
        <v>0</v>
      </c>
      <c r="S361" s="46" t="s">
        <v>1017</v>
      </c>
      <c r="T361" s="46" t="s">
        <v>1017</v>
      </c>
      <c r="U361" s="46" t="s">
        <v>1017</v>
      </c>
      <c r="V361" s="46" t="s">
        <v>1017</v>
      </c>
      <c r="AA361" s="2"/>
      <c r="AG361" s="2"/>
      <c r="AJ361" s="2"/>
      <c r="AS361" s="2"/>
      <c r="AV361" s="2" t="s">
        <v>866</v>
      </c>
      <c r="AW361" s="2"/>
      <c r="BA361" s="2"/>
    </row>
    <row r="362" spans="2:53" x14ac:dyDescent="0.2">
      <c r="B362" s="2">
        <v>600</v>
      </c>
      <c r="C362" s="46" t="s">
        <v>30</v>
      </c>
      <c r="D362" s="2" t="s">
        <v>346</v>
      </c>
      <c r="E362" s="2" t="s">
        <v>355</v>
      </c>
      <c r="F362" s="42" t="s">
        <v>356</v>
      </c>
      <c r="H362" s="2" t="s">
        <v>357</v>
      </c>
      <c r="N362" s="2">
        <v>1</v>
      </c>
      <c r="S362" s="46" t="s">
        <v>1017</v>
      </c>
      <c r="T362" s="46" t="s">
        <v>1017</v>
      </c>
      <c r="U362" s="46" t="s">
        <v>1017</v>
      </c>
      <c r="V362" s="46" t="s">
        <v>1017</v>
      </c>
      <c r="AA362" s="2"/>
      <c r="AE362" s="2">
        <v>1</v>
      </c>
      <c r="AJ362" s="2"/>
      <c r="AS362" s="2"/>
      <c r="AV362" s="3" t="s">
        <v>862</v>
      </c>
      <c r="AW362" s="3"/>
      <c r="BA362" s="2"/>
    </row>
    <row r="363" spans="2:53" x14ac:dyDescent="0.2">
      <c r="B363" s="2">
        <v>600</v>
      </c>
      <c r="C363" s="46" t="s">
        <v>30</v>
      </c>
      <c r="D363" s="2" t="s">
        <v>346</v>
      </c>
      <c r="E363" s="2" t="s">
        <v>346</v>
      </c>
      <c r="F363" s="42" t="s">
        <v>615</v>
      </c>
      <c r="H363" s="3" t="s">
        <v>876</v>
      </c>
      <c r="N363" s="2">
        <v>1</v>
      </c>
      <c r="S363" s="46" t="s">
        <v>997</v>
      </c>
      <c r="T363" s="46">
        <v>1</v>
      </c>
      <c r="U363" s="46">
        <v>22</v>
      </c>
      <c r="V363" s="46" t="s">
        <v>986</v>
      </c>
      <c r="AA363" s="27">
        <v>650.25</v>
      </c>
      <c r="AG363" s="2"/>
      <c r="AJ363" s="2"/>
      <c r="AS363" s="2"/>
      <c r="AT363" s="2">
        <v>1</v>
      </c>
      <c r="AV363" s="3" t="s">
        <v>8</v>
      </c>
      <c r="AW363" s="29">
        <f>(3231+104)*0.9</f>
        <v>3001.5</v>
      </c>
      <c r="AX363" s="1">
        <v>37</v>
      </c>
      <c r="AY363" s="2" t="s">
        <v>877</v>
      </c>
      <c r="BA363" s="2"/>
    </row>
    <row r="364" spans="2:53" x14ac:dyDescent="0.2">
      <c r="B364" s="2">
        <v>600</v>
      </c>
      <c r="C364" s="46" t="s">
        <v>30</v>
      </c>
      <c r="D364" s="2" t="s">
        <v>347</v>
      </c>
      <c r="E364" s="2" t="s">
        <v>347</v>
      </c>
      <c r="F364" s="42" t="s">
        <v>427</v>
      </c>
      <c r="G364" s="3"/>
      <c r="H364" s="3" t="s">
        <v>876</v>
      </c>
      <c r="N364" s="2">
        <v>1</v>
      </c>
      <c r="S364" s="46" t="s">
        <v>997</v>
      </c>
      <c r="T364" s="46">
        <v>1</v>
      </c>
      <c r="U364" s="46">
        <v>23</v>
      </c>
      <c r="V364" s="46" t="s">
        <v>991</v>
      </c>
      <c r="AA364" s="2"/>
      <c r="AG364" s="2"/>
      <c r="AJ364" s="2"/>
      <c r="AS364" s="2"/>
      <c r="AT364" s="2">
        <v>1</v>
      </c>
      <c r="AW364" s="2"/>
      <c r="AX364" s="1">
        <v>90</v>
      </c>
      <c r="AY364" s="2" t="s">
        <v>68</v>
      </c>
      <c r="BA364" s="2"/>
    </row>
    <row r="365" spans="2:53" x14ac:dyDescent="0.2">
      <c r="B365" s="2">
        <v>600</v>
      </c>
      <c r="C365" s="46" t="s">
        <v>30</v>
      </c>
      <c r="D365" s="2" t="s">
        <v>348</v>
      </c>
      <c r="E365" s="2" t="s">
        <v>617</v>
      </c>
      <c r="F365" s="42" t="s">
        <v>506</v>
      </c>
      <c r="H365" s="2" t="s">
        <v>0</v>
      </c>
      <c r="S365" s="46" t="s">
        <v>1017</v>
      </c>
      <c r="T365" s="46" t="s">
        <v>1017</v>
      </c>
      <c r="U365" s="46" t="s">
        <v>1017</v>
      </c>
      <c r="V365" s="46" t="s">
        <v>1017</v>
      </c>
      <c r="AA365" s="2"/>
      <c r="AG365" s="2"/>
      <c r="AJ365" s="2"/>
      <c r="AS365" s="2"/>
      <c r="AV365" s="2" t="s">
        <v>866</v>
      </c>
      <c r="AW365" s="2"/>
      <c r="BA365" s="2"/>
    </row>
    <row r="366" spans="2:53" x14ac:dyDescent="0.2">
      <c r="B366" s="2">
        <v>600</v>
      </c>
      <c r="C366" s="46" t="s">
        <v>30</v>
      </c>
      <c r="D366" s="2" t="s">
        <v>348</v>
      </c>
      <c r="E366" s="2" t="s">
        <v>618</v>
      </c>
      <c r="F366" s="42" t="s">
        <v>865</v>
      </c>
      <c r="H366" s="2" t="s">
        <v>357</v>
      </c>
      <c r="N366" s="2">
        <v>1</v>
      </c>
      <c r="S366" s="46" t="s">
        <v>1017</v>
      </c>
      <c r="T366" s="46" t="s">
        <v>1017</v>
      </c>
      <c r="U366" s="46" t="s">
        <v>1017</v>
      </c>
      <c r="V366" s="46" t="s">
        <v>1017</v>
      </c>
      <c r="AA366" s="2"/>
      <c r="AE366" s="2">
        <v>1</v>
      </c>
      <c r="AJ366" s="2"/>
      <c r="AS366" s="2"/>
      <c r="AV366" s="3" t="s">
        <v>862</v>
      </c>
      <c r="AW366" s="3"/>
      <c r="BA366" s="2"/>
    </row>
    <row r="367" spans="2:53" x14ac:dyDescent="0.2">
      <c r="B367" s="2">
        <v>600</v>
      </c>
      <c r="C367" s="46" t="s">
        <v>30</v>
      </c>
      <c r="D367" s="2" t="s">
        <v>348</v>
      </c>
      <c r="E367" s="2" t="s">
        <v>619</v>
      </c>
      <c r="F367" s="42" t="s">
        <v>286</v>
      </c>
      <c r="G367" s="3" t="s">
        <v>909</v>
      </c>
      <c r="H367" s="2" t="s">
        <v>881</v>
      </c>
      <c r="K367" s="2">
        <v>1</v>
      </c>
      <c r="O367" s="2">
        <v>0</v>
      </c>
      <c r="P367" s="2">
        <v>5</v>
      </c>
      <c r="Q367" s="2" t="s">
        <v>411</v>
      </c>
      <c r="S367" s="46" t="s">
        <v>1017</v>
      </c>
      <c r="T367" s="46" t="s">
        <v>1017</v>
      </c>
      <c r="U367" s="46" t="s">
        <v>1017</v>
      </c>
      <c r="V367" s="46" t="s">
        <v>1017</v>
      </c>
      <c r="W367" s="2">
        <v>1</v>
      </c>
      <c r="X367" s="2" t="s">
        <v>220</v>
      </c>
      <c r="Y367" s="2">
        <v>1</v>
      </c>
      <c r="Z367" s="2" t="s">
        <v>298</v>
      </c>
      <c r="AA367" s="27">
        <v>650.25</v>
      </c>
      <c r="AB367" s="2">
        <v>1</v>
      </c>
      <c r="AC367" s="2" t="s">
        <v>566</v>
      </c>
      <c r="AD367" s="27">
        <v>263</v>
      </c>
      <c r="AE367" s="2">
        <v>1</v>
      </c>
      <c r="AF367" s="2" t="s">
        <v>898</v>
      </c>
      <c r="AG367" s="27">
        <v>351.27</v>
      </c>
      <c r="AH367" s="2">
        <v>1</v>
      </c>
      <c r="AI367" s="2" t="s">
        <v>234</v>
      </c>
      <c r="AJ367" s="27">
        <v>484</v>
      </c>
      <c r="AK367" s="2">
        <v>1</v>
      </c>
      <c r="AL367" s="2" t="s">
        <v>206</v>
      </c>
      <c r="AM367" s="2">
        <f>423+33</f>
        <v>456</v>
      </c>
      <c r="AS367" s="2"/>
      <c r="AV367" s="3" t="s">
        <v>294</v>
      </c>
      <c r="AW367" s="3"/>
      <c r="BA367" s="2"/>
    </row>
    <row r="368" spans="2:53" x14ac:dyDescent="0.2">
      <c r="B368" s="2">
        <v>600</v>
      </c>
      <c r="C368" s="46" t="s">
        <v>30</v>
      </c>
      <c r="D368" s="2" t="s">
        <v>348</v>
      </c>
      <c r="E368" s="2" t="s">
        <v>348</v>
      </c>
      <c r="F368" s="42" t="s">
        <v>616</v>
      </c>
      <c r="G368" s="3"/>
      <c r="H368" s="3" t="s">
        <v>876</v>
      </c>
      <c r="N368" s="2">
        <v>1</v>
      </c>
      <c r="S368" s="46" t="s">
        <v>997</v>
      </c>
      <c r="T368" s="46">
        <v>1</v>
      </c>
      <c r="U368" s="46">
        <v>27</v>
      </c>
      <c r="V368" s="46" t="s">
        <v>986</v>
      </c>
      <c r="AA368" s="2"/>
      <c r="AG368" s="2"/>
      <c r="AJ368" s="2"/>
      <c r="AS368" s="2"/>
      <c r="AT368" s="2">
        <v>1</v>
      </c>
      <c r="AV368" s="3" t="s">
        <v>8</v>
      </c>
      <c r="AW368" s="29">
        <f>(3231+104)*0.9</f>
        <v>3001.5</v>
      </c>
      <c r="AX368" s="1">
        <v>37</v>
      </c>
      <c r="AY368" s="2" t="s">
        <v>877</v>
      </c>
      <c r="BA368" s="2"/>
    </row>
    <row r="369" spans="2:53" x14ac:dyDescent="0.2">
      <c r="B369" s="2">
        <v>600</v>
      </c>
      <c r="C369" s="46" t="s">
        <v>30</v>
      </c>
      <c r="D369" s="2" t="s">
        <v>349</v>
      </c>
      <c r="E369" s="2" t="s">
        <v>349</v>
      </c>
      <c r="F369" s="42" t="s">
        <v>400</v>
      </c>
      <c r="G369" s="3"/>
      <c r="H369" s="3" t="s">
        <v>876</v>
      </c>
      <c r="N369" s="2">
        <v>1</v>
      </c>
      <c r="S369" s="46" t="s">
        <v>997</v>
      </c>
      <c r="T369" s="46">
        <v>1</v>
      </c>
      <c r="U369" s="46">
        <v>41</v>
      </c>
      <c r="V369" s="46">
        <v>0</v>
      </c>
      <c r="AA369" s="2"/>
      <c r="AG369" s="2"/>
      <c r="AJ369" s="2"/>
      <c r="AS369" s="2"/>
      <c r="AT369" s="2">
        <v>1</v>
      </c>
      <c r="AV369" s="3" t="s">
        <v>193</v>
      </c>
      <c r="AW369" s="3"/>
      <c r="AX369" s="1">
        <v>11</v>
      </c>
      <c r="AY369" s="2" t="s">
        <v>930</v>
      </c>
      <c r="BA369" s="2"/>
    </row>
    <row r="370" spans="2:53" x14ac:dyDescent="0.2">
      <c r="B370" s="2">
        <v>600</v>
      </c>
      <c r="C370" s="46" t="s">
        <v>30</v>
      </c>
      <c r="D370" s="2" t="s">
        <v>624</v>
      </c>
      <c r="E370" s="2" t="s">
        <v>624</v>
      </c>
      <c r="F370" s="42" t="s">
        <v>620</v>
      </c>
      <c r="G370" s="3"/>
      <c r="H370" s="3" t="s">
        <v>876</v>
      </c>
      <c r="N370" s="2">
        <v>1</v>
      </c>
      <c r="S370" s="46" t="s">
        <v>997</v>
      </c>
      <c r="T370" s="46">
        <v>1</v>
      </c>
      <c r="U370" s="46">
        <v>42</v>
      </c>
      <c r="V370" s="46">
        <v>0</v>
      </c>
      <c r="AA370" s="2"/>
      <c r="AG370" s="2"/>
      <c r="AJ370" s="2"/>
      <c r="AS370" s="2"/>
      <c r="AT370" s="2">
        <v>1</v>
      </c>
      <c r="AW370" s="2"/>
      <c r="AX370" s="1">
        <v>3</v>
      </c>
      <c r="AY370" s="2" t="s">
        <v>930</v>
      </c>
      <c r="BA370" s="2"/>
    </row>
    <row r="371" spans="2:53" x14ac:dyDescent="0.2">
      <c r="B371" s="2">
        <v>600</v>
      </c>
      <c r="C371" s="46" t="s">
        <v>30</v>
      </c>
      <c r="D371" s="2" t="s">
        <v>504</v>
      </c>
      <c r="E371" s="2" t="s">
        <v>630</v>
      </c>
      <c r="F371" s="43" t="s">
        <v>404</v>
      </c>
      <c r="G371" s="3" t="s">
        <v>552</v>
      </c>
      <c r="H371" s="2" t="s">
        <v>881</v>
      </c>
      <c r="K371" s="2">
        <v>1</v>
      </c>
      <c r="O371" s="2">
        <v>0</v>
      </c>
      <c r="P371" s="2">
        <v>150</v>
      </c>
      <c r="Q371" s="2" t="s">
        <v>195</v>
      </c>
      <c r="S371" s="46" t="s">
        <v>1017</v>
      </c>
      <c r="T371" s="46" t="s">
        <v>1017</v>
      </c>
      <c r="U371" s="46" t="s">
        <v>1017</v>
      </c>
      <c r="V371" s="46" t="s">
        <v>1017</v>
      </c>
      <c r="W371" s="2">
        <v>1</v>
      </c>
      <c r="X371" s="2" t="s">
        <v>200</v>
      </c>
      <c r="AB371" s="2">
        <v>1</v>
      </c>
      <c r="AC371" s="2" t="s">
        <v>580</v>
      </c>
      <c r="AD371" s="27">
        <v>1700</v>
      </c>
      <c r="AE371" s="2">
        <v>1</v>
      </c>
      <c r="AF371" s="2" t="s">
        <v>906</v>
      </c>
      <c r="AG371" s="27">
        <v>1420</v>
      </c>
      <c r="AH371" s="2">
        <v>1</v>
      </c>
      <c r="AI371" s="2" t="s">
        <v>232</v>
      </c>
      <c r="AJ371" s="27">
        <f>929.25+725.4</f>
        <v>1654.65</v>
      </c>
      <c r="AS371" s="2"/>
      <c r="AV371" s="3" t="s">
        <v>975</v>
      </c>
      <c r="AW371" s="3"/>
      <c r="BA371" s="2"/>
    </row>
    <row r="372" spans="2:53" x14ac:dyDescent="0.2">
      <c r="B372" s="2">
        <v>600</v>
      </c>
      <c r="C372" s="46" t="s">
        <v>30</v>
      </c>
      <c r="D372" s="2" t="s">
        <v>504</v>
      </c>
      <c r="E372" s="3" t="s">
        <v>622</v>
      </c>
      <c r="F372" s="43" t="s">
        <v>505</v>
      </c>
      <c r="G372" s="3"/>
      <c r="H372" s="3" t="s">
        <v>0</v>
      </c>
      <c r="S372" s="46" t="s">
        <v>1017</v>
      </c>
      <c r="T372" s="46" t="s">
        <v>1017</v>
      </c>
      <c r="U372" s="46" t="s">
        <v>1017</v>
      </c>
      <c r="V372" s="46" t="s">
        <v>1017</v>
      </c>
      <c r="AA372" s="2"/>
      <c r="AG372" s="2"/>
      <c r="AJ372" s="2"/>
      <c r="AS372" s="2"/>
      <c r="AV372" s="2" t="s">
        <v>866</v>
      </c>
      <c r="AW372" s="2"/>
      <c r="BA372" s="2"/>
    </row>
    <row r="373" spans="2:53" x14ac:dyDescent="0.2">
      <c r="B373" s="2">
        <v>600</v>
      </c>
      <c r="C373" s="46" t="s">
        <v>30</v>
      </c>
      <c r="D373" s="2" t="s">
        <v>504</v>
      </c>
      <c r="E373" s="2" t="s">
        <v>623</v>
      </c>
      <c r="F373" s="43" t="s">
        <v>822</v>
      </c>
      <c r="G373" s="2" t="s">
        <v>553</v>
      </c>
      <c r="H373" s="2" t="s">
        <v>357</v>
      </c>
      <c r="N373" s="2">
        <v>1</v>
      </c>
      <c r="O373" s="2">
        <v>2</v>
      </c>
      <c r="P373" s="2">
        <v>12</v>
      </c>
      <c r="Q373" s="2" t="s">
        <v>352</v>
      </c>
      <c r="S373" s="46" t="s">
        <v>1017</v>
      </c>
      <c r="T373" s="46" t="s">
        <v>1017</v>
      </c>
      <c r="U373" s="46" t="s">
        <v>1017</v>
      </c>
      <c r="V373" s="46" t="s">
        <v>1017</v>
      </c>
      <c r="AB373" s="2">
        <v>1</v>
      </c>
      <c r="AC373" s="2" t="s">
        <v>575</v>
      </c>
      <c r="AD373" s="27">
        <f>280+80+910+30+280</f>
        <v>1580</v>
      </c>
      <c r="AE373" s="2">
        <v>1</v>
      </c>
      <c r="AF373" s="2" t="s">
        <v>900</v>
      </c>
      <c r="AG373" s="27">
        <f>631+744</f>
        <v>1375</v>
      </c>
      <c r="AH373" s="2">
        <v>1</v>
      </c>
      <c r="AI373" s="2" t="s">
        <v>953</v>
      </c>
      <c r="AJ373" s="2">
        <f>900.2+378</f>
        <v>1278.2</v>
      </c>
      <c r="AS373" s="2"/>
      <c r="AV373" s="3" t="s">
        <v>596</v>
      </c>
      <c r="AW373" s="3"/>
      <c r="BA373" s="2"/>
    </row>
    <row r="374" spans="2:53" x14ac:dyDescent="0.2">
      <c r="B374" s="2">
        <v>600</v>
      </c>
      <c r="C374" s="46" t="s">
        <v>30</v>
      </c>
      <c r="D374" s="2" t="s">
        <v>504</v>
      </c>
      <c r="E374" s="2" t="s">
        <v>504</v>
      </c>
      <c r="F374" s="42" t="s">
        <v>620</v>
      </c>
      <c r="G374" s="3"/>
      <c r="H374" s="3" t="s">
        <v>876</v>
      </c>
      <c r="N374" s="2">
        <v>1</v>
      </c>
      <c r="S374" s="46" t="s">
        <v>997</v>
      </c>
      <c r="T374" s="46">
        <v>1</v>
      </c>
      <c r="U374" s="46">
        <v>43</v>
      </c>
      <c r="V374" s="46">
        <v>0</v>
      </c>
      <c r="AA374" s="2"/>
      <c r="AG374" s="2"/>
      <c r="AJ374" s="2"/>
      <c r="AS374" s="2"/>
      <c r="AT374" s="2">
        <v>1</v>
      </c>
      <c r="AW374" s="2"/>
      <c r="AX374" s="1">
        <v>15</v>
      </c>
      <c r="AY374" s="2" t="s">
        <v>930</v>
      </c>
      <c r="BA374" s="2"/>
    </row>
    <row r="375" spans="2:53" x14ac:dyDescent="0.2">
      <c r="B375" s="2">
        <v>600</v>
      </c>
      <c r="C375" s="46" t="s">
        <v>30</v>
      </c>
      <c r="D375" s="2" t="s">
        <v>128</v>
      </c>
      <c r="E375" s="2" t="s">
        <v>128</v>
      </c>
      <c r="F375" s="42" t="s">
        <v>129</v>
      </c>
      <c r="G375" s="3"/>
      <c r="H375" s="3" t="s">
        <v>876</v>
      </c>
      <c r="N375" s="2">
        <v>1</v>
      </c>
      <c r="S375" s="46" t="s">
        <v>997</v>
      </c>
      <c r="T375" s="46">
        <v>1</v>
      </c>
      <c r="U375" s="46">
        <v>44</v>
      </c>
      <c r="V375" s="46">
        <v>0</v>
      </c>
      <c r="AA375" s="2"/>
      <c r="AG375" s="2"/>
      <c r="AJ375" s="2"/>
      <c r="AS375" s="2"/>
      <c r="AW375" s="2"/>
      <c r="AX375" s="1">
        <v>1.5</v>
      </c>
      <c r="AY375" s="2" t="s">
        <v>930</v>
      </c>
      <c r="BA375" s="2"/>
    </row>
    <row r="376" spans="2:53" x14ac:dyDescent="0.2">
      <c r="B376" s="2">
        <v>200</v>
      </c>
      <c r="C376" s="46" t="s">
        <v>24</v>
      </c>
      <c r="D376" s="2" t="s">
        <v>932</v>
      </c>
      <c r="E376" s="2" t="s">
        <v>302</v>
      </c>
      <c r="F376" s="42" t="s">
        <v>166</v>
      </c>
      <c r="G376" s="3"/>
      <c r="H376" s="3" t="s">
        <v>289</v>
      </c>
      <c r="M376" s="2">
        <v>1</v>
      </c>
      <c r="S376" s="46" t="s">
        <v>997</v>
      </c>
      <c r="T376" s="46">
        <v>2</v>
      </c>
      <c r="U376" s="46">
        <v>41</v>
      </c>
      <c r="V376" s="46" t="s">
        <v>1008</v>
      </c>
      <c r="AA376" s="2"/>
      <c r="AE376" s="2">
        <v>1</v>
      </c>
      <c r="AJ376" s="2"/>
      <c r="AS376" s="2"/>
      <c r="AV376" s="2" t="s">
        <v>963</v>
      </c>
      <c r="AW376" s="2"/>
      <c r="BA376" s="2"/>
    </row>
    <row r="377" spans="2:53" x14ac:dyDescent="0.2">
      <c r="B377" s="2">
        <v>600</v>
      </c>
      <c r="C377" s="46" t="s">
        <v>24</v>
      </c>
      <c r="F377" s="43" t="s">
        <v>35</v>
      </c>
      <c r="G377" s="3"/>
      <c r="H377" s="3" t="s">
        <v>873</v>
      </c>
      <c r="S377" s="46" t="s">
        <v>1017</v>
      </c>
      <c r="T377" s="46" t="s">
        <v>1017</v>
      </c>
      <c r="U377" s="46" t="s">
        <v>1017</v>
      </c>
      <c r="V377" s="46" t="s">
        <v>1017</v>
      </c>
      <c r="AA377" s="2"/>
      <c r="AG377" s="2"/>
      <c r="AJ377" s="2"/>
      <c r="AS377" s="2"/>
      <c r="AW377" s="2"/>
      <c r="BA377" s="2"/>
    </row>
    <row r="378" spans="2:53" x14ac:dyDescent="0.2">
      <c r="B378" s="2">
        <v>600</v>
      </c>
      <c r="C378" s="46" t="s">
        <v>30</v>
      </c>
      <c r="E378" s="2" t="s">
        <v>585</v>
      </c>
      <c r="F378" s="42" t="s">
        <v>597</v>
      </c>
      <c r="G378" s="5" t="s">
        <v>951</v>
      </c>
      <c r="H378" s="2" t="s">
        <v>881</v>
      </c>
      <c r="K378" s="2">
        <v>1</v>
      </c>
      <c r="O378" s="2">
        <v>0</v>
      </c>
      <c r="P378" s="2">
        <v>2</v>
      </c>
      <c r="Q378" s="2" t="s">
        <v>190</v>
      </c>
      <c r="S378" s="46" t="s">
        <v>1017</v>
      </c>
      <c r="T378" s="46" t="s">
        <v>1017</v>
      </c>
      <c r="U378" s="46" t="s">
        <v>1017</v>
      </c>
      <c r="V378" s="46" t="s">
        <v>1017</v>
      </c>
      <c r="W378" s="2">
        <v>1</v>
      </c>
      <c r="X378" s="2" t="s">
        <v>238</v>
      </c>
      <c r="Y378" s="2">
        <v>1</v>
      </c>
      <c r="Z378" s="2" t="s">
        <v>299</v>
      </c>
      <c r="AA378" s="27">
        <v>570</v>
      </c>
      <c r="AB378" s="2">
        <v>1</v>
      </c>
      <c r="AC378" s="2" t="s">
        <v>568</v>
      </c>
      <c r="AD378" s="27">
        <v>630</v>
      </c>
      <c r="AE378" s="2">
        <v>1</v>
      </c>
      <c r="AH378" s="2">
        <v>1</v>
      </c>
      <c r="AI378" s="2">
        <v>584</v>
      </c>
      <c r="AJ378" s="2"/>
      <c r="AS378" s="2"/>
      <c r="AV378" s="3" t="s">
        <v>584</v>
      </c>
      <c r="AW378" s="3"/>
      <c r="BA378" s="2"/>
    </row>
    <row r="379" spans="2:53" x14ac:dyDescent="0.2">
      <c r="B379" s="2">
        <v>600</v>
      </c>
      <c r="C379" s="46" t="s">
        <v>30</v>
      </c>
      <c r="E379" s="2" t="s">
        <v>598</v>
      </c>
      <c r="F379" s="42" t="s">
        <v>599</v>
      </c>
      <c r="G379" s="5" t="s">
        <v>951</v>
      </c>
      <c r="H379" s="2" t="s">
        <v>881</v>
      </c>
      <c r="K379" s="2">
        <v>1</v>
      </c>
      <c r="O379" s="2">
        <v>0</v>
      </c>
      <c r="P379" s="2">
        <v>2</v>
      </c>
      <c r="Q379" s="2" t="s">
        <v>190</v>
      </c>
      <c r="S379" s="46" t="s">
        <v>1017</v>
      </c>
      <c r="T379" s="46" t="s">
        <v>1017</v>
      </c>
      <c r="U379" s="46" t="s">
        <v>1017</v>
      </c>
      <c r="V379" s="46" t="s">
        <v>1017</v>
      </c>
      <c r="W379" s="2">
        <v>1</v>
      </c>
      <c r="X379" s="2" t="s">
        <v>238</v>
      </c>
      <c r="Y379" s="2">
        <v>1</v>
      </c>
      <c r="Z379" s="2" t="s">
        <v>299</v>
      </c>
      <c r="AA379" s="27">
        <v>570</v>
      </c>
      <c r="AB379" s="2">
        <v>1</v>
      </c>
      <c r="AC379" s="2" t="s">
        <v>568</v>
      </c>
      <c r="AD379" s="27">
        <v>630</v>
      </c>
      <c r="AE379" s="2">
        <v>1</v>
      </c>
      <c r="AH379" s="2">
        <v>1</v>
      </c>
      <c r="AI379" s="2">
        <v>584</v>
      </c>
      <c r="AJ379" s="2"/>
      <c r="AS379" s="2"/>
      <c r="AV379" s="3" t="s">
        <v>584</v>
      </c>
      <c r="AW379" s="3"/>
      <c r="BA379" s="2"/>
    </row>
    <row r="380" spans="2:53" x14ac:dyDescent="0.2">
      <c r="B380" s="2">
        <v>600</v>
      </c>
      <c r="C380" s="46" t="s">
        <v>30</v>
      </c>
      <c r="F380" s="42" t="s">
        <v>774</v>
      </c>
      <c r="G380" s="5" t="s">
        <v>213</v>
      </c>
      <c r="H380" s="3"/>
      <c r="S380" s="46" t="s">
        <v>1017</v>
      </c>
      <c r="T380" s="46" t="s">
        <v>1017</v>
      </c>
      <c r="U380" s="46" t="s">
        <v>1017</v>
      </c>
      <c r="V380" s="46" t="s">
        <v>1017</v>
      </c>
      <c r="AB380" s="2">
        <v>1</v>
      </c>
      <c r="AC380" s="2" t="s">
        <v>44</v>
      </c>
      <c r="AD380" s="27">
        <v>5650</v>
      </c>
      <c r="AG380" s="2"/>
      <c r="AJ380" s="2"/>
      <c r="AS380" s="2"/>
      <c r="AW380" s="2"/>
      <c r="BA380" s="2"/>
    </row>
    <row r="381" spans="2:53" x14ac:dyDescent="0.2">
      <c r="B381" s="2">
        <v>600</v>
      </c>
      <c r="C381" s="46" t="s">
        <v>30</v>
      </c>
      <c r="F381" s="43" t="s">
        <v>34</v>
      </c>
      <c r="G381" s="3"/>
      <c r="H381" s="3" t="s">
        <v>873</v>
      </c>
      <c r="S381" s="46" t="s">
        <v>1017</v>
      </c>
      <c r="T381" s="46" t="s">
        <v>1017</v>
      </c>
      <c r="U381" s="46" t="s">
        <v>1017</v>
      </c>
      <c r="V381" s="46" t="s">
        <v>1017</v>
      </c>
      <c r="AA381" s="2"/>
      <c r="AG381" s="2"/>
      <c r="AJ381" s="2"/>
      <c r="AS381" s="2"/>
      <c r="AW381" s="2"/>
      <c r="BA381" s="2"/>
    </row>
    <row r="382" spans="2:53" x14ac:dyDescent="0.2">
      <c r="B382" s="2">
        <v>600</v>
      </c>
      <c r="F382" s="43"/>
      <c r="G382" s="3"/>
      <c r="H382" s="3"/>
      <c r="S382" s="46" t="s">
        <v>1017</v>
      </c>
      <c r="T382" s="46" t="s">
        <v>1017</v>
      </c>
      <c r="U382" s="46" t="s">
        <v>1017</v>
      </c>
      <c r="V382" s="46" t="s">
        <v>1017</v>
      </c>
      <c r="AA382" s="2"/>
      <c r="AG382" s="2"/>
      <c r="AJ382" s="2"/>
      <c r="AS382" s="2"/>
      <c r="AW382" s="2"/>
      <c r="BA382" s="2"/>
    </row>
    <row r="383" spans="2:53" x14ac:dyDescent="0.2">
      <c r="B383" s="2">
        <v>600</v>
      </c>
      <c r="F383" s="43"/>
      <c r="G383" s="3"/>
      <c r="H383" s="3"/>
      <c r="S383" s="46" t="s">
        <v>1017</v>
      </c>
      <c r="T383" s="46" t="s">
        <v>1017</v>
      </c>
      <c r="U383" s="46" t="s">
        <v>1017</v>
      </c>
      <c r="V383" s="46" t="s">
        <v>1017</v>
      </c>
      <c r="AA383" s="2"/>
      <c r="AG383" s="2"/>
      <c r="AJ383" s="2"/>
      <c r="AS383" s="2"/>
      <c r="AW383" s="2"/>
      <c r="BA383" s="2"/>
    </row>
    <row r="384" spans="2:53" x14ac:dyDescent="0.2">
      <c r="B384" s="2">
        <v>600</v>
      </c>
      <c r="F384" s="43"/>
      <c r="G384" s="3"/>
      <c r="H384" s="3"/>
      <c r="S384" s="46" t="s">
        <v>1017</v>
      </c>
      <c r="T384" s="46" t="s">
        <v>1017</v>
      </c>
      <c r="U384" s="46" t="s">
        <v>1017</v>
      </c>
      <c r="V384" s="46" t="s">
        <v>1017</v>
      </c>
      <c r="AA384" s="2"/>
      <c r="AG384" s="2"/>
      <c r="AJ384" s="2"/>
      <c r="AS384" s="2"/>
      <c r="AW384" s="2"/>
      <c r="BA384" s="2"/>
    </row>
    <row r="385" spans="2:53" x14ac:dyDescent="0.2">
      <c r="B385" s="2">
        <v>600</v>
      </c>
      <c r="F385" s="43"/>
      <c r="G385" s="3"/>
      <c r="H385" s="3"/>
      <c r="S385" s="46" t="s">
        <v>1017</v>
      </c>
      <c r="T385" s="46" t="s">
        <v>1017</v>
      </c>
      <c r="U385" s="46" t="s">
        <v>1017</v>
      </c>
      <c r="V385" s="46" t="s">
        <v>1017</v>
      </c>
      <c r="AA385" s="2"/>
      <c r="AG385" s="2"/>
      <c r="AJ385" s="2"/>
      <c r="AS385" s="2"/>
      <c r="AW385" s="2"/>
      <c r="BA385" s="2"/>
    </row>
    <row r="386" spans="2:53" x14ac:dyDescent="0.2">
      <c r="B386" s="2">
        <v>999</v>
      </c>
      <c r="C386" s="46" t="s">
        <v>24</v>
      </c>
      <c r="E386" s="2" t="s">
        <v>350</v>
      </c>
      <c r="F386" s="42" t="s">
        <v>99</v>
      </c>
      <c r="G386" s="3"/>
      <c r="H386" s="3" t="s">
        <v>873</v>
      </c>
      <c r="S386" s="46" t="s">
        <v>1017</v>
      </c>
      <c r="T386" s="46" t="s">
        <v>1017</v>
      </c>
      <c r="U386" s="46" t="s">
        <v>1017</v>
      </c>
      <c r="V386" s="46" t="s">
        <v>1017</v>
      </c>
      <c r="AA386" s="2"/>
      <c r="AG386" s="2"/>
      <c r="AJ386" s="2"/>
      <c r="AS386" s="2"/>
      <c r="AW386" s="2"/>
      <c r="AX386" s="1">
        <v>15</v>
      </c>
      <c r="BA386" s="2"/>
    </row>
    <row r="387" spans="2:53" x14ac:dyDescent="0.2">
      <c r="B387" s="2">
        <v>999</v>
      </c>
      <c r="C387" s="46" t="s">
        <v>24</v>
      </c>
      <c r="E387" s="2" t="s">
        <v>351</v>
      </c>
      <c r="F387" s="42" t="s">
        <v>99</v>
      </c>
      <c r="G387" s="3"/>
      <c r="H387" s="3" t="s">
        <v>873</v>
      </c>
      <c r="S387" s="46" t="s">
        <v>1017</v>
      </c>
      <c r="T387" s="46" t="s">
        <v>1017</v>
      </c>
      <c r="U387" s="46" t="s">
        <v>1017</v>
      </c>
      <c r="V387" s="46" t="s">
        <v>1017</v>
      </c>
      <c r="AA387" s="2"/>
      <c r="AG387" s="2"/>
      <c r="AJ387" s="2"/>
      <c r="AS387" s="2"/>
      <c r="AV387" s="3"/>
      <c r="AW387" s="3"/>
      <c r="AX387" s="1">
        <v>15</v>
      </c>
      <c r="BA387" s="2"/>
    </row>
    <row r="388" spans="2:53" x14ac:dyDescent="0.2">
      <c r="E388" s="3" t="s">
        <v>989</v>
      </c>
      <c r="F388" s="43" t="s">
        <v>990</v>
      </c>
      <c r="G388" s="3"/>
      <c r="S388" s="46" t="s">
        <v>997</v>
      </c>
      <c r="T388" s="46">
        <v>1</v>
      </c>
      <c r="U388" s="46">
        <v>14</v>
      </c>
      <c r="V388" s="46" t="s">
        <v>990</v>
      </c>
      <c r="BA388" s="2"/>
    </row>
    <row r="389" spans="2:53" ht="18" x14ac:dyDescent="0.25">
      <c r="F389" s="43"/>
      <c r="G389" s="3"/>
      <c r="S389" s="46" t="s">
        <v>1017</v>
      </c>
      <c r="T389" s="46" t="s">
        <v>1017</v>
      </c>
      <c r="U389" s="46" t="s">
        <v>1017</v>
      </c>
      <c r="V389" s="46" t="s">
        <v>1017</v>
      </c>
      <c r="X389" s="33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BA389" s="2"/>
    </row>
    <row r="390" spans="2:53" x14ac:dyDescent="0.2">
      <c r="E390" s="2" t="s">
        <v>994</v>
      </c>
      <c r="F390" s="43" t="s">
        <v>1016</v>
      </c>
      <c r="G390" s="3"/>
      <c r="S390" s="46" t="s">
        <v>997</v>
      </c>
      <c r="T390" s="46">
        <v>1</v>
      </c>
      <c r="U390" s="46">
        <v>32</v>
      </c>
      <c r="V390" s="46">
        <v>0</v>
      </c>
      <c r="AX390" s="38"/>
      <c r="AY390" s="38"/>
      <c r="BA390" s="2"/>
    </row>
    <row r="391" spans="2:53" x14ac:dyDescent="0.2">
      <c r="E391" s="2" t="s">
        <v>995</v>
      </c>
      <c r="F391" s="43" t="s">
        <v>1016</v>
      </c>
      <c r="G391" s="3"/>
      <c r="S391" s="46" t="s">
        <v>997</v>
      </c>
      <c r="T391" s="46">
        <v>1</v>
      </c>
      <c r="U391" s="46">
        <v>33</v>
      </c>
      <c r="V391" s="46">
        <v>0</v>
      </c>
      <c r="BA391" s="2"/>
    </row>
    <row r="392" spans="2:53" x14ac:dyDescent="0.2">
      <c r="E392" s="2" t="s">
        <v>999</v>
      </c>
      <c r="F392" s="43" t="s">
        <v>1016</v>
      </c>
      <c r="G392" s="3"/>
      <c r="S392" s="46" t="s">
        <v>997</v>
      </c>
      <c r="T392" s="46">
        <v>1</v>
      </c>
      <c r="U392" s="46">
        <v>51</v>
      </c>
      <c r="V392" s="46" t="s">
        <v>998</v>
      </c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X392" s="25"/>
      <c r="BA392" s="2"/>
    </row>
    <row r="393" spans="2:53" ht="13.5" thickBot="1" x14ac:dyDescent="0.25">
      <c r="E393" s="2" t="s">
        <v>1000</v>
      </c>
      <c r="F393" s="43" t="s">
        <v>1016</v>
      </c>
      <c r="G393" s="3"/>
      <c r="S393" s="46" t="s">
        <v>997</v>
      </c>
      <c r="T393" s="46">
        <v>1</v>
      </c>
      <c r="U393" s="46">
        <v>52</v>
      </c>
      <c r="V393" s="46" t="s">
        <v>998</v>
      </c>
      <c r="AX393" s="25"/>
      <c r="BA393" s="2"/>
    </row>
    <row r="394" spans="2:53" ht="15.75" thickBot="1" x14ac:dyDescent="0.3">
      <c r="E394" s="2" t="s">
        <v>1001</v>
      </c>
      <c r="F394" s="43" t="s">
        <v>1016</v>
      </c>
      <c r="G394" s="3"/>
      <c r="S394" s="46" t="s">
        <v>997</v>
      </c>
      <c r="T394" s="46">
        <v>1</v>
      </c>
      <c r="U394" s="46">
        <v>59</v>
      </c>
      <c r="V394" s="46" t="s">
        <v>998</v>
      </c>
      <c r="AG394" s="27">
        <f>SUBTOTAL(9,AG98:AG370)</f>
        <v>34472.189999999988</v>
      </c>
      <c r="AV394" s="2" t="s">
        <v>429</v>
      </c>
      <c r="AX394" s="21">
        <f>SUM(AX2:AX387)</f>
        <v>4054.3199999999997</v>
      </c>
      <c r="BA394" s="2"/>
    </row>
    <row r="395" spans="2:53" x14ac:dyDescent="0.2">
      <c r="E395" s="3" t="s">
        <v>1002</v>
      </c>
      <c r="F395" s="43" t="s">
        <v>1016</v>
      </c>
      <c r="S395" s="46" t="s">
        <v>997</v>
      </c>
      <c r="T395" s="46">
        <v>1</v>
      </c>
      <c r="U395" s="46">
        <v>60</v>
      </c>
      <c r="V395" s="46" t="s">
        <v>998</v>
      </c>
    </row>
    <row r="396" spans="2:53" x14ac:dyDescent="0.2">
      <c r="E396" s="2" t="s">
        <v>1003</v>
      </c>
      <c r="F396" s="43" t="s">
        <v>1016</v>
      </c>
      <c r="S396" s="46" t="s">
        <v>997</v>
      </c>
      <c r="T396" s="46">
        <v>1</v>
      </c>
      <c r="U396" s="46">
        <v>61</v>
      </c>
      <c r="V396" s="46" t="s">
        <v>998</v>
      </c>
      <c r="BA396" s="2"/>
    </row>
    <row r="397" spans="2:53" x14ac:dyDescent="0.2">
      <c r="E397" s="2" t="s">
        <v>1004</v>
      </c>
      <c r="F397" s="43" t="s">
        <v>1016</v>
      </c>
      <c r="S397" s="46" t="s">
        <v>997</v>
      </c>
      <c r="T397" s="46">
        <v>1</v>
      </c>
      <c r="U397" s="46">
        <v>62</v>
      </c>
      <c r="V397" s="46" t="s">
        <v>998</v>
      </c>
      <c r="BA397" s="2"/>
    </row>
    <row r="398" spans="2:53" x14ac:dyDescent="0.2">
      <c r="E398" s="2" t="s">
        <v>1005</v>
      </c>
      <c r="F398" s="43" t="s">
        <v>1016</v>
      </c>
      <c r="G398" s="3"/>
      <c r="S398" s="46" t="s">
        <v>997</v>
      </c>
      <c r="T398" s="46">
        <v>2</v>
      </c>
      <c r="U398" s="46">
        <v>16</v>
      </c>
      <c r="V398" s="46">
        <v>0</v>
      </c>
      <c r="BA398" s="2"/>
    </row>
    <row r="399" spans="2:53" x14ac:dyDescent="0.2">
      <c r="E399" s="2" t="s">
        <v>1006</v>
      </c>
      <c r="F399" s="43" t="s">
        <v>1016</v>
      </c>
      <c r="G399" s="3"/>
      <c r="S399" s="46" t="s">
        <v>997</v>
      </c>
      <c r="T399" s="46">
        <v>2</v>
      </c>
      <c r="U399" s="46">
        <v>17</v>
      </c>
      <c r="V399" s="46">
        <v>0</v>
      </c>
      <c r="BA399" s="2"/>
    </row>
    <row r="400" spans="2:53" x14ac:dyDescent="0.2">
      <c r="E400" s="2" t="s">
        <v>1007</v>
      </c>
      <c r="F400" s="43" t="s">
        <v>1016</v>
      </c>
      <c r="G400" s="3"/>
      <c r="S400" s="46" t="s">
        <v>997</v>
      </c>
      <c r="T400" s="46">
        <v>2</v>
      </c>
      <c r="U400" s="46">
        <v>18</v>
      </c>
      <c r="V400" s="46">
        <v>0</v>
      </c>
      <c r="BA400" s="2"/>
    </row>
    <row r="401" spans="5:53" x14ac:dyDescent="0.2">
      <c r="E401" s="2" t="s">
        <v>1009</v>
      </c>
      <c r="F401" s="43" t="s">
        <v>1016</v>
      </c>
      <c r="G401" s="3"/>
      <c r="S401" s="46" t="s">
        <v>997</v>
      </c>
      <c r="T401" s="46">
        <v>2</v>
      </c>
      <c r="U401" s="46">
        <v>33</v>
      </c>
      <c r="V401" s="46" t="s">
        <v>1008</v>
      </c>
      <c r="BA401" s="2"/>
    </row>
    <row r="402" spans="5:53" x14ac:dyDescent="0.2">
      <c r="E402" s="2" t="s">
        <v>1010</v>
      </c>
      <c r="F402" s="43" t="s">
        <v>1016</v>
      </c>
      <c r="G402" s="3"/>
      <c r="S402" s="46" t="s">
        <v>997</v>
      </c>
      <c r="T402" s="46">
        <v>3</v>
      </c>
      <c r="U402" s="46">
        <v>60</v>
      </c>
      <c r="V402" s="46">
        <v>0</v>
      </c>
      <c r="BA402" s="2"/>
    </row>
    <row r="403" spans="5:53" x14ac:dyDescent="0.2">
      <c r="E403" s="2" t="s">
        <v>1011</v>
      </c>
      <c r="F403" s="43" t="s">
        <v>1016</v>
      </c>
      <c r="G403" s="3"/>
      <c r="S403" s="46" t="s">
        <v>997</v>
      </c>
      <c r="T403" s="46">
        <v>3</v>
      </c>
      <c r="U403" s="46">
        <v>61</v>
      </c>
      <c r="V403" s="46">
        <v>0</v>
      </c>
      <c r="BA403" s="2"/>
    </row>
    <row r="404" spans="5:53" x14ac:dyDescent="0.2">
      <c r="E404" s="2" t="s">
        <v>1012</v>
      </c>
      <c r="F404" s="43" t="s">
        <v>1016</v>
      </c>
      <c r="G404" s="3"/>
      <c r="S404" s="46" t="s">
        <v>997</v>
      </c>
      <c r="T404" s="46">
        <v>3</v>
      </c>
      <c r="U404" s="46">
        <v>62</v>
      </c>
      <c r="V404" s="46">
        <v>0</v>
      </c>
      <c r="BA404" s="2"/>
    </row>
    <row r="405" spans="5:53" x14ac:dyDescent="0.2">
      <c r="E405" s="2" t="s">
        <v>1013</v>
      </c>
      <c r="F405" s="43" t="s">
        <v>1016</v>
      </c>
      <c r="G405" s="3"/>
      <c r="S405" s="46" t="s">
        <v>997</v>
      </c>
      <c r="T405" s="46">
        <v>3</v>
      </c>
      <c r="U405" s="46">
        <v>63</v>
      </c>
      <c r="V405" s="46">
        <v>0</v>
      </c>
      <c r="BA405" s="2"/>
    </row>
    <row r="406" spans="5:53" x14ac:dyDescent="0.2">
      <c r="E406" s="2" t="s">
        <v>1014</v>
      </c>
      <c r="F406" s="43" t="s">
        <v>1016</v>
      </c>
      <c r="G406" s="3"/>
      <c r="S406" s="46" t="s">
        <v>997</v>
      </c>
      <c r="T406" s="46">
        <v>3</v>
      </c>
      <c r="U406" s="46">
        <v>64</v>
      </c>
      <c r="V406" s="46">
        <v>0</v>
      </c>
      <c r="BA406" s="2"/>
    </row>
    <row r="407" spans="5:53" x14ac:dyDescent="0.2">
      <c r="F407" s="43"/>
      <c r="G407" s="3"/>
      <c r="BA407" s="2"/>
    </row>
    <row r="408" spans="5:53" x14ac:dyDescent="0.2">
      <c r="F408" s="43"/>
      <c r="G408" s="3"/>
      <c r="BA408" s="2"/>
    </row>
    <row r="409" spans="5:53" x14ac:dyDescent="0.2">
      <c r="F409" s="43"/>
      <c r="G409" s="3"/>
      <c r="BA409" s="2"/>
    </row>
    <row r="410" spans="5:53" x14ac:dyDescent="0.2">
      <c r="F410" s="43"/>
      <c r="G410" s="3"/>
      <c r="BA410" s="2"/>
    </row>
    <row r="411" spans="5:53" x14ac:dyDescent="0.2">
      <c r="F411" s="43"/>
      <c r="G411" s="3"/>
      <c r="BA411" s="2"/>
    </row>
    <row r="412" spans="5:53" x14ac:dyDescent="0.2">
      <c r="F412" s="43"/>
      <c r="G412" s="3"/>
      <c r="BA412" s="2"/>
    </row>
    <row r="413" spans="5:53" x14ac:dyDescent="0.2">
      <c r="E413" s="13"/>
    </row>
    <row r="414" spans="5:53" x14ac:dyDescent="0.2">
      <c r="BA414" s="2"/>
    </row>
    <row r="415" spans="5:53" x14ac:dyDescent="0.2">
      <c r="BA415" s="2"/>
    </row>
    <row r="416" spans="5:53" x14ac:dyDescent="0.2">
      <c r="F416" s="43"/>
      <c r="G416" s="3"/>
      <c r="BA416" s="2"/>
    </row>
    <row r="417" spans="5:53" x14ac:dyDescent="0.2">
      <c r="F417" s="43"/>
      <c r="G417" s="3"/>
      <c r="BA417" s="2"/>
    </row>
    <row r="418" spans="5:53" x14ac:dyDescent="0.2">
      <c r="F418" s="43"/>
      <c r="G418" s="3"/>
      <c r="BA418" s="2"/>
    </row>
    <row r="419" spans="5:53" x14ac:dyDescent="0.2">
      <c r="F419" s="43"/>
      <c r="G419" s="3"/>
      <c r="BA419" s="2"/>
    </row>
    <row r="420" spans="5:53" x14ac:dyDescent="0.2">
      <c r="F420" s="43"/>
      <c r="G420" s="3"/>
      <c r="BA420" s="2"/>
    </row>
    <row r="421" spans="5:53" x14ac:dyDescent="0.2">
      <c r="F421" s="43"/>
      <c r="G421" s="3"/>
      <c r="BA421" s="2"/>
    </row>
    <row r="422" spans="5:53" x14ac:dyDescent="0.2">
      <c r="F422" s="43"/>
      <c r="G422" s="3"/>
      <c r="BA422" s="2"/>
    </row>
    <row r="423" spans="5:53" x14ac:dyDescent="0.2">
      <c r="F423" s="43"/>
      <c r="G423" s="3"/>
      <c r="BA423" s="2"/>
    </row>
    <row r="424" spans="5:53" x14ac:dyDescent="0.2">
      <c r="F424" s="43"/>
      <c r="G424" s="3"/>
      <c r="BA424" s="2"/>
    </row>
    <row r="425" spans="5:53" x14ac:dyDescent="0.2">
      <c r="F425" s="43"/>
      <c r="G425" s="3"/>
      <c r="BA425" s="2"/>
    </row>
    <row r="426" spans="5:53" x14ac:dyDescent="0.2">
      <c r="F426" s="43"/>
      <c r="G426" s="3"/>
      <c r="BA426" s="2"/>
    </row>
    <row r="427" spans="5:53" x14ac:dyDescent="0.2">
      <c r="E427" s="13"/>
    </row>
    <row r="428" spans="5:53" x14ac:dyDescent="0.2">
      <c r="BA428" s="2"/>
    </row>
    <row r="429" spans="5:53" x14ac:dyDescent="0.2">
      <c r="BA429" s="2"/>
    </row>
    <row r="430" spans="5:53" x14ac:dyDescent="0.2">
      <c r="F430" s="43"/>
      <c r="G430" s="3"/>
      <c r="BA430" s="2"/>
    </row>
    <row r="431" spans="5:53" x14ac:dyDescent="0.2">
      <c r="F431" s="43"/>
      <c r="G431" s="3"/>
      <c r="BA431" s="2"/>
    </row>
    <row r="432" spans="5:53" x14ac:dyDescent="0.2">
      <c r="F432" s="43"/>
      <c r="G432" s="3"/>
      <c r="BA432" s="2"/>
    </row>
    <row r="433" spans="5:53" x14ac:dyDescent="0.2">
      <c r="F433" s="43"/>
      <c r="G433" s="3"/>
      <c r="BA433" s="2"/>
    </row>
    <row r="434" spans="5:53" x14ac:dyDescent="0.2">
      <c r="F434" s="43"/>
      <c r="G434" s="3"/>
      <c r="BA434" s="2"/>
    </row>
    <row r="435" spans="5:53" x14ac:dyDescent="0.2">
      <c r="F435" s="43"/>
      <c r="G435" s="3"/>
      <c r="BA435" s="2"/>
    </row>
    <row r="436" spans="5:53" x14ac:dyDescent="0.2">
      <c r="F436" s="43"/>
      <c r="G436" s="3"/>
      <c r="BA436" s="2"/>
    </row>
    <row r="437" spans="5:53" x14ac:dyDescent="0.2">
      <c r="F437" s="43"/>
      <c r="G437" s="3"/>
      <c r="BA437" s="2"/>
    </row>
    <row r="438" spans="5:53" x14ac:dyDescent="0.2">
      <c r="F438" s="43"/>
      <c r="G438" s="3"/>
      <c r="BA438" s="2"/>
    </row>
    <row r="439" spans="5:53" x14ac:dyDescent="0.2">
      <c r="F439" s="43"/>
      <c r="G439" s="3"/>
      <c r="BA439" s="2"/>
    </row>
    <row r="440" spans="5:53" x14ac:dyDescent="0.2">
      <c r="F440" s="43"/>
      <c r="G440" s="3"/>
      <c r="BA440" s="2"/>
    </row>
    <row r="441" spans="5:53" x14ac:dyDescent="0.2">
      <c r="E441" s="13"/>
    </row>
    <row r="442" spans="5:53" x14ac:dyDescent="0.2">
      <c r="BA442" s="2"/>
    </row>
    <row r="443" spans="5:53" x14ac:dyDescent="0.2">
      <c r="BA443" s="2"/>
    </row>
    <row r="444" spans="5:53" x14ac:dyDescent="0.2">
      <c r="F444" s="43"/>
      <c r="G444" s="3"/>
      <c r="BA444" s="2"/>
    </row>
    <row r="445" spans="5:53" x14ac:dyDescent="0.2">
      <c r="F445" s="43"/>
      <c r="G445" s="3"/>
      <c r="BA445" s="2"/>
    </row>
    <row r="446" spans="5:53" x14ac:dyDescent="0.2">
      <c r="F446" s="43"/>
      <c r="G446" s="3"/>
      <c r="BA446" s="2"/>
    </row>
    <row r="447" spans="5:53" x14ac:dyDescent="0.2">
      <c r="F447" s="43"/>
      <c r="G447" s="3"/>
      <c r="BA447" s="2"/>
    </row>
    <row r="448" spans="5:53" x14ac:dyDescent="0.2">
      <c r="F448" s="43"/>
      <c r="G448" s="3"/>
      <c r="BA448" s="2"/>
    </row>
    <row r="449" spans="5:53" x14ac:dyDescent="0.2">
      <c r="F449" s="43"/>
      <c r="G449" s="3"/>
      <c r="BA449" s="2"/>
    </row>
    <row r="450" spans="5:53" x14ac:dyDescent="0.2">
      <c r="F450" s="43"/>
      <c r="G450" s="3"/>
      <c r="BA450" s="2"/>
    </row>
    <row r="451" spans="5:53" x14ac:dyDescent="0.2">
      <c r="F451" s="43"/>
      <c r="G451" s="3"/>
      <c r="BA451" s="2"/>
    </row>
    <row r="452" spans="5:53" x14ac:dyDescent="0.2">
      <c r="F452" s="43"/>
      <c r="G452" s="3"/>
      <c r="BA452" s="2"/>
    </row>
    <row r="453" spans="5:53" x14ac:dyDescent="0.2">
      <c r="F453" s="43"/>
      <c r="G453" s="3"/>
      <c r="BA453" s="2"/>
    </row>
    <row r="454" spans="5:53" x14ac:dyDescent="0.2">
      <c r="F454" s="43"/>
      <c r="G454" s="3"/>
      <c r="BA454" s="2"/>
    </row>
    <row r="455" spans="5:53" x14ac:dyDescent="0.2">
      <c r="E455" s="13"/>
    </row>
    <row r="456" spans="5:53" x14ac:dyDescent="0.2">
      <c r="BA456" s="2"/>
    </row>
    <row r="457" spans="5:53" x14ac:dyDescent="0.2">
      <c r="BA457" s="2"/>
    </row>
    <row r="458" spans="5:53" x14ac:dyDescent="0.2">
      <c r="F458" s="43"/>
      <c r="G458" s="3"/>
      <c r="BA458" s="2"/>
    </row>
    <row r="459" spans="5:53" x14ac:dyDescent="0.2">
      <c r="F459" s="43"/>
      <c r="G459" s="3"/>
      <c r="BA459" s="2"/>
    </row>
    <row r="460" spans="5:53" x14ac:dyDescent="0.2">
      <c r="F460" s="43"/>
      <c r="G460" s="3"/>
      <c r="BA460" s="2"/>
    </row>
    <row r="461" spans="5:53" x14ac:dyDescent="0.2">
      <c r="F461" s="43"/>
      <c r="G461" s="3"/>
      <c r="BA461" s="2"/>
    </row>
    <row r="462" spans="5:53" x14ac:dyDescent="0.2">
      <c r="F462" s="43"/>
      <c r="G462" s="3"/>
      <c r="BA462" s="2"/>
    </row>
    <row r="463" spans="5:53" x14ac:dyDescent="0.2">
      <c r="F463" s="43"/>
      <c r="G463" s="3"/>
      <c r="BA463" s="2"/>
    </row>
    <row r="464" spans="5:53" x14ac:dyDescent="0.2">
      <c r="F464" s="43"/>
      <c r="G464" s="3"/>
      <c r="BA464" s="2"/>
    </row>
    <row r="465" spans="5:53" x14ac:dyDescent="0.2">
      <c r="F465" s="43"/>
      <c r="G465" s="3"/>
      <c r="BA465" s="2"/>
    </row>
    <row r="466" spans="5:53" x14ac:dyDescent="0.2">
      <c r="F466" s="43"/>
      <c r="G466" s="3"/>
      <c r="BA466" s="2"/>
    </row>
    <row r="467" spans="5:53" x14ac:dyDescent="0.2">
      <c r="F467" s="43"/>
      <c r="G467" s="3"/>
      <c r="BA467" s="2"/>
    </row>
    <row r="468" spans="5:53" x14ac:dyDescent="0.2">
      <c r="F468" s="43"/>
      <c r="G468" s="3"/>
      <c r="BA468" s="2"/>
    </row>
    <row r="469" spans="5:53" x14ac:dyDescent="0.2">
      <c r="F469" s="43"/>
      <c r="G469" s="3"/>
      <c r="BA469" s="2"/>
    </row>
    <row r="470" spans="5:53" x14ac:dyDescent="0.2">
      <c r="E470" s="13"/>
    </row>
    <row r="471" spans="5:53" x14ac:dyDescent="0.2">
      <c r="BA471" s="2"/>
    </row>
    <row r="472" spans="5:53" x14ac:dyDescent="0.2">
      <c r="BA472" s="2"/>
    </row>
    <row r="473" spans="5:53" x14ac:dyDescent="0.2">
      <c r="F473" s="43"/>
      <c r="G473" s="3"/>
      <c r="BA473" s="2"/>
    </row>
    <row r="474" spans="5:53" x14ac:dyDescent="0.2">
      <c r="F474" s="43"/>
      <c r="G474" s="3"/>
      <c r="BA474" s="2"/>
    </row>
    <row r="475" spans="5:53" x14ac:dyDescent="0.2">
      <c r="F475" s="43"/>
      <c r="G475" s="3"/>
      <c r="BA475" s="2"/>
    </row>
    <row r="476" spans="5:53" x14ac:dyDescent="0.2">
      <c r="F476" s="43"/>
      <c r="G476" s="3"/>
      <c r="BA476" s="2"/>
    </row>
    <row r="477" spans="5:53" x14ac:dyDescent="0.2">
      <c r="F477" s="43"/>
      <c r="G477" s="3"/>
      <c r="BA477" s="2"/>
    </row>
    <row r="478" spans="5:53" x14ac:dyDescent="0.2">
      <c r="F478" s="43"/>
      <c r="G478" s="3"/>
      <c r="BA478" s="2"/>
    </row>
    <row r="479" spans="5:53" x14ac:dyDescent="0.2">
      <c r="F479" s="43"/>
      <c r="G479" s="3"/>
      <c r="BA479" s="2"/>
    </row>
    <row r="480" spans="5:53" x14ac:dyDescent="0.2">
      <c r="F480" s="43"/>
      <c r="G480" s="3"/>
      <c r="BA480" s="2"/>
    </row>
    <row r="481" spans="5:53" x14ac:dyDescent="0.2">
      <c r="F481" s="43"/>
      <c r="G481" s="3"/>
      <c r="BA481" s="2"/>
    </row>
    <row r="482" spans="5:53" x14ac:dyDescent="0.2">
      <c r="F482" s="43"/>
      <c r="G482" s="3"/>
      <c r="BA482" s="2"/>
    </row>
    <row r="483" spans="5:53" x14ac:dyDescent="0.2">
      <c r="F483" s="43"/>
      <c r="G483" s="3"/>
      <c r="BA483" s="2"/>
    </row>
    <row r="484" spans="5:53" x14ac:dyDescent="0.2">
      <c r="E484" s="13"/>
    </row>
    <row r="485" spans="5:53" x14ac:dyDescent="0.2">
      <c r="E485" s="13"/>
    </row>
    <row r="486" spans="5:53" x14ac:dyDescent="0.2">
      <c r="BA486" s="2"/>
    </row>
    <row r="487" spans="5:53" x14ac:dyDescent="0.2">
      <c r="BA487" s="2"/>
    </row>
    <row r="488" spans="5:53" x14ac:dyDescent="0.2">
      <c r="BA488" s="2"/>
    </row>
    <row r="489" spans="5:53" x14ac:dyDescent="0.2">
      <c r="BA489" s="2"/>
    </row>
    <row r="490" spans="5:53" x14ac:dyDescent="0.2">
      <c r="F490" s="43"/>
      <c r="G490" s="3"/>
      <c r="BA490" s="2"/>
    </row>
    <row r="491" spans="5:53" x14ac:dyDescent="0.2">
      <c r="F491" s="43"/>
      <c r="G491" s="3"/>
      <c r="BA491" s="2"/>
    </row>
    <row r="492" spans="5:53" x14ac:dyDescent="0.2">
      <c r="F492" s="43"/>
      <c r="G492" s="3"/>
      <c r="BA492" s="2"/>
    </row>
    <row r="493" spans="5:53" x14ac:dyDescent="0.2">
      <c r="F493" s="43"/>
      <c r="G493" s="3"/>
      <c r="BA493" s="2"/>
    </row>
    <row r="494" spans="5:53" x14ac:dyDescent="0.2">
      <c r="F494" s="43"/>
      <c r="G494" s="3"/>
      <c r="BA494" s="2"/>
    </row>
    <row r="495" spans="5:53" x14ac:dyDescent="0.2">
      <c r="F495" s="43"/>
      <c r="G495" s="3"/>
      <c r="BA495" s="2"/>
    </row>
    <row r="496" spans="5:53" x14ac:dyDescent="0.2">
      <c r="F496" s="43"/>
      <c r="G496" s="3"/>
      <c r="BA496" s="2"/>
    </row>
    <row r="497" spans="1:53" x14ac:dyDescent="0.2">
      <c r="F497" s="43"/>
      <c r="G497" s="3"/>
      <c r="BA497" s="2"/>
    </row>
    <row r="498" spans="1:53" x14ac:dyDescent="0.2">
      <c r="F498" s="43"/>
      <c r="G498" s="3"/>
      <c r="BA498" s="2"/>
    </row>
    <row r="499" spans="1:53" x14ac:dyDescent="0.2">
      <c r="F499" s="43"/>
      <c r="G499" s="3"/>
      <c r="BA499" s="2"/>
    </row>
    <row r="500" spans="1:53" x14ac:dyDescent="0.2">
      <c r="F500" s="43"/>
      <c r="G500" s="3"/>
      <c r="BA500" s="2"/>
    </row>
    <row r="501" spans="1:53" x14ac:dyDescent="0.2">
      <c r="F501" s="43"/>
      <c r="G501" s="3"/>
      <c r="BA501" s="2"/>
    </row>
    <row r="502" spans="1:53" x14ac:dyDescent="0.2">
      <c r="F502" s="43"/>
      <c r="G502" s="3"/>
      <c r="BA502" s="2"/>
    </row>
    <row r="503" spans="1:53" x14ac:dyDescent="0.2">
      <c r="E503" s="13"/>
    </row>
    <row r="504" spans="1:53" x14ac:dyDescent="0.2">
      <c r="BA504" s="2"/>
    </row>
    <row r="505" spans="1:53" x14ac:dyDescent="0.2">
      <c r="BA505" s="2"/>
    </row>
    <row r="506" spans="1:53" x14ac:dyDescent="0.2">
      <c r="BA506" s="2"/>
    </row>
    <row r="507" spans="1:53" x14ac:dyDescent="0.2">
      <c r="AX507" s="22"/>
      <c r="BA507" s="2"/>
    </row>
    <row r="508" spans="1:53" s="14" customFormat="1" x14ac:dyDescent="0.2">
      <c r="A508" s="22"/>
      <c r="C508" s="22"/>
      <c r="F508" s="44"/>
      <c r="S508" s="22"/>
      <c r="T508" s="22"/>
      <c r="U508" s="22"/>
      <c r="V508" s="22"/>
      <c r="AA508" s="28"/>
      <c r="AD508" s="28"/>
      <c r="AG508" s="28"/>
      <c r="AJ508" s="28"/>
      <c r="AS508" s="28"/>
      <c r="AW508" s="28"/>
      <c r="AX508" s="22"/>
    </row>
    <row r="509" spans="1:53" s="14" customFormat="1" x14ac:dyDescent="0.2">
      <c r="A509" s="22"/>
      <c r="C509" s="22"/>
      <c r="F509" s="44"/>
      <c r="S509" s="22"/>
      <c r="T509" s="22"/>
      <c r="U509" s="22"/>
      <c r="V509" s="22"/>
      <c r="AA509" s="28"/>
      <c r="AD509" s="28"/>
      <c r="AG509" s="28"/>
      <c r="AJ509" s="28"/>
      <c r="AS509" s="28"/>
      <c r="AW509" s="28"/>
      <c r="AX509" s="22"/>
    </row>
    <row r="510" spans="1:53" s="14" customFormat="1" x14ac:dyDescent="0.2">
      <c r="A510" s="22"/>
      <c r="C510" s="22"/>
      <c r="F510" s="44"/>
      <c r="S510" s="22"/>
      <c r="T510" s="22"/>
      <c r="U510" s="22"/>
      <c r="V510" s="22"/>
      <c r="AA510" s="28"/>
      <c r="AD510" s="28"/>
      <c r="AG510" s="28"/>
      <c r="AJ510" s="28"/>
      <c r="AS510" s="28"/>
      <c r="AW510" s="28"/>
      <c r="AX510" s="22"/>
    </row>
    <row r="511" spans="1:53" s="14" customFormat="1" x14ac:dyDescent="0.2">
      <c r="A511" s="22"/>
      <c r="C511" s="22"/>
      <c r="F511" s="44"/>
      <c r="S511" s="22"/>
      <c r="T511" s="22"/>
      <c r="U511" s="22"/>
      <c r="V511" s="22"/>
      <c r="AA511" s="28"/>
      <c r="AD511" s="28"/>
      <c r="AG511" s="28"/>
      <c r="AJ511" s="28"/>
      <c r="AS511" s="28"/>
      <c r="AW511" s="28"/>
      <c r="AX511" s="22"/>
    </row>
    <row r="512" spans="1:53" s="14" customFormat="1" x14ac:dyDescent="0.2">
      <c r="A512" s="22"/>
      <c r="C512" s="22"/>
      <c r="F512" s="44"/>
      <c r="S512" s="22"/>
      <c r="T512" s="22"/>
      <c r="U512" s="22"/>
      <c r="V512" s="22"/>
      <c r="AA512" s="28"/>
      <c r="AD512" s="28"/>
      <c r="AG512" s="28"/>
      <c r="AJ512" s="28"/>
      <c r="AS512" s="28"/>
      <c r="AW512" s="28"/>
      <c r="AX512" s="22"/>
    </row>
    <row r="513" spans="1:53" s="14" customFormat="1" x14ac:dyDescent="0.2">
      <c r="A513" s="22"/>
      <c r="C513" s="22"/>
      <c r="F513" s="44"/>
      <c r="S513" s="22"/>
      <c r="T513" s="22"/>
      <c r="U513" s="22"/>
      <c r="V513" s="22"/>
      <c r="AA513" s="28"/>
      <c r="AD513" s="28"/>
      <c r="AG513" s="28"/>
      <c r="AJ513" s="28"/>
      <c r="AS513" s="28"/>
      <c r="AW513" s="28"/>
      <c r="AX513" s="22"/>
    </row>
    <row r="514" spans="1:53" s="14" customFormat="1" x14ac:dyDescent="0.2">
      <c r="A514" s="22"/>
      <c r="C514" s="22"/>
      <c r="F514" s="44"/>
      <c r="S514" s="22"/>
      <c r="T514" s="22"/>
      <c r="U514" s="22"/>
      <c r="V514" s="22"/>
      <c r="AA514" s="28"/>
      <c r="AD514" s="28"/>
      <c r="AG514" s="28"/>
      <c r="AJ514" s="28"/>
      <c r="AS514" s="28"/>
      <c r="AW514" s="28"/>
      <c r="AX514" s="22"/>
    </row>
    <row r="515" spans="1:53" s="14" customFormat="1" x14ac:dyDescent="0.2">
      <c r="A515" s="22"/>
      <c r="C515" s="22"/>
      <c r="F515" s="44"/>
      <c r="S515" s="22"/>
      <c r="T515" s="22"/>
      <c r="U515" s="22"/>
      <c r="V515" s="22"/>
      <c r="AA515" s="28"/>
      <c r="AD515" s="28"/>
      <c r="AG515" s="28"/>
      <c r="AJ515" s="28"/>
      <c r="AS515" s="28"/>
      <c r="AW515" s="28"/>
      <c r="AX515" s="22"/>
    </row>
    <row r="516" spans="1:53" s="14" customFormat="1" x14ac:dyDescent="0.2">
      <c r="A516" s="22"/>
      <c r="C516" s="22"/>
      <c r="F516" s="44"/>
      <c r="S516" s="22"/>
      <c r="T516" s="22"/>
      <c r="U516" s="22"/>
      <c r="V516" s="22"/>
      <c r="AA516" s="28"/>
      <c r="AD516" s="28"/>
      <c r="AG516" s="28"/>
      <c r="AJ516" s="28"/>
      <c r="AS516" s="28"/>
      <c r="AW516" s="28"/>
      <c r="AX516" s="22"/>
    </row>
    <row r="517" spans="1:53" s="14" customFormat="1" x14ac:dyDescent="0.2">
      <c r="A517" s="22"/>
      <c r="C517" s="22"/>
      <c r="F517" s="44"/>
      <c r="S517" s="22"/>
      <c r="T517" s="22"/>
      <c r="U517" s="22"/>
      <c r="V517" s="22"/>
      <c r="AA517" s="28"/>
      <c r="AD517" s="28"/>
      <c r="AG517" s="28"/>
      <c r="AJ517" s="28"/>
      <c r="AS517" s="28"/>
      <c r="AW517" s="28"/>
      <c r="AX517" s="22"/>
    </row>
    <row r="518" spans="1:53" s="14" customFormat="1" x14ac:dyDescent="0.2">
      <c r="A518" s="22"/>
      <c r="C518" s="22"/>
      <c r="F518" s="44"/>
      <c r="S518" s="22"/>
      <c r="T518" s="22"/>
      <c r="U518" s="22"/>
      <c r="V518" s="22"/>
      <c r="AA518" s="28"/>
      <c r="AD518" s="28"/>
      <c r="AG518" s="28"/>
      <c r="AJ518" s="28"/>
      <c r="AS518" s="28"/>
      <c r="AW518" s="28"/>
      <c r="AX518" s="22"/>
    </row>
    <row r="519" spans="1:53" s="14" customFormat="1" x14ac:dyDescent="0.2">
      <c r="A519" s="22"/>
      <c r="C519" s="22"/>
      <c r="F519" s="44"/>
      <c r="S519" s="22"/>
      <c r="T519" s="22"/>
      <c r="U519" s="22"/>
      <c r="V519" s="22"/>
      <c r="AA519" s="28"/>
      <c r="AD519" s="28"/>
      <c r="AG519" s="28"/>
      <c r="AJ519" s="28"/>
      <c r="AS519" s="28"/>
      <c r="AW519" s="28"/>
      <c r="AX519" s="1"/>
    </row>
    <row r="521" spans="1:53" x14ac:dyDescent="0.2">
      <c r="BA521" s="2"/>
    </row>
    <row r="522" spans="1:53" x14ac:dyDescent="0.2">
      <c r="E522" s="13"/>
      <c r="BA522" s="2"/>
    </row>
    <row r="523" spans="1:53" x14ac:dyDescent="0.2">
      <c r="BA523" s="2"/>
    </row>
    <row r="524" spans="1:53" x14ac:dyDescent="0.2">
      <c r="BA524" s="2"/>
    </row>
    <row r="525" spans="1:53" x14ac:dyDescent="0.2">
      <c r="F525" s="43"/>
      <c r="G525" s="3"/>
      <c r="BA525" s="2"/>
    </row>
    <row r="526" spans="1:53" x14ac:dyDescent="0.2">
      <c r="F526" s="43"/>
      <c r="G526" s="3"/>
      <c r="BA526" s="2"/>
    </row>
    <row r="527" spans="1:53" x14ac:dyDescent="0.2">
      <c r="F527" s="43"/>
      <c r="G527" s="3"/>
      <c r="BA527" s="2"/>
    </row>
    <row r="528" spans="1:53" x14ac:dyDescent="0.2">
      <c r="F528" s="43"/>
      <c r="G528" s="3"/>
      <c r="BA528" s="2"/>
    </row>
    <row r="529" spans="5:53" x14ac:dyDescent="0.2">
      <c r="F529" s="43"/>
      <c r="G529" s="3"/>
      <c r="BA529" s="2"/>
    </row>
    <row r="530" spans="5:53" x14ac:dyDescent="0.2">
      <c r="F530" s="43"/>
      <c r="G530" s="3"/>
      <c r="BA530" s="2"/>
    </row>
    <row r="531" spans="5:53" x14ac:dyDescent="0.2">
      <c r="F531" s="43"/>
      <c r="G531" s="3"/>
      <c r="BA531" s="2"/>
    </row>
    <row r="532" spans="5:53" x14ac:dyDescent="0.2">
      <c r="F532" s="43"/>
      <c r="G532" s="3"/>
      <c r="BA532" s="2"/>
    </row>
    <row r="533" spans="5:53" x14ac:dyDescent="0.2">
      <c r="F533" s="43"/>
      <c r="G533" s="3"/>
      <c r="BA533" s="2"/>
    </row>
    <row r="534" spans="5:53" x14ac:dyDescent="0.2">
      <c r="F534" s="43"/>
      <c r="G534" s="3"/>
      <c r="BA534" s="2"/>
    </row>
    <row r="535" spans="5:53" x14ac:dyDescent="0.2">
      <c r="E535" s="3"/>
      <c r="F535" s="43"/>
      <c r="G535" s="3"/>
      <c r="BA535" s="2"/>
    </row>
    <row r="536" spans="5:53" x14ac:dyDescent="0.2">
      <c r="E536" s="13"/>
      <c r="F536" s="43"/>
      <c r="G536" s="3"/>
    </row>
    <row r="537" spans="5:53" x14ac:dyDescent="0.2">
      <c r="F537" s="43"/>
      <c r="G537" s="15"/>
      <c r="BA537" s="2"/>
    </row>
    <row r="538" spans="5:53" x14ac:dyDescent="0.2">
      <c r="F538" s="43"/>
      <c r="G538" s="15"/>
      <c r="BA538" s="2"/>
    </row>
    <row r="539" spans="5:53" x14ac:dyDescent="0.2">
      <c r="BA539" s="2"/>
    </row>
    <row r="540" spans="5:53" x14ac:dyDescent="0.2">
      <c r="BA540" s="2"/>
    </row>
    <row r="541" spans="5:53" x14ac:dyDescent="0.2">
      <c r="BA541" s="2"/>
    </row>
    <row r="542" spans="5:53" x14ac:dyDescent="0.2">
      <c r="BA542" s="2"/>
    </row>
    <row r="543" spans="5:53" x14ac:dyDescent="0.2">
      <c r="G543" s="3"/>
      <c r="BA543" s="2"/>
    </row>
    <row r="544" spans="5:53" x14ac:dyDescent="0.2">
      <c r="O544" s="3"/>
      <c r="P544" s="3"/>
      <c r="BA544" s="2"/>
    </row>
    <row r="545" spans="5:53" x14ac:dyDescent="0.2">
      <c r="G545" s="3"/>
      <c r="BA545" s="2"/>
    </row>
    <row r="546" spans="5:53" x14ac:dyDescent="0.2">
      <c r="O546" s="3"/>
      <c r="P546" s="3"/>
      <c r="BA546" s="2"/>
    </row>
    <row r="547" spans="5:53" x14ac:dyDescent="0.2">
      <c r="G547" s="3"/>
      <c r="BA547" s="2"/>
    </row>
    <row r="548" spans="5:53" x14ac:dyDescent="0.2">
      <c r="O548" s="3"/>
      <c r="P548" s="3"/>
      <c r="BA548" s="2"/>
    </row>
    <row r="549" spans="5:53" x14ac:dyDescent="0.2">
      <c r="G549" s="3"/>
      <c r="BA549" s="2"/>
    </row>
    <row r="550" spans="5:53" x14ac:dyDescent="0.2">
      <c r="O550" s="3"/>
      <c r="P550" s="3"/>
      <c r="BA550" s="2"/>
    </row>
    <row r="551" spans="5:53" x14ac:dyDescent="0.2">
      <c r="E551" s="16"/>
      <c r="AV551" s="3"/>
      <c r="AW551" s="29"/>
      <c r="BA551" s="2"/>
    </row>
    <row r="552" spans="5:53" x14ac:dyDescent="0.2">
      <c r="AV552" s="15"/>
      <c r="AW552" s="39"/>
      <c r="BA552" s="2"/>
    </row>
    <row r="553" spans="5:53" x14ac:dyDescent="0.2">
      <c r="BA553" s="2"/>
    </row>
    <row r="554" spans="5:53" x14ac:dyDescent="0.2">
      <c r="BA554" s="2"/>
    </row>
    <row r="555" spans="5:53" x14ac:dyDescent="0.2">
      <c r="E555" s="16"/>
      <c r="AV555" s="3"/>
      <c r="AW555" s="29"/>
      <c r="BA555" s="2"/>
    </row>
    <row r="556" spans="5:53" x14ac:dyDescent="0.2">
      <c r="BA556" s="2"/>
    </row>
    <row r="557" spans="5:53" x14ac:dyDescent="0.2">
      <c r="BA557" s="2"/>
    </row>
    <row r="558" spans="5:53" x14ac:dyDescent="0.2">
      <c r="BA558" s="2"/>
    </row>
    <row r="559" spans="5:53" x14ac:dyDescent="0.2">
      <c r="E559" s="16"/>
      <c r="AV559" s="3"/>
      <c r="AW559" s="29"/>
      <c r="BA559" s="2"/>
    </row>
    <row r="560" spans="5:53" x14ac:dyDescent="0.2">
      <c r="AV560" s="3"/>
      <c r="AW560" s="29"/>
      <c r="BA560" s="2"/>
    </row>
    <row r="561" spans="5:53" x14ac:dyDescent="0.2">
      <c r="BA561" s="2"/>
    </row>
    <row r="562" spans="5:53" x14ac:dyDescent="0.2">
      <c r="BA562" s="2"/>
    </row>
    <row r="563" spans="5:53" x14ac:dyDescent="0.2">
      <c r="E563" s="16"/>
      <c r="AV563" s="3"/>
      <c r="AW563" s="29"/>
      <c r="BA563" s="2"/>
    </row>
    <row r="564" spans="5:53" x14ac:dyDescent="0.2">
      <c r="AV564" s="3"/>
      <c r="AW564" s="29"/>
      <c r="BA564" s="2"/>
    </row>
    <row r="565" spans="5:53" x14ac:dyDescent="0.2">
      <c r="BA565" s="2"/>
    </row>
    <row r="566" spans="5:53" x14ac:dyDescent="0.2">
      <c r="BA566" s="2"/>
    </row>
    <row r="567" spans="5:53" x14ac:dyDescent="0.2">
      <c r="AV567" s="3"/>
      <c r="AW567" s="29"/>
      <c r="BA567" s="2"/>
    </row>
    <row r="568" spans="5:53" x14ac:dyDescent="0.2">
      <c r="AV568" s="3"/>
      <c r="AW568" s="29"/>
      <c r="BA568" s="2"/>
    </row>
    <row r="569" spans="5:53" x14ac:dyDescent="0.2">
      <c r="E569" s="13"/>
    </row>
    <row r="570" spans="5:53" x14ac:dyDescent="0.2">
      <c r="BA570" s="2"/>
    </row>
    <row r="571" spans="5:53" x14ac:dyDescent="0.2">
      <c r="BA571" s="2"/>
    </row>
    <row r="572" spans="5:53" x14ac:dyDescent="0.2">
      <c r="F572" s="43"/>
      <c r="G572" s="3"/>
      <c r="BA572" s="2"/>
    </row>
    <row r="573" spans="5:53" x14ac:dyDescent="0.2">
      <c r="F573" s="43"/>
      <c r="G573" s="3"/>
      <c r="BA573" s="2"/>
    </row>
    <row r="574" spans="5:53" x14ac:dyDescent="0.2">
      <c r="F574" s="43"/>
      <c r="G574" s="3"/>
      <c r="BA574" s="2"/>
    </row>
    <row r="575" spans="5:53" x14ac:dyDescent="0.2">
      <c r="E575" s="13"/>
    </row>
    <row r="576" spans="5:53" x14ac:dyDescent="0.2">
      <c r="BA576" s="2"/>
    </row>
    <row r="577" spans="5:53" x14ac:dyDescent="0.2">
      <c r="BA577" s="2"/>
    </row>
    <row r="578" spans="5:53" x14ac:dyDescent="0.2">
      <c r="F578" s="43"/>
      <c r="G578" s="3"/>
      <c r="BA578" s="2"/>
    </row>
    <row r="579" spans="5:53" x14ac:dyDescent="0.2">
      <c r="F579" s="43"/>
      <c r="G579" s="3"/>
      <c r="BA579" s="2"/>
    </row>
    <row r="580" spans="5:53" x14ac:dyDescent="0.2">
      <c r="F580" s="43"/>
      <c r="G580" s="3"/>
      <c r="BA580" s="2"/>
    </row>
    <row r="581" spans="5:53" x14ac:dyDescent="0.2">
      <c r="E581" s="13"/>
      <c r="AX581" s="6"/>
    </row>
    <row r="582" spans="5:53" x14ac:dyDescent="0.2">
      <c r="E582" s="13"/>
    </row>
    <row r="583" spans="5:53" x14ac:dyDescent="0.2">
      <c r="BA583" s="2"/>
    </row>
    <row r="584" spans="5:53" x14ac:dyDescent="0.2">
      <c r="BA584" s="2"/>
    </row>
    <row r="585" spans="5:53" x14ac:dyDescent="0.2">
      <c r="F585" s="43"/>
      <c r="G585" s="3"/>
      <c r="BA585" s="2"/>
    </row>
    <row r="586" spans="5:53" x14ac:dyDescent="0.2">
      <c r="F586" s="43"/>
      <c r="G586" s="3"/>
      <c r="BA586" s="2"/>
    </row>
    <row r="587" spans="5:53" x14ac:dyDescent="0.2">
      <c r="F587" s="43"/>
      <c r="G587" s="3"/>
      <c r="BA587" s="2"/>
    </row>
    <row r="588" spans="5:53" x14ac:dyDescent="0.2">
      <c r="F588" s="43"/>
      <c r="G588" s="3"/>
      <c r="BA588" s="2"/>
    </row>
    <row r="589" spans="5:53" x14ac:dyDescent="0.2">
      <c r="F589" s="43"/>
      <c r="G589" s="3"/>
      <c r="BA589" s="2"/>
    </row>
    <row r="590" spans="5:53" x14ac:dyDescent="0.2">
      <c r="F590" s="43"/>
      <c r="G590" s="3"/>
      <c r="BA590" s="2"/>
    </row>
    <row r="591" spans="5:53" x14ac:dyDescent="0.2">
      <c r="F591" s="43"/>
      <c r="G591" s="3"/>
      <c r="BA591" s="2"/>
    </row>
    <row r="592" spans="5:53" x14ac:dyDescent="0.2">
      <c r="F592" s="43"/>
      <c r="G592" s="3"/>
      <c r="BA592" s="2"/>
    </row>
    <row r="593" spans="5:53" x14ac:dyDescent="0.2">
      <c r="F593" s="43"/>
      <c r="G593" s="3"/>
      <c r="BA593" s="2"/>
    </row>
    <row r="594" spans="5:53" x14ac:dyDescent="0.2">
      <c r="F594" s="43"/>
      <c r="G594" s="3"/>
      <c r="BA594" s="2"/>
    </row>
    <row r="595" spans="5:53" x14ac:dyDescent="0.2">
      <c r="F595" s="43"/>
      <c r="G595" s="3"/>
      <c r="BA595" s="2"/>
    </row>
    <row r="596" spans="5:53" x14ac:dyDescent="0.2">
      <c r="E596" s="13"/>
      <c r="AX596" s="6"/>
    </row>
    <row r="597" spans="5:53" x14ac:dyDescent="0.2">
      <c r="E597" s="13"/>
    </row>
    <row r="598" spans="5:53" x14ac:dyDescent="0.2">
      <c r="BA598" s="2"/>
    </row>
    <row r="599" spans="5:53" x14ac:dyDescent="0.2">
      <c r="BA599" s="2"/>
    </row>
    <row r="600" spans="5:53" x14ac:dyDescent="0.2">
      <c r="F600" s="43"/>
      <c r="G600" s="3"/>
      <c r="BA600" s="2"/>
    </row>
    <row r="601" spans="5:53" x14ac:dyDescent="0.2">
      <c r="F601" s="43"/>
      <c r="G601" s="3"/>
      <c r="BA601" s="2"/>
    </row>
    <row r="602" spans="5:53" x14ac:dyDescent="0.2">
      <c r="F602" s="43"/>
      <c r="G602" s="3"/>
      <c r="BA602" s="2"/>
    </row>
    <row r="603" spans="5:53" x14ac:dyDescent="0.2">
      <c r="F603" s="43"/>
      <c r="G603" s="3"/>
      <c r="BA603" s="2"/>
    </row>
    <row r="604" spans="5:53" x14ac:dyDescent="0.2">
      <c r="F604" s="43"/>
      <c r="G604" s="3"/>
      <c r="BA604" s="2"/>
    </row>
    <row r="605" spans="5:53" x14ac:dyDescent="0.2">
      <c r="F605" s="43"/>
      <c r="G605" s="3"/>
      <c r="BA605" s="2"/>
    </row>
    <row r="606" spans="5:53" x14ac:dyDescent="0.2">
      <c r="F606" s="43"/>
      <c r="G606" s="3"/>
      <c r="BA606" s="2"/>
    </row>
    <row r="607" spans="5:53" x14ac:dyDescent="0.2">
      <c r="F607" s="43"/>
      <c r="G607" s="3"/>
      <c r="BA607" s="2"/>
    </row>
    <row r="608" spans="5:53" x14ac:dyDescent="0.2">
      <c r="F608" s="43"/>
      <c r="G608" s="3"/>
      <c r="BA608" s="2"/>
    </row>
    <row r="609" spans="5:53" x14ac:dyDescent="0.2">
      <c r="F609" s="43"/>
      <c r="G609" s="3"/>
      <c r="BA609" s="2"/>
    </row>
    <row r="610" spans="5:53" x14ac:dyDescent="0.2">
      <c r="F610" s="43"/>
      <c r="G610" s="3"/>
      <c r="BA610" s="2"/>
    </row>
    <row r="611" spans="5:53" x14ac:dyDescent="0.2">
      <c r="E611" s="13"/>
    </row>
    <row r="612" spans="5:53" x14ac:dyDescent="0.2">
      <c r="BA612" s="2"/>
    </row>
    <row r="613" spans="5:53" x14ac:dyDescent="0.2">
      <c r="BA613" s="2"/>
    </row>
    <row r="614" spans="5:53" x14ac:dyDescent="0.2">
      <c r="F614" s="43"/>
      <c r="G614" s="3"/>
      <c r="BA614" s="2"/>
    </row>
    <row r="615" spans="5:53" x14ac:dyDescent="0.2">
      <c r="F615" s="43"/>
      <c r="G615" s="3"/>
      <c r="BA615" s="2"/>
    </row>
    <row r="616" spans="5:53" x14ac:dyDescent="0.2">
      <c r="F616" s="43"/>
      <c r="G616" s="3"/>
      <c r="BA616" s="2"/>
    </row>
    <row r="617" spans="5:53" x14ac:dyDescent="0.2">
      <c r="F617" s="43"/>
      <c r="G617" s="3"/>
      <c r="BA617" s="2"/>
    </row>
    <row r="618" spans="5:53" x14ac:dyDescent="0.2">
      <c r="F618" s="43"/>
      <c r="G618" s="3"/>
      <c r="BA618" s="2"/>
    </row>
    <row r="619" spans="5:53" x14ac:dyDescent="0.2">
      <c r="F619" s="43"/>
      <c r="G619" s="3"/>
      <c r="BA619" s="2"/>
    </row>
    <row r="620" spans="5:53" x14ac:dyDescent="0.2">
      <c r="F620" s="43"/>
      <c r="G620" s="3"/>
      <c r="BA620" s="2"/>
    </row>
    <row r="621" spans="5:53" x14ac:dyDescent="0.2">
      <c r="F621" s="43"/>
      <c r="G621" s="3"/>
      <c r="BA621" s="2"/>
    </row>
    <row r="622" spans="5:53" x14ac:dyDescent="0.2">
      <c r="F622" s="43"/>
      <c r="G622" s="3"/>
      <c r="BA622" s="2"/>
    </row>
    <row r="623" spans="5:53" x14ac:dyDescent="0.2">
      <c r="F623" s="43"/>
      <c r="G623" s="3"/>
      <c r="BA623" s="2"/>
    </row>
    <row r="624" spans="5:53" x14ac:dyDescent="0.2">
      <c r="F624" s="43"/>
      <c r="G624" s="3"/>
      <c r="BA624" s="2"/>
    </row>
    <row r="625" spans="5:53" x14ac:dyDescent="0.2">
      <c r="BA625" s="2"/>
    </row>
    <row r="626" spans="5:53" x14ac:dyDescent="0.2">
      <c r="BA626" s="2"/>
    </row>
    <row r="627" spans="5:53" x14ac:dyDescent="0.2">
      <c r="O627" s="3"/>
      <c r="P627" s="3"/>
      <c r="BA627" s="2"/>
    </row>
    <row r="628" spans="5:53" x14ac:dyDescent="0.2">
      <c r="BA628" s="2"/>
    </row>
    <row r="629" spans="5:53" x14ac:dyDescent="0.2">
      <c r="E629" s="13"/>
    </row>
    <row r="630" spans="5:53" x14ac:dyDescent="0.2">
      <c r="BA630" s="2"/>
    </row>
    <row r="631" spans="5:53" x14ac:dyDescent="0.2">
      <c r="BA631" s="2"/>
    </row>
    <row r="632" spans="5:53" x14ac:dyDescent="0.2">
      <c r="O632" s="3"/>
      <c r="P632" s="3"/>
      <c r="BA632" s="2"/>
    </row>
    <row r="633" spans="5:53" x14ac:dyDescent="0.2">
      <c r="E633" s="13"/>
    </row>
    <row r="634" spans="5:53" x14ac:dyDescent="0.2">
      <c r="BA634" s="2"/>
    </row>
    <row r="635" spans="5:53" x14ac:dyDescent="0.2">
      <c r="BA635" s="2"/>
    </row>
    <row r="636" spans="5:53" x14ac:dyDescent="0.2">
      <c r="O636" s="3"/>
      <c r="P636" s="3"/>
      <c r="BA636" s="2"/>
    </row>
    <row r="637" spans="5:53" x14ac:dyDescent="0.2">
      <c r="E637" s="13"/>
    </row>
    <row r="638" spans="5:53" x14ac:dyDescent="0.2">
      <c r="BA638" s="2"/>
    </row>
    <row r="639" spans="5:53" x14ac:dyDescent="0.2">
      <c r="BA639" s="2"/>
    </row>
    <row r="640" spans="5:53" x14ac:dyDescent="0.2">
      <c r="O640" s="3"/>
      <c r="P640" s="3"/>
      <c r="BA640" s="2"/>
    </row>
    <row r="641" spans="5:53" x14ac:dyDescent="0.2">
      <c r="E641" s="13"/>
    </row>
    <row r="642" spans="5:53" x14ac:dyDescent="0.2">
      <c r="BA642" s="2"/>
    </row>
    <row r="643" spans="5:53" x14ac:dyDescent="0.2">
      <c r="BA643" s="2"/>
    </row>
    <row r="644" spans="5:53" x14ac:dyDescent="0.2">
      <c r="F644" s="43"/>
      <c r="G644" s="3"/>
      <c r="BA644" s="2"/>
    </row>
    <row r="645" spans="5:53" x14ac:dyDescent="0.2">
      <c r="F645" s="43"/>
      <c r="G645" s="3"/>
      <c r="BA645" s="2"/>
    </row>
    <row r="646" spans="5:53" x14ac:dyDescent="0.2">
      <c r="E646" s="13"/>
    </row>
    <row r="647" spans="5:53" x14ac:dyDescent="0.2">
      <c r="BA647" s="2"/>
    </row>
    <row r="648" spans="5:53" x14ac:dyDescent="0.2">
      <c r="BA648" s="2"/>
    </row>
    <row r="649" spans="5:53" x14ac:dyDescent="0.2">
      <c r="E649" s="13"/>
    </row>
    <row r="650" spans="5:53" x14ac:dyDescent="0.2">
      <c r="BA650" s="2"/>
    </row>
    <row r="651" spans="5:53" x14ac:dyDescent="0.2">
      <c r="BA651" s="2"/>
    </row>
    <row r="652" spans="5:53" x14ac:dyDescent="0.2">
      <c r="E652" s="13"/>
    </row>
    <row r="653" spans="5:53" x14ac:dyDescent="0.2">
      <c r="BA653" s="2"/>
    </row>
    <row r="654" spans="5:53" x14ac:dyDescent="0.2">
      <c r="BA654" s="2"/>
    </row>
    <row r="655" spans="5:53" x14ac:dyDescent="0.2">
      <c r="E655" s="13"/>
    </row>
    <row r="656" spans="5:53" x14ac:dyDescent="0.2">
      <c r="BA656" s="2"/>
    </row>
    <row r="657" spans="5:53" x14ac:dyDescent="0.2">
      <c r="BA657" s="2"/>
    </row>
    <row r="658" spans="5:53" x14ac:dyDescent="0.2">
      <c r="E658" s="13"/>
    </row>
    <row r="659" spans="5:53" x14ac:dyDescent="0.2">
      <c r="BA659" s="2"/>
    </row>
    <row r="660" spans="5:53" x14ac:dyDescent="0.2">
      <c r="BA660" s="2"/>
    </row>
    <row r="661" spans="5:53" x14ac:dyDescent="0.2">
      <c r="E661" s="13"/>
    </row>
    <row r="662" spans="5:53" x14ac:dyDescent="0.2">
      <c r="BA662" s="2"/>
    </row>
    <row r="663" spans="5:53" x14ac:dyDescent="0.2">
      <c r="BA663" s="2"/>
    </row>
    <row r="664" spans="5:53" x14ac:dyDescent="0.2">
      <c r="BA664" s="2"/>
    </row>
    <row r="665" spans="5:53" x14ac:dyDescent="0.2">
      <c r="BA665" s="2"/>
    </row>
    <row r="666" spans="5:53" x14ac:dyDescent="0.2">
      <c r="BA666" s="2"/>
    </row>
    <row r="667" spans="5:53" x14ac:dyDescent="0.2">
      <c r="BA667" s="2"/>
    </row>
    <row r="668" spans="5:53" x14ac:dyDescent="0.2">
      <c r="O668" s="3"/>
      <c r="P668" s="3"/>
      <c r="BA668" s="2"/>
    </row>
    <row r="669" spans="5:53" x14ac:dyDescent="0.2">
      <c r="E669" s="13"/>
    </row>
    <row r="670" spans="5:53" x14ac:dyDescent="0.2">
      <c r="BA670" s="2"/>
    </row>
    <row r="671" spans="5:53" x14ac:dyDescent="0.2">
      <c r="BA671" s="2"/>
    </row>
    <row r="672" spans="5:53" x14ac:dyDescent="0.2">
      <c r="BA672" s="2"/>
    </row>
    <row r="673" spans="5:53" x14ac:dyDescent="0.2">
      <c r="BA673" s="2"/>
    </row>
    <row r="674" spans="5:53" x14ac:dyDescent="0.2">
      <c r="BA674" s="2"/>
    </row>
    <row r="675" spans="5:53" x14ac:dyDescent="0.2">
      <c r="BA675" s="2"/>
    </row>
    <row r="676" spans="5:53" x14ac:dyDescent="0.2">
      <c r="O676" s="3"/>
      <c r="P676" s="3"/>
      <c r="BA676" s="2"/>
    </row>
    <row r="677" spans="5:53" x14ac:dyDescent="0.2">
      <c r="E677" s="13"/>
    </row>
    <row r="678" spans="5:53" x14ac:dyDescent="0.2">
      <c r="BA678" s="2"/>
    </row>
    <row r="679" spans="5:53" x14ac:dyDescent="0.2">
      <c r="BA679" s="2"/>
    </row>
    <row r="680" spans="5:53" x14ac:dyDescent="0.2">
      <c r="BA680" s="2"/>
    </row>
    <row r="681" spans="5:53" x14ac:dyDescent="0.2">
      <c r="BA681" s="2"/>
    </row>
    <row r="682" spans="5:53" x14ac:dyDescent="0.2">
      <c r="BA682" s="2"/>
    </row>
    <row r="683" spans="5:53" x14ac:dyDescent="0.2">
      <c r="BA683" s="2"/>
    </row>
    <row r="684" spans="5:53" x14ac:dyDescent="0.2">
      <c r="O684" s="3"/>
      <c r="P684" s="3"/>
      <c r="BA684" s="2"/>
    </row>
    <row r="685" spans="5:53" x14ac:dyDescent="0.2">
      <c r="G685" s="3"/>
      <c r="BA685" s="2"/>
    </row>
    <row r="686" spans="5:53" x14ac:dyDescent="0.2">
      <c r="O686" s="3"/>
      <c r="P686" s="3"/>
      <c r="BA686" s="2"/>
    </row>
    <row r="687" spans="5:53" x14ac:dyDescent="0.2">
      <c r="G687" s="3"/>
      <c r="BA687" s="2"/>
    </row>
    <row r="688" spans="5:53" x14ac:dyDescent="0.2">
      <c r="O688" s="3"/>
      <c r="P688" s="3"/>
      <c r="BA688" s="2"/>
    </row>
    <row r="689" spans="4:54" x14ac:dyDescent="0.2">
      <c r="E689" s="16"/>
      <c r="BA689" s="2"/>
      <c r="BB689" s="3"/>
    </row>
    <row r="690" spans="4:54" x14ac:dyDescent="0.2">
      <c r="BA690" s="2"/>
    </row>
    <row r="691" spans="4:54" x14ac:dyDescent="0.2">
      <c r="BA691" s="2"/>
    </row>
    <row r="692" spans="4:54" x14ac:dyDescent="0.2">
      <c r="BA692" s="2"/>
    </row>
    <row r="693" spans="4:54" x14ac:dyDescent="0.2">
      <c r="O693" s="3"/>
      <c r="P693" s="3"/>
      <c r="BA693" s="2"/>
    </row>
    <row r="694" spans="4:54" x14ac:dyDescent="0.2">
      <c r="O694" s="13"/>
      <c r="P694" s="13"/>
      <c r="BA694" s="2"/>
    </row>
    <row r="695" spans="4:54" x14ac:dyDescent="0.2">
      <c r="O695" s="3"/>
      <c r="P695" s="3"/>
      <c r="BA695" s="2"/>
    </row>
    <row r="696" spans="4:54" x14ac:dyDescent="0.2">
      <c r="O696" s="3"/>
      <c r="P696" s="3"/>
      <c r="BA696" s="2"/>
    </row>
    <row r="697" spans="4:54" x14ac:dyDescent="0.2">
      <c r="O697" s="13"/>
      <c r="P697" s="13"/>
      <c r="BA697" s="2"/>
    </row>
    <row r="698" spans="4:54" x14ac:dyDescent="0.2">
      <c r="O698" s="3"/>
      <c r="P698" s="3"/>
      <c r="BA698" s="2"/>
    </row>
    <row r="699" spans="4:54" x14ac:dyDescent="0.2">
      <c r="O699" s="3"/>
      <c r="P699" s="3"/>
      <c r="AV699" s="23"/>
      <c r="AW699" s="40"/>
      <c r="BA699" s="2"/>
    </row>
    <row r="700" spans="4:54" x14ac:dyDescent="0.2">
      <c r="O700" s="3"/>
      <c r="P700" s="3"/>
      <c r="AV700" s="23"/>
      <c r="AW700" s="40"/>
      <c r="BA700" s="2"/>
    </row>
    <row r="701" spans="4:54" x14ac:dyDescent="0.2">
      <c r="O701" s="3"/>
      <c r="P701" s="3"/>
      <c r="AV701" s="23"/>
      <c r="AW701" s="40"/>
      <c r="BA701" s="2"/>
    </row>
    <row r="702" spans="4:54" x14ac:dyDescent="0.2">
      <c r="O702" s="3"/>
      <c r="P702" s="3"/>
      <c r="AV702" s="23"/>
      <c r="AW702" s="40"/>
      <c r="BA702" s="2"/>
    </row>
    <row r="703" spans="4:54" x14ac:dyDescent="0.2">
      <c r="O703" s="13"/>
      <c r="P703" s="13"/>
      <c r="BA703" s="2"/>
    </row>
    <row r="704" spans="4:54" x14ac:dyDescent="0.2">
      <c r="D704" s="3"/>
      <c r="E704" s="17"/>
      <c r="F704" s="43"/>
      <c r="BA704" s="2"/>
    </row>
    <row r="705" spans="4:53" x14ac:dyDescent="0.2">
      <c r="D705" s="3"/>
      <c r="E705" s="17"/>
      <c r="F705" s="43"/>
      <c r="O705" s="3"/>
      <c r="P705" s="3"/>
      <c r="BA705" s="2"/>
    </row>
    <row r="706" spans="4:53" x14ac:dyDescent="0.2">
      <c r="D706" s="3"/>
      <c r="E706" s="17"/>
      <c r="F706" s="43"/>
      <c r="BA706" s="2"/>
    </row>
    <row r="707" spans="4:53" x14ac:dyDescent="0.2">
      <c r="D707" s="3"/>
      <c r="E707" s="17"/>
      <c r="F707" s="43"/>
      <c r="BA707" s="2"/>
    </row>
    <row r="708" spans="4:53" x14ac:dyDescent="0.2">
      <c r="D708" s="3"/>
      <c r="E708" s="17"/>
      <c r="F708" s="43"/>
      <c r="BA708" s="2"/>
    </row>
    <row r="709" spans="4:53" x14ac:dyDescent="0.2">
      <c r="D709" s="3"/>
      <c r="E709" s="17"/>
      <c r="F709" s="43"/>
      <c r="BA709" s="2"/>
    </row>
    <row r="710" spans="4:53" x14ac:dyDescent="0.2">
      <c r="D710" s="3"/>
      <c r="E710" s="17"/>
      <c r="F710" s="43"/>
      <c r="BA710" s="2"/>
    </row>
    <row r="711" spans="4:53" x14ac:dyDescent="0.2">
      <c r="D711" s="3"/>
      <c r="E711" s="17"/>
      <c r="F711" s="43"/>
      <c r="BA711" s="2"/>
    </row>
    <row r="712" spans="4:53" x14ac:dyDescent="0.2">
      <c r="D712" s="3"/>
      <c r="E712" s="17"/>
      <c r="F712" s="43"/>
      <c r="BA712" s="2"/>
    </row>
    <row r="713" spans="4:53" x14ac:dyDescent="0.2">
      <c r="D713" s="3"/>
      <c r="E713" s="17"/>
      <c r="F713" s="43"/>
      <c r="BA713" s="2"/>
    </row>
    <row r="714" spans="4:53" x14ac:dyDescent="0.2">
      <c r="D714" s="3"/>
      <c r="E714" s="17"/>
      <c r="F714" s="43"/>
      <c r="BA714" s="2"/>
    </row>
    <row r="715" spans="4:53" x14ac:dyDescent="0.2">
      <c r="D715" s="3"/>
      <c r="E715" s="17"/>
      <c r="F715" s="43"/>
      <c r="BA715" s="2"/>
    </row>
    <row r="716" spans="4:53" x14ac:dyDescent="0.2">
      <c r="D716" s="3"/>
      <c r="E716" s="17"/>
      <c r="F716" s="43"/>
      <c r="BA716" s="2"/>
    </row>
    <row r="717" spans="4:53" x14ac:dyDescent="0.2">
      <c r="D717" s="3"/>
      <c r="E717" s="17"/>
      <c r="F717" s="43"/>
      <c r="BA717" s="2"/>
    </row>
    <row r="718" spans="4:53" x14ac:dyDescent="0.2">
      <c r="D718" s="3"/>
      <c r="E718" s="17"/>
      <c r="F718" s="43"/>
      <c r="BA718" s="2"/>
    </row>
    <row r="719" spans="4:53" x14ac:dyDescent="0.2">
      <c r="D719" s="3"/>
      <c r="E719" s="17"/>
      <c r="F719" s="43"/>
      <c r="BA719" s="2"/>
    </row>
    <row r="720" spans="4:53" x14ac:dyDescent="0.2">
      <c r="D720" s="3"/>
      <c r="E720" s="17"/>
      <c r="F720" s="43"/>
      <c r="BA720" s="2"/>
    </row>
    <row r="721" spans="4:53" x14ac:dyDescent="0.2">
      <c r="D721" s="3"/>
      <c r="E721" s="17"/>
      <c r="F721" s="43"/>
      <c r="BA721" s="2"/>
    </row>
    <row r="722" spans="4:53" x14ac:dyDescent="0.2">
      <c r="D722" s="3"/>
      <c r="E722" s="17"/>
      <c r="F722" s="43"/>
      <c r="BA722" s="2"/>
    </row>
    <row r="723" spans="4:53" x14ac:dyDescent="0.2">
      <c r="D723" s="3"/>
      <c r="E723" s="17"/>
      <c r="F723" s="43"/>
      <c r="BA723" s="2"/>
    </row>
    <row r="724" spans="4:53" x14ac:dyDescent="0.2">
      <c r="D724" s="3"/>
      <c r="E724" s="17"/>
      <c r="F724" s="43"/>
      <c r="BA724" s="2"/>
    </row>
    <row r="725" spans="4:53" x14ac:dyDescent="0.2">
      <c r="D725" s="3"/>
      <c r="E725" s="17"/>
      <c r="F725" s="43"/>
      <c r="BA725" s="2"/>
    </row>
    <row r="726" spans="4:53" x14ac:dyDescent="0.2">
      <c r="D726" s="3"/>
      <c r="E726" s="17"/>
      <c r="F726" s="43"/>
      <c r="BA726" s="2"/>
    </row>
    <row r="727" spans="4:53" x14ac:dyDescent="0.2">
      <c r="D727" s="3"/>
      <c r="E727" s="17"/>
      <c r="F727" s="43"/>
      <c r="BA727" s="2"/>
    </row>
    <row r="728" spans="4:53" x14ac:dyDescent="0.2">
      <c r="D728" s="3"/>
      <c r="E728" s="17"/>
      <c r="F728" s="43"/>
      <c r="BA728" s="2"/>
    </row>
    <row r="729" spans="4:53" x14ac:dyDescent="0.2">
      <c r="D729" s="3"/>
      <c r="E729" s="17"/>
      <c r="F729" s="43"/>
      <c r="BA729" s="2"/>
    </row>
    <row r="730" spans="4:53" x14ac:dyDescent="0.2">
      <c r="E730" s="13"/>
    </row>
    <row r="731" spans="4:53" x14ac:dyDescent="0.2">
      <c r="BA731" s="2"/>
    </row>
    <row r="732" spans="4:53" x14ac:dyDescent="0.2">
      <c r="BA732" s="2"/>
    </row>
    <row r="733" spans="4:53" x14ac:dyDescent="0.2">
      <c r="BA733" s="2"/>
    </row>
    <row r="734" spans="4:53" x14ac:dyDescent="0.2">
      <c r="BA734" s="2"/>
    </row>
    <row r="735" spans="4:53" x14ac:dyDescent="0.2">
      <c r="O735" s="3"/>
      <c r="P735" s="3"/>
      <c r="BA735" s="2"/>
    </row>
    <row r="736" spans="4:53" x14ac:dyDescent="0.2">
      <c r="E736" s="13"/>
    </row>
    <row r="737" spans="1:53" x14ac:dyDescent="0.2">
      <c r="BA737" s="2"/>
    </row>
    <row r="738" spans="1:53" x14ac:dyDescent="0.2">
      <c r="BA738" s="2"/>
    </row>
    <row r="739" spans="1:53" x14ac:dyDescent="0.2">
      <c r="BA739" s="2"/>
    </row>
    <row r="740" spans="1:53" x14ac:dyDescent="0.2">
      <c r="BA740" s="2"/>
    </row>
    <row r="741" spans="1:53" x14ac:dyDescent="0.2">
      <c r="O741" s="3"/>
      <c r="P741" s="3"/>
      <c r="BA741" s="2"/>
    </row>
    <row r="742" spans="1:53" x14ac:dyDescent="0.2">
      <c r="BA742" s="2"/>
    </row>
    <row r="743" spans="1:53" x14ac:dyDescent="0.2">
      <c r="G743" s="3"/>
      <c r="BA743" s="2"/>
    </row>
    <row r="744" spans="1:53" x14ac:dyDescent="0.2">
      <c r="D744" s="3"/>
      <c r="G744" s="3"/>
      <c r="BA744" s="2"/>
    </row>
    <row r="745" spans="1:53" s="3" customFormat="1" x14ac:dyDescent="0.2">
      <c r="A745" s="1"/>
      <c r="B745" s="2"/>
      <c r="C745" s="46"/>
      <c r="E745" s="17"/>
      <c r="F745" s="42"/>
      <c r="L745" s="4"/>
      <c r="M745" s="18"/>
      <c r="N745" s="18"/>
      <c r="S745" s="1"/>
      <c r="T745" s="1"/>
      <c r="U745" s="1"/>
      <c r="V745" s="1"/>
      <c r="AA745" s="29"/>
      <c r="AD745" s="29"/>
      <c r="AG745" s="29"/>
      <c r="AJ745" s="29"/>
      <c r="AS745" s="29"/>
      <c r="AW745" s="29"/>
      <c r="AX745" s="1"/>
    </row>
    <row r="746" spans="1:53" s="3" customFormat="1" x14ac:dyDescent="0.2">
      <c r="A746" s="1"/>
      <c r="C746" s="1"/>
      <c r="E746" s="17"/>
      <c r="F746" s="42"/>
      <c r="L746" s="4"/>
      <c r="M746" s="18"/>
      <c r="N746" s="18"/>
      <c r="S746" s="1"/>
      <c r="T746" s="1"/>
      <c r="U746" s="1"/>
      <c r="V746" s="1"/>
      <c r="AA746" s="29"/>
      <c r="AD746" s="29"/>
      <c r="AG746" s="29"/>
      <c r="AJ746" s="29"/>
      <c r="AS746" s="29"/>
      <c r="AW746" s="29"/>
      <c r="AX746" s="1"/>
    </row>
    <row r="747" spans="1:53" s="3" customFormat="1" x14ac:dyDescent="0.2">
      <c r="A747" s="1"/>
      <c r="C747" s="1"/>
      <c r="E747" s="17"/>
      <c r="F747" s="42"/>
      <c r="L747" s="4"/>
      <c r="M747" s="18"/>
      <c r="N747" s="18"/>
      <c r="S747" s="1"/>
      <c r="T747" s="1"/>
      <c r="U747" s="1"/>
      <c r="V747" s="1"/>
      <c r="AA747" s="29"/>
      <c r="AD747" s="29"/>
      <c r="AG747" s="29"/>
      <c r="AJ747" s="29"/>
      <c r="AS747" s="29"/>
      <c r="AW747" s="29"/>
      <c r="AX747" s="1"/>
    </row>
    <row r="748" spans="1:53" s="3" customFormat="1" x14ac:dyDescent="0.2">
      <c r="A748" s="1"/>
      <c r="C748" s="1"/>
      <c r="E748" s="17"/>
      <c r="F748" s="42"/>
      <c r="L748" s="4"/>
      <c r="M748" s="18"/>
      <c r="N748" s="18"/>
      <c r="S748" s="1"/>
      <c r="T748" s="1"/>
      <c r="U748" s="1"/>
      <c r="V748" s="1"/>
      <c r="AA748" s="29"/>
      <c r="AD748" s="29"/>
      <c r="AG748" s="29"/>
      <c r="AJ748" s="29"/>
      <c r="AS748" s="29"/>
      <c r="AW748" s="29"/>
      <c r="AX748" s="1"/>
    </row>
    <row r="749" spans="1:53" s="3" customFormat="1" x14ac:dyDescent="0.2">
      <c r="A749" s="1"/>
      <c r="C749" s="1"/>
      <c r="E749" s="17"/>
      <c r="F749" s="42"/>
      <c r="L749" s="4"/>
      <c r="M749" s="18"/>
      <c r="N749" s="18"/>
      <c r="S749" s="1"/>
      <c r="T749" s="1"/>
      <c r="U749" s="1"/>
      <c r="V749" s="1"/>
      <c r="AA749" s="29"/>
      <c r="AD749" s="29"/>
      <c r="AG749" s="29"/>
      <c r="AJ749" s="29"/>
      <c r="AS749" s="29"/>
      <c r="AW749" s="29"/>
      <c r="AX749" s="1"/>
    </row>
    <row r="750" spans="1:53" s="3" customFormat="1" x14ac:dyDescent="0.2">
      <c r="A750" s="1"/>
      <c r="C750" s="1"/>
      <c r="E750" s="17"/>
      <c r="F750" s="42"/>
      <c r="L750" s="4"/>
      <c r="M750" s="18"/>
      <c r="N750" s="18"/>
      <c r="S750" s="1"/>
      <c r="T750" s="1"/>
      <c r="U750" s="1"/>
      <c r="V750" s="1"/>
      <c r="AA750" s="29"/>
      <c r="AD750" s="29"/>
      <c r="AG750" s="29"/>
      <c r="AJ750" s="29"/>
      <c r="AS750" s="29"/>
      <c r="AW750" s="29"/>
      <c r="AX750" s="1"/>
    </row>
    <row r="751" spans="1:53" s="3" customFormat="1" x14ac:dyDescent="0.2">
      <c r="A751" s="1"/>
      <c r="C751" s="1"/>
      <c r="E751" s="17"/>
      <c r="F751" s="42"/>
      <c r="L751" s="4"/>
      <c r="M751" s="18"/>
      <c r="N751" s="18"/>
      <c r="S751" s="1"/>
      <c r="T751" s="1"/>
      <c r="U751" s="1"/>
      <c r="V751" s="1"/>
      <c r="AA751" s="29"/>
      <c r="AD751" s="29"/>
      <c r="AG751" s="29"/>
      <c r="AJ751" s="29"/>
      <c r="AS751" s="29"/>
      <c r="AW751" s="29"/>
      <c r="AX751" s="1"/>
    </row>
    <row r="752" spans="1:53" s="3" customFormat="1" x14ac:dyDescent="0.2">
      <c r="A752" s="1"/>
      <c r="C752" s="1"/>
      <c r="E752" s="17"/>
      <c r="F752" s="42"/>
      <c r="L752" s="4"/>
      <c r="M752" s="18"/>
      <c r="N752" s="18"/>
      <c r="S752" s="1"/>
      <c r="T752" s="1"/>
      <c r="U752" s="1"/>
      <c r="V752" s="1"/>
      <c r="AA752" s="29"/>
      <c r="AD752" s="29"/>
      <c r="AG752" s="29"/>
      <c r="AJ752" s="29"/>
      <c r="AS752" s="29"/>
      <c r="AW752" s="29"/>
      <c r="AX752" s="1"/>
    </row>
    <row r="753" spans="1:50" s="3" customFormat="1" x14ac:dyDescent="0.2">
      <c r="A753" s="1"/>
      <c r="C753" s="1"/>
      <c r="E753" s="17"/>
      <c r="F753" s="42"/>
      <c r="L753" s="4"/>
      <c r="M753" s="18"/>
      <c r="N753" s="18"/>
      <c r="S753" s="1"/>
      <c r="T753" s="1"/>
      <c r="U753" s="1"/>
      <c r="V753" s="1"/>
      <c r="AA753" s="29"/>
      <c r="AD753" s="29"/>
      <c r="AG753" s="29"/>
      <c r="AJ753" s="29"/>
      <c r="AS753" s="29"/>
      <c r="AW753" s="29"/>
      <c r="AX753" s="1"/>
    </row>
    <row r="754" spans="1:50" s="3" customFormat="1" x14ac:dyDescent="0.2">
      <c r="A754" s="1"/>
      <c r="C754" s="1"/>
      <c r="E754" s="17"/>
      <c r="F754" s="42"/>
      <c r="L754" s="4"/>
      <c r="M754" s="18"/>
      <c r="N754" s="18"/>
      <c r="S754" s="1"/>
      <c r="T754" s="1"/>
      <c r="U754" s="1"/>
      <c r="V754" s="1"/>
      <c r="AA754" s="29"/>
      <c r="AD754" s="29"/>
      <c r="AG754" s="29"/>
      <c r="AJ754" s="29"/>
      <c r="AS754" s="29"/>
      <c r="AW754" s="29"/>
      <c r="AX754" s="1"/>
    </row>
    <row r="755" spans="1:50" s="3" customFormat="1" x14ac:dyDescent="0.2">
      <c r="A755" s="1"/>
      <c r="C755" s="1"/>
      <c r="E755" s="17"/>
      <c r="F755" s="42"/>
      <c r="L755" s="4"/>
      <c r="M755" s="18"/>
      <c r="N755" s="18"/>
      <c r="S755" s="1"/>
      <c r="T755" s="1"/>
      <c r="U755" s="1"/>
      <c r="V755" s="1"/>
      <c r="AA755" s="29"/>
      <c r="AD755" s="29"/>
      <c r="AG755" s="29"/>
      <c r="AJ755" s="29"/>
      <c r="AS755" s="29"/>
      <c r="AW755" s="29"/>
      <c r="AX755" s="1"/>
    </row>
    <row r="756" spans="1:50" s="3" customFormat="1" x14ac:dyDescent="0.2">
      <c r="A756" s="1"/>
      <c r="C756" s="1"/>
      <c r="E756" s="17"/>
      <c r="F756" s="42"/>
      <c r="L756" s="4"/>
      <c r="M756" s="18"/>
      <c r="N756" s="18"/>
      <c r="S756" s="1"/>
      <c r="T756" s="1"/>
      <c r="U756" s="1"/>
      <c r="V756" s="1"/>
      <c r="AA756" s="29"/>
      <c r="AD756" s="29"/>
      <c r="AG756" s="29"/>
      <c r="AJ756" s="29"/>
      <c r="AS756" s="29"/>
      <c r="AW756" s="29"/>
      <c r="AX756" s="1"/>
    </row>
    <row r="757" spans="1:50" s="3" customFormat="1" x14ac:dyDescent="0.2">
      <c r="A757" s="1"/>
      <c r="C757" s="1"/>
      <c r="E757" s="17"/>
      <c r="F757" s="42"/>
      <c r="L757" s="4"/>
      <c r="M757" s="18"/>
      <c r="N757" s="18"/>
      <c r="S757" s="1"/>
      <c r="T757" s="1"/>
      <c r="U757" s="1"/>
      <c r="V757" s="1"/>
      <c r="AA757" s="29"/>
      <c r="AD757" s="29"/>
      <c r="AG757" s="29"/>
      <c r="AJ757" s="29"/>
      <c r="AS757" s="29"/>
      <c r="AW757" s="29"/>
      <c r="AX757" s="1"/>
    </row>
    <row r="758" spans="1:50" s="3" customFormat="1" x14ac:dyDescent="0.2">
      <c r="A758" s="1"/>
      <c r="C758" s="1"/>
      <c r="E758" s="17"/>
      <c r="F758" s="42"/>
      <c r="L758" s="4"/>
      <c r="M758" s="18"/>
      <c r="N758" s="18"/>
      <c r="S758" s="1"/>
      <c r="T758" s="1"/>
      <c r="U758" s="1"/>
      <c r="V758" s="1"/>
      <c r="AA758" s="29"/>
      <c r="AD758" s="29"/>
      <c r="AG758" s="29"/>
      <c r="AJ758" s="29"/>
      <c r="AS758" s="29"/>
      <c r="AW758" s="29"/>
      <c r="AX758" s="1"/>
    </row>
    <row r="759" spans="1:50" s="3" customFormat="1" x14ac:dyDescent="0.2">
      <c r="A759" s="1"/>
      <c r="C759" s="1"/>
      <c r="E759" s="17"/>
      <c r="F759" s="42"/>
      <c r="L759" s="4"/>
      <c r="M759" s="18"/>
      <c r="N759" s="18"/>
      <c r="S759" s="1"/>
      <c r="T759" s="1"/>
      <c r="U759" s="1"/>
      <c r="V759" s="1"/>
      <c r="AA759" s="29"/>
      <c r="AD759" s="29"/>
      <c r="AG759" s="29"/>
      <c r="AJ759" s="29"/>
      <c r="AS759" s="29"/>
      <c r="AW759" s="29"/>
      <c r="AX759" s="1"/>
    </row>
    <row r="760" spans="1:50" s="3" customFormat="1" x14ac:dyDescent="0.2">
      <c r="A760" s="1"/>
      <c r="C760" s="1"/>
      <c r="E760" s="17"/>
      <c r="F760" s="42"/>
      <c r="L760" s="4"/>
      <c r="M760" s="18"/>
      <c r="N760" s="18"/>
      <c r="S760" s="1"/>
      <c r="T760" s="1"/>
      <c r="U760" s="1"/>
      <c r="V760" s="1"/>
      <c r="AA760" s="29"/>
      <c r="AD760" s="29"/>
      <c r="AG760" s="29"/>
      <c r="AJ760" s="29"/>
      <c r="AS760" s="29"/>
      <c r="AW760" s="29"/>
      <c r="AX760" s="1"/>
    </row>
    <row r="761" spans="1:50" s="3" customFormat="1" x14ac:dyDescent="0.2">
      <c r="A761" s="1"/>
      <c r="C761" s="1"/>
      <c r="E761" s="17"/>
      <c r="F761" s="42"/>
      <c r="L761" s="4"/>
      <c r="M761" s="18"/>
      <c r="N761" s="18"/>
      <c r="S761" s="1"/>
      <c r="T761" s="1"/>
      <c r="U761" s="1"/>
      <c r="V761" s="1"/>
      <c r="AA761" s="29"/>
      <c r="AD761" s="29"/>
      <c r="AG761" s="29"/>
      <c r="AJ761" s="29"/>
      <c r="AS761" s="29"/>
      <c r="AW761" s="29"/>
      <c r="AX761" s="1"/>
    </row>
    <row r="762" spans="1:50" s="3" customFormat="1" x14ac:dyDescent="0.2">
      <c r="A762" s="1"/>
      <c r="C762" s="1"/>
      <c r="E762" s="17"/>
      <c r="F762" s="42"/>
      <c r="L762" s="4"/>
      <c r="M762" s="18"/>
      <c r="N762" s="18"/>
      <c r="S762" s="1"/>
      <c r="T762" s="1"/>
      <c r="U762" s="1"/>
      <c r="V762" s="1"/>
      <c r="AA762" s="29"/>
      <c r="AD762" s="29"/>
      <c r="AG762" s="29"/>
      <c r="AJ762" s="29"/>
      <c r="AS762" s="29"/>
      <c r="AW762" s="29"/>
      <c r="AX762" s="1"/>
    </row>
    <row r="763" spans="1:50" s="3" customFormat="1" x14ac:dyDescent="0.2">
      <c r="A763" s="1"/>
      <c r="C763" s="1"/>
      <c r="E763" s="17"/>
      <c r="F763" s="42"/>
      <c r="L763" s="4"/>
      <c r="M763" s="18"/>
      <c r="N763" s="18"/>
      <c r="S763" s="1"/>
      <c r="T763" s="1"/>
      <c r="U763" s="1"/>
      <c r="V763" s="1"/>
      <c r="AA763" s="29"/>
      <c r="AD763" s="29"/>
      <c r="AG763" s="29"/>
      <c r="AJ763" s="29"/>
      <c r="AS763" s="29"/>
      <c r="AW763" s="29"/>
      <c r="AX763" s="1"/>
    </row>
    <row r="764" spans="1:50" s="3" customFormat="1" x14ac:dyDescent="0.2">
      <c r="A764" s="1"/>
      <c r="C764" s="1"/>
      <c r="E764" s="17"/>
      <c r="F764" s="42"/>
      <c r="L764" s="4"/>
      <c r="M764" s="18"/>
      <c r="N764" s="18"/>
      <c r="S764" s="1"/>
      <c r="T764" s="1"/>
      <c r="U764" s="1"/>
      <c r="V764" s="1"/>
      <c r="AA764" s="29"/>
      <c r="AD764" s="29"/>
      <c r="AG764" s="29"/>
      <c r="AJ764" s="29"/>
      <c r="AS764" s="29"/>
      <c r="AW764" s="29"/>
      <c r="AX764" s="1"/>
    </row>
    <row r="765" spans="1:50" s="3" customFormat="1" x14ac:dyDescent="0.2">
      <c r="A765" s="1"/>
      <c r="C765" s="1"/>
      <c r="E765" s="17"/>
      <c r="F765" s="42"/>
      <c r="L765" s="4"/>
      <c r="M765" s="18"/>
      <c r="N765" s="18"/>
      <c r="S765" s="1"/>
      <c r="T765" s="1"/>
      <c r="U765" s="1"/>
      <c r="V765" s="1"/>
      <c r="AA765" s="29"/>
      <c r="AD765" s="29"/>
      <c r="AG765" s="29"/>
      <c r="AJ765" s="29"/>
      <c r="AS765" s="29"/>
      <c r="AW765" s="29"/>
      <c r="AX765" s="1"/>
    </row>
    <row r="766" spans="1:50" s="3" customFormat="1" x14ac:dyDescent="0.2">
      <c r="A766" s="1"/>
      <c r="C766" s="1"/>
      <c r="E766" s="17"/>
      <c r="F766" s="42"/>
      <c r="L766" s="4"/>
      <c r="M766" s="18"/>
      <c r="N766" s="18"/>
      <c r="S766" s="1"/>
      <c r="T766" s="1"/>
      <c r="U766" s="1"/>
      <c r="V766" s="1"/>
      <c r="AA766" s="29"/>
      <c r="AD766" s="29"/>
      <c r="AG766" s="29"/>
      <c r="AJ766" s="29"/>
      <c r="AS766" s="29"/>
      <c r="AW766" s="29"/>
      <c r="AX766" s="1"/>
    </row>
    <row r="767" spans="1:50" s="3" customFormat="1" x14ac:dyDescent="0.2">
      <c r="A767" s="1"/>
      <c r="C767" s="1"/>
      <c r="E767" s="17"/>
      <c r="F767" s="42"/>
      <c r="L767" s="4"/>
      <c r="M767" s="18"/>
      <c r="N767" s="18"/>
      <c r="S767" s="1"/>
      <c r="T767" s="1"/>
      <c r="U767" s="1"/>
      <c r="V767" s="1"/>
      <c r="AA767" s="29"/>
      <c r="AD767" s="29"/>
      <c r="AG767" s="29"/>
      <c r="AJ767" s="29"/>
      <c r="AS767" s="29"/>
      <c r="AW767" s="29"/>
      <c r="AX767" s="1"/>
    </row>
    <row r="768" spans="1:50" s="3" customFormat="1" x14ac:dyDescent="0.2">
      <c r="A768" s="1"/>
      <c r="C768" s="1"/>
      <c r="E768" s="17"/>
      <c r="F768" s="42"/>
      <c r="L768" s="4"/>
      <c r="M768" s="18"/>
      <c r="N768" s="18"/>
      <c r="S768" s="1"/>
      <c r="T768" s="1"/>
      <c r="U768" s="1"/>
      <c r="V768" s="1"/>
      <c r="AA768" s="29"/>
      <c r="AD768" s="29"/>
      <c r="AG768" s="29"/>
      <c r="AJ768" s="29"/>
      <c r="AS768" s="29"/>
      <c r="AW768" s="29"/>
      <c r="AX768" s="1"/>
    </row>
    <row r="769" spans="1:50" s="3" customFormat="1" x14ac:dyDescent="0.2">
      <c r="A769" s="1"/>
      <c r="C769" s="1"/>
      <c r="E769" s="17"/>
      <c r="F769" s="42"/>
      <c r="L769" s="4"/>
      <c r="M769" s="18"/>
      <c r="N769" s="18"/>
      <c r="S769" s="1"/>
      <c r="T769" s="1"/>
      <c r="U769" s="1"/>
      <c r="V769" s="1"/>
      <c r="AA769" s="29"/>
      <c r="AD769" s="29"/>
      <c r="AG769" s="29"/>
      <c r="AJ769" s="29"/>
      <c r="AS769" s="29"/>
      <c r="AW769" s="29"/>
      <c r="AX769" s="1"/>
    </row>
    <row r="770" spans="1:50" s="3" customFormat="1" x14ac:dyDescent="0.2">
      <c r="A770" s="1"/>
      <c r="C770" s="1"/>
      <c r="E770" s="17"/>
      <c r="F770" s="42"/>
      <c r="L770" s="4"/>
      <c r="M770" s="18"/>
      <c r="N770" s="18"/>
      <c r="S770" s="1"/>
      <c r="T770" s="1"/>
      <c r="U770" s="1"/>
      <c r="V770" s="1"/>
      <c r="AA770" s="29"/>
      <c r="AD770" s="29"/>
      <c r="AG770" s="29"/>
      <c r="AJ770" s="29"/>
      <c r="AS770" s="29"/>
      <c r="AW770" s="29"/>
      <c r="AX770" s="1"/>
    </row>
    <row r="771" spans="1:50" s="3" customFormat="1" x14ac:dyDescent="0.2">
      <c r="A771" s="1"/>
      <c r="C771" s="1"/>
      <c r="E771" s="17"/>
      <c r="F771" s="42"/>
      <c r="L771" s="4"/>
      <c r="M771" s="18"/>
      <c r="N771" s="18"/>
      <c r="S771" s="1"/>
      <c r="T771" s="1"/>
      <c r="U771" s="1"/>
      <c r="V771" s="1"/>
      <c r="AA771" s="29"/>
      <c r="AD771" s="29"/>
      <c r="AG771" s="29"/>
      <c r="AJ771" s="29"/>
      <c r="AS771" s="29"/>
      <c r="AW771" s="29"/>
      <c r="AX771" s="1"/>
    </row>
    <row r="772" spans="1:50" s="3" customFormat="1" x14ac:dyDescent="0.2">
      <c r="A772" s="1"/>
      <c r="C772" s="1"/>
      <c r="E772" s="17"/>
      <c r="F772" s="42"/>
      <c r="L772" s="4"/>
      <c r="M772" s="18"/>
      <c r="N772" s="18"/>
      <c r="S772" s="1"/>
      <c r="T772" s="1"/>
      <c r="U772" s="1"/>
      <c r="V772" s="1"/>
      <c r="AA772" s="29"/>
      <c r="AD772" s="29"/>
      <c r="AG772" s="29"/>
      <c r="AJ772" s="29"/>
      <c r="AS772" s="29"/>
      <c r="AW772" s="29"/>
      <c r="AX772" s="1"/>
    </row>
    <row r="773" spans="1:50" s="3" customFormat="1" x14ac:dyDescent="0.2">
      <c r="A773" s="1"/>
      <c r="C773" s="1"/>
      <c r="E773" s="17"/>
      <c r="F773" s="42"/>
      <c r="L773" s="4"/>
      <c r="M773" s="18"/>
      <c r="N773" s="18"/>
      <c r="S773" s="1"/>
      <c r="T773" s="1"/>
      <c r="U773" s="1"/>
      <c r="V773" s="1"/>
      <c r="AA773" s="29"/>
      <c r="AD773" s="29"/>
      <c r="AG773" s="29"/>
      <c r="AJ773" s="29"/>
      <c r="AS773" s="29"/>
      <c r="AW773" s="29"/>
      <c r="AX773" s="1"/>
    </row>
    <row r="774" spans="1:50" s="3" customFormat="1" x14ac:dyDescent="0.2">
      <c r="A774" s="1"/>
      <c r="C774" s="1"/>
      <c r="E774" s="17"/>
      <c r="F774" s="43"/>
      <c r="L774" s="4"/>
      <c r="M774" s="18"/>
      <c r="N774" s="18"/>
      <c r="S774" s="1"/>
      <c r="T774" s="1"/>
      <c r="U774" s="1"/>
      <c r="V774" s="1"/>
      <c r="AA774" s="29"/>
      <c r="AD774" s="29"/>
      <c r="AG774" s="29"/>
      <c r="AJ774" s="29"/>
      <c r="AS774" s="29"/>
      <c r="AW774" s="29"/>
      <c r="AX774" s="1"/>
    </row>
    <row r="775" spans="1:50" s="3" customFormat="1" x14ac:dyDescent="0.2">
      <c r="A775" s="1"/>
      <c r="C775" s="1"/>
      <c r="E775" s="17"/>
      <c r="F775" s="43"/>
      <c r="L775" s="4"/>
      <c r="M775" s="18"/>
      <c r="N775" s="18"/>
      <c r="S775" s="1"/>
      <c r="T775" s="1"/>
      <c r="U775" s="1"/>
      <c r="V775" s="1"/>
      <c r="AA775" s="29"/>
      <c r="AD775" s="29"/>
      <c r="AG775" s="29"/>
      <c r="AJ775" s="29"/>
      <c r="AS775" s="29"/>
      <c r="AW775" s="29"/>
      <c r="AX775" s="1"/>
    </row>
    <row r="776" spans="1:50" s="3" customFormat="1" x14ac:dyDescent="0.2">
      <c r="A776" s="1"/>
      <c r="C776" s="1"/>
      <c r="E776" s="17"/>
      <c r="F776" s="43"/>
      <c r="L776" s="4"/>
      <c r="M776" s="18"/>
      <c r="N776" s="18"/>
      <c r="S776" s="1"/>
      <c r="T776" s="1"/>
      <c r="U776" s="1"/>
      <c r="V776" s="1"/>
      <c r="AA776" s="29"/>
      <c r="AD776" s="29"/>
      <c r="AG776" s="29"/>
      <c r="AJ776" s="29"/>
      <c r="AS776" s="29"/>
      <c r="AW776" s="29"/>
      <c r="AX776" s="1"/>
    </row>
    <row r="777" spans="1:50" s="3" customFormat="1" x14ac:dyDescent="0.2">
      <c r="A777" s="1"/>
      <c r="C777" s="1"/>
      <c r="E777" s="17"/>
      <c r="F777" s="42"/>
      <c r="L777" s="4"/>
      <c r="M777" s="18"/>
      <c r="N777" s="18"/>
      <c r="S777" s="1"/>
      <c r="T777" s="1"/>
      <c r="U777" s="1"/>
      <c r="V777" s="1"/>
      <c r="AA777" s="29"/>
      <c r="AD777" s="29"/>
      <c r="AG777" s="29"/>
      <c r="AJ777" s="29"/>
      <c r="AS777" s="29"/>
      <c r="AW777" s="29"/>
      <c r="AX777" s="1"/>
    </row>
    <row r="778" spans="1:50" s="3" customFormat="1" x14ac:dyDescent="0.2">
      <c r="A778" s="1"/>
      <c r="C778" s="1"/>
      <c r="E778" s="17"/>
      <c r="F778" s="42"/>
      <c r="L778" s="4"/>
      <c r="M778" s="18"/>
      <c r="N778" s="18"/>
      <c r="S778" s="1"/>
      <c r="T778" s="1"/>
      <c r="U778" s="1"/>
      <c r="V778" s="1"/>
      <c r="AA778" s="29"/>
      <c r="AD778" s="29"/>
      <c r="AG778" s="29"/>
      <c r="AJ778" s="29"/>
      <c r="AS778" s="29"/>
      <c r="AW778" s="29"/>
      <c r="AX778" s="1"/>
    </row>
    <row r="779" spans="1:50" s="3" customFormat="1" x14ac:dyDescent="0.2">
      <c r="A779" s="1"/>
      <c r="C779" s="1"/>
      <c r="E779" s="17"/>
      <c r="F779" s="42"/>
      <c r="L779" s="4"/>
      <c r="M779" s="18"/>
      <c r="N779" s="18"/>
      <c r="S779" s="1"/>
      <c r="T779" s="1"/>
      <c r="U779" s="1"/>
      <c r="V779" s="1"/>
      <c r="AA779" s="29"/>
      <c r="AD779" s="29"/>
      <c r="AG779" s="29"/>
      <c r="AJ779" s="29"/>
      <c r="AS779" s="29"/>
      <c r="AW779" s="29"/>
      <c r="AX779" s="1"/>
    </row>
    <row r="780" spans="1:50" s="3" customFormat="1" x14ac:dyDescent="0.2">
      <c r="A780" s="1"/>
      <c r="C780" s="1"/>
      <c r="E780" s="17"/>
      <c r="F780" s="42"/>
      <c r="L780" s="4"/>
      <c r="M780" s="18"/>
      <c r="N780" s="18"/>
      <c r="S780" s="1"/>
      <c r="T780" s="1"/>
      <c r="U780" s="1"/>
      <c r="V780" s="1"/>
      <c r="AA780" s="29"/>
      <c r="AD780" s="29"/>
      <c r="AG780" s="29"/>
      <c r="AJ780" s="29"/>
      <c r="AS780" s="29"/>
      <c r="AW780" s="29"/>
      <c r="AX780" s="1"/>
    </row>
    <row r="781" spans="1:50" s="3" customFormat="1" x14ac:dyDescent="0.2">
      <c r="A781" s="1"/>
      <c r="C781" s="1"/>
      <c r="E781" s="17"/>
      <c r="F781" s="42"/>
      <c r="L781" s="4"/>
      <c r="M781" s="18"/>
      <c r="N781" s="18"/>
      <c r="S781" s="1"/>
      <c r="T781" s="1"/>
      <c r="U781" s="1"/>
      <c r="V781" s="1"/>
      <c r="AA781" s="29"/>
      <c r="AD781" s="29"/>
      <c r="AG781" s="29"/>
      <c r="AJ781" s="29"/>
      <c r="AS781" s="29"/>
      <c r="AW781" s="29"/>
      <c r="AX781" s="1"/>
    </row>
    <row r="782" spans="1:50" s="3" customFormat="1" x14ac:dyDescent="0.2">
      <c r="A782" s="1"/>
      <c r="C782" s="1"/>
      <c r="E782" s="17"/>
      <c r="F782" s="42"/>
      <c r="G782" s="2"/>
      <c r="L782" s="4"/>
      <c r="M782" s="18"/>
      <c r="N782" s="18"/>
      <c r="S782" s="1"/>
      <c r="T782" s="1"/>
      <c r="U782" s="1"/>
      <c r="V782" s="1"/>
      <c r="AA782" s="29"/>
      <c r="AD782" s="29"/>
      <c r="AG782" s="29"/>
      <c r="AJ782" s="29"/>
      <c r="AS782" s="29"/>
      <c r="AW782" s="29"/>
      <c r="AX782" s="1"/>
    </row>
    <row r="783" spans="1:50" s="3" customFormat="1" x14ac:dyDescent="0.2">
      <c r="A783" s="1"/>
      <c r="C783" s="1"/>
      <c r="E783" s="17"/>
      <c r="F783" s="42"/>
      <c r="G783" s="2"/>
      <c r="L783" s="4"/>
      <c r="M783" s="18"/>
      <c r="N783" s="18"/>
      <c r="S783" s="1"/>
      <c r="T783" s="1"/>
      <c r="U783" s="1"/>
      <c r="V783" s="1"/>
      <c r="AA783" s="29"/>
      <c r="AD783" s="29"/>
      <c r="AG783" s="29"/>
      <c r="AJ783" s="29"/>
      <c r="AS783" s="29"/>
      <c r="AW783" s="29"/>
      <c r="AX783" s="1"/>
    </row>
    <row r="784" spans="1:50" s="3" customFormat="1" x14ac:dyDescent="0.2">
      <c r="A784" s="1"/>
      <c r="C784" s="1"/>
      <c r="E784" s="17"/>
      <c r="F784" s="42"/>
      <c r="G784" s="2"/>
      <c r="L784" s="4"/>
      <c r="M784" s="18"/>
      <c r="N784" s="18"/>
      <c r="S784" s="1"/>
      <c r="T784" s="1"/>
      <c r="U784" s="1"/>
      <c r="V784" s="1"/>
      <c r="AA784" s="29"/>
      <c r="AD784" s="29"/>
      <c r="AG784" s="29"/>
      <c r="AJ784" s="29"/>
      <c r="AS784" s="29"/>
      <c r="AW784" s="29"/>
      <c r="AX784" s="1"/>
    </row>
    <row r="785" spans="1:53" s="3" customFormat="1" x14ac:dyDescent="0.2">
      <c r="A785" s="1"/>
      <c r="C785" s="1"/>
      <c r="E785" s="17"/>
      <c r="F785" s="42"/>
      <c r="G785" s="2"/>
      <c r="L785" s="4"/>
      <c r="M785" s="18"/>
      <c r="N785" s="18"/>
      <c r="S785" s="1"/>
      <c r="T785" s="1"/>
      <c r="U785" s="1"/>
      <c r="V785" s="1"/>
      <c r="AA785" s="29"/>
      <c r="AD785" s="29"/>
      <c r="AG785" s="29"/>
      <c r="AJ785" s="29"/>
      <c r="AS785" s="29"/>
      <c r="AW785" s="29"/>
      <c r="AX785" s="1"/>
    </row>
    <row r="786" spans="1:53" s="3" customFormat="1" x14ac:dyDescent="0.2">
      <c r="A786" s="1"/>
      <c r="C786" s="1"/>
      <c r="E786" s="17"/>
      <c r="F786" s="42"/>
      <c r="G786" s="2"/>
      <c r="L786" s="4"/>
      <c r="M786" s="18"/>
      <c r="N786" s="18"/>
      <c r="S786" s="1"/>
      <c r="T786" s="1"/>
      <c r="U786" s="1"/>
      <c r="V786" s="1"/>
      <c r="AA786" s="29"/>
      <c r="AD786" s="29"/>
      <c r="AG786" s="29"/>
      <c r="AJ786" s="29"/>
      <c r="AS786" s="29"/>
      <c r="AW786" s="29"/>
      <c r="AX786" s="1"/>
    </row>
    <row r="787" spans="1:53" s="3" customFormat="1" x14ac:dyDescent="0.2">
      <c r="A787" s="1"/>
      <c r="C787" s="1"/>
      <c r="E787" s="17"/>
      <c r="F787" s="42"/>
      <c r="G787" s="2"/>
      <c r="L787" s="4"/>
      <c r="M787" s="18"/>
      <c r="N787" s="18"/>
      <c r="S787" s="1"/>
      <c r="T787" s="1"/>
      <c r="U787" s="1"/>
      <c r="V787" s="1"/>
      <c r="AA787" s="29"/>
      <c r="AD787" s="29"/>
      <c r="AG787" s="29"/>
      <c r="AJ787" s="29"/>
      <c r="AS787" s="29"/>
      <c r="AW787" s="29"/>
      <c r="AX787" s="1"/>
    </row>
    <row r="788" spans="1:53" x14ac:dyDescent="0.2">
      <c r="E788" s="13"/>
      <c r="L788" s="4"/>
      <c r="M788" s="18"/>
      <c r="N788" s="18"/>
    </row>
    <row r="789" spans="1:53" x14ac:dyDescent="0.2">
      <c r="L789" s="4"/>
      <c r="M789" s="18"/>
      <c r="N789" s="18"/>
      <c r="O789" s="3"/>
      <c r="P789" s="3"/>
      <c r="AV789" s="23"/>
      <c r="AW789" s="40"/>
      <c r="BA789" s="2"/>
    </row>
    <row r="790" spans="1:53" x14ac:dyDescent="0.2">
      <c r="BA790" s="2"/>
    </row>
    <row r="791" spans="1:53" x14ac:dyDescent="0.2">
      <c r="E791" s="13"/>
    </row>
    <row r="792" spans="1:53" x14ac:dyDescent="0.2">
      <c r="BA792" s="2"/>
    </row>
    <row r="793" spans="1:53" x14ac:dyDescent="0.2">
      <c r="AV793" s="3"/>
      <c r="AW793" s="29"/>
      <c r="BA793" s="2"/>
    </row>
    <row r="794" spans="1:53" x14ac:dyDescent="0.2">
      <c r="E794" s="13"/>
    </row>
    <row r="795" spans="1:53" x14ac:dyDescent="0.2">
      <c r="BA795" s="2"/>
    </row>
    <row r="796" spans="1:53" x14ac:dyDescent="0.2">
      <c r="BA796" s="2"/>
    </row>
    <row r="797" spans="1:53" x14ac:dyDescent="0.2">
      <c r="BA797" s="2"/>
    </row>
    <row r="798" spans="1:53" x14ac:dyDescent="0.2">
      <c r="BA798" s="2"/>
    </row>
    <row r="799" spans="1:53" x14ac:dyDescent="0.2">
      <c r="E799" s="13"/>
    </row>
    <row r="800" spans="1:53" x14ac:dyDescent="0.2">
      <c r="BA800" s="2"/>
    </row>
    <row r="801" spans="5:53" x14ac:dyDescent="0.2">
      <c r="BA801" s="2"/>
    </row>
    <row r="802" spans="5:53" x14ac:dyDescent="0.2">
      <c r="E802" s="13"/>
      <c r="AX802" s="6"/>
    </row>
    <row r="803" spans="5:53" x14ac:dyDescent="0.2">
      <c r="E803" s="13"/>
    </row>
    <row r="804" spans="5:53" x14ac:dyDescent="0.2">
      <c r="BA804" s="2"/>
    </row>
    <row r="805" spans="5:53" x14ac:dyDescent="0.2">
      <c r="BA805" s="2"/>
    </row>
    <row r="806" spans="5:53" x14ac:dyDescent="0.2">
      <c r="E806" s="13"/>
    </row>
    <row r="807" spans="5:53" x14ac:dyDescent="0.2">
      <c r="BA807" s="2"/>
    </row>
    <row r="808" spans="5:53" x14ac:dyDescent="0.2">
      <c r="BA808" s="2"/>
    </row>
    <row r="809" spans="5:53" ht="11.25" customHeight="1" x14ac:dyDescent="0.2">
      <c r="E809" s="13"/>
      <c r="AX809" s="6"/>
    </row>
    <row r="810" spans="5:53" x14ac:dyDescent="0.2">
      <c r="E810" s="13"/>
    </row>
    <row r="811" spans="5:53" x14ac:dyDescent="0.2">
      <c r="BA811" s="2"/>
    </row>
    <row r="812" spans="5:53" x14ac:dyDescent="0.2">
      <c r="BA812" s="2"/>
    </row>
    <row r="813" spans="5:53" x14ac:dyDescent="0.2">
      <c r="BA813" s="2"/>
    </row>
    <row r="814" spans="5:53" x14ac:dyDescent="0.2">
      <c r="BA814" s="2"/>
    </row>
    <row r="815" spans="5:53" x14ac:dyDescent="0.2">
      <c r="BA815" s="2"/>
    </row>
    <row r="816" spans="5:53" x14ac:dyDescent="0.2">
      <c r="E816" s="13"/>
      <c r="BA816" s="2"/>
    </row>
    <row r="817" spans="5:53" x14ac:dyDescent="0.2">
      <c r="E817" s="13"/>
      <c r="BA817" s="2"/>
    </row>
    <row r="818" spans="5:53" x14ac:dyDescent="0.2">
      <c r="E818" s="13"/>
      <c r="BA818" s="2"/>
    </row>
    <row r="819" spans="5:53" x14ac:dyDescent="0.2">
      <c r="E819" s="13"/>
    </row>
    <row r="820" spans="5:53" x14ac:dyDescent="0.2">
      <c r="BA820" s="2"/>
    </row>
    <row r="821" spans="5:53" x14ac:dyDescent="0.2">
      <c r="BA821" s="2"/>
    </row>
    <row r="822" spans="5:53" x14ac:dyDescent="0.2">
      <c r="F822" s="43"/>
      <c r="G822" s="3"/>
      <c r="BA822" s="2"/>
    </row>
    <row r="823" spans="5:53" x14ac:dyDescent="0.2">
      <c r="F823" s="43"/>
      <c r="G823" s="3"/>
      <c r="BA823" s="2"/>
    </row>
    <row r="824" spans="5:53" x14ac:dyDescent="0.2">
      <c r="F824" s="43"/>
      <c r="G824" s="3"/>
      <c r="BA824" s="2"/>
    </row>
    <row r="825" spans="5:53" x14ac:dyDescent="0.2">
      <c r="E825" s="13"/>
    </row>
    <row r="826" spans="5:53" x14ac:dyDescent="0.2">
      <c r="BA826" s="2"/>
    </row>
    <row r="827" spans="5:53" x14ac:dyDescent="0.2">
      <c r="BA827" s="2"/>
    </row>
    <row r="828" spans="5:53" x14ac:dyDescent="0.2">
      <c r="F828" s="43"/>
      <c r="G828" s="3"/>
      <c r="BA828" s="2"/>
    </row>
    <row r="829" spans="5:53" x14ac:dyDescent="0.2">
      <c r="F829" s="43"/>
      <c r="G829" s="3"/>
      <c r="BA829" s="2"/>
    </row>
    <row r="830" spans="5:53" x14ac:dyDescent="0.2">
      <c r="F830" s="43"/>
      <c r="G830" s="3"/>
      <c r="BA830" s="2"/>
    </row>
    <row r="831" spans="5:53" x14ac:dyDescent="0.2">
      <c r="E831" s="13"/>
    </row>
    <row r="832" spans="5:53" x14ac:dyDescent="0.2">
      <c r="BA832" s="2"/>
    </row>
    <row r="833" spans="1:53" x14ac:dyDescent="0.2">
      <c r="BA833" s="2"/>
    </row>
    <row r="834" spans="1:53" x14ac:dyDescent="0.2">
      <c r="F834" s="43"/>
      <c r="G834" s="3"/>
      <c r="BA834" s="2"/>
    </row>
    <row r="835" spans="1:53" x14ac:dyDescent="0.2">
      <c r="F835" s="43"/>
      <c r="G835" s="3"/>
      <c r="BA835" s="2"/>
    </row>
    <row r="836" spans="1:53" x14ac:dyDescent="0.2">
      <c r="F836" s="43"/>
      <c r="G836" s="3"/>
      <c r="BA836" s="2"/>
    </row>
    <row r="837" spans="1:53" x14ac:dyDescent="0.2">
      <c r="E837" s="13"/>
    </row>
    <row r="838" spans="1:53" x14ac:dyDescent="0.2">
      <c r="BA838" s="2"/>
    </row>
    <row r="839" spans="1:53" x14ac:dyDescent="0.2">
      <c r="BA839" s="2"/>
    </row>
    <row r="840" spans="1:53" x14ac:dyDescent="0.2">
      <c r="F840" s="43"/>
      <c r="G840" s="3"/>
      <c r="BA840" s="2"/>
    </row>
    <row r="841" spans="1:53" x14ac:dyDescent="0.2">
      <c r="F841" s="43"/>
      <c r="G841" s="3"/>
      <c r="BA841" s="2"/>
    </row>
    <row r="842" spans="1:53" x14ac:dyDescent="0.2">
      <c r="F842" s="43"/>
      <c r="G842" s="3"/>
      <c r="BA842" s="2"/>
    </row>
    <row r="843" spans="1:53" s="3" customFormat="1" x14ac:dyDescent="0.2">
      <c r="A843" s="1"/>
      <c r="C843" s="1"/>
      <c r="E843" s="13"/>
      <c r="F843" s="43"/>
      <c r="S843" s="1"/>
      <c r="T843" s="1"/>
      <c r="U843" s="1"/>
      <c r="V843" s="1"/>
      <c r="AA843" s="29"/>
      <c r="AD843" s="29"/>
      <c r="AG843" s="29"/>
      <c r="AJ843" s="29"/>
      <c r="AS843" s="29"/>
      <c r="AW843" s="29"/>
      <c r="AX843" s="1"/>
    </row>
    <row r="844" spans="1:53" s="3" customFormat="1" x14ac:dyDescent="0.2">
      <c r="A844" s="1"/>
      <c r="C844" s="1"/>
      <c r="F844" s="43"/>
      <c r="L844" s="2"/>
      <c r="S844" s="1"/>
      <c r="T844" s="1"/>
      <c r="U844" s="1"/>
      <c r="V844" s="1"/>
      <c r="AA844" s="29"/>
      <c r="AD844" s="29"/>
      <c r="AG844" s="29"/>
      <c r="AJ844" s="29"/>
      <c r="AS844" s="29"/>
      <c r="AV844" s="2"/>
      <c r="AW844" s="27"/>
      <c r="AX844" s="1"/>
    </row>
    <row r="845" spans="1:53" s="3" customFormat="1" x14ac:dyDescent="0.2">
      <c r="A845" s="1"/>
      <c r="C845" s="1"/>
      <c r="F845" s="43"/>
      <c r="I845" s="2"/>
      <c r="L845" s="2"/>
      <c r="S845" s="1"/>
      <c r="T845" s="1"/>
      <c r="U845" s="1"/>
      <c r="V845" s="1"/>
      <c r="AA845" s="29"/>
      <c r="AD845" s="29"/>
      <c r="AG845" s="29"/>
      <c r="AJ845" s="29"/>
      <c r="AS845" s="29"/>
      <c r="AV845" s="2"/>
      <c r="AW845" s="27"/>
      <c r="AX845" s="1"/>
    </row>
    <row r="846" spans="1:53" x14ac:dyDescent="0.2">
      <c r="D846" s="3"/>
      <c r="F846" s="43"/>
      <c r="G846" s="3"/>
      <c r="BA846" s="2"/>
    </row>
    <row r="847" spans="1:53" x14ac:dyDescent="0.2">
      <c r="D847" s="3"/>
      <c r="F847" s="43"/>
      <c r="G847" s="3"/>
      <c r="BA847" s="2"/>
    </row>
    <row r="848" spans="1:53" x14ac:dyDescent="0.2">
      <c r="D848" s="3"/>
      <c r="F848" s="43"/>
      <c r="G848" s="3"/>
      <c r="BA848" s="2"/>
    </row>
    <row r="849" spans="2:54" x14ac:dyDescent="0.2">
      <c r="E849" s="13"/>
      <c r="BA849" s="2"/>
    </row>
    <row r="850" spans="2:54" x14ac:dyDescent="0.2">
      <c r="B850" s="3"/>
      <c r="C850" s="1"/>
      <c r="BA850" s="2"/>
    </row>
    <row r="851" spans="2:54" x14ac:dyDescent="0.2">
      <c r="B851" s="3"/>
      <c r="C851" s="1"/>
      <c r="BA851" s="2"/>
    </row>
    <row r="852" spans="2:54" x14ac:dyDescent="0.2">
      <c r="E852" s="13"/>
    </row>
    <row r="853" spans="2:54" x14ac:dyDescent="0.2">
      <c r="E853" s="13"/>
      <c r="BA853" s="2"/>
    </row>
    <row r="854" spans="2:54" x14ac:dyDescent="0.2">
      <c r="B854" s="3"/>
      <c r="C854" s="1"/>
      <c r="BA854" s="2"/>
    </row>
    <row r="855" spans="2:54" x14ac:dyDescent="0.2">
      <c r="B855" s="3"/>
      <c r="C855" s="1"/>
      <c r="BA855" s="2"/>
    </row>
    <row r="856" spans="2:54" x14ac:dyDescent="0.2">
      <c r="B856" s="3"/>
      <c r="C856" s="1"/>
      <c r="E856" s="16"/>
      <c r="BA856" s="2"/>
      <c r="BB856" s="3"/>
    </row>
    <row r="857" spans="2:54" x14ac:dyDescent="0.2">
      <c r="B857" s="3"/>
      <c r="C857" s="1"/>
      <c r="BA857" s="2"/>
    </row>
    <row r="858" spans="2:54" x14ac:dyDescent="0.2">
      <c r="B858" s="3"/>
      <c r="C858" s="1"/>
      <c r="BA858" s="2"/>
    </row>
    <row r="859" spans="2:54" x14ac:dyDescent="0.2">
      <c r="B859" s="3"/>
      <c r="C859" s="1"/>
      <c r="BA859" s="2"/>
    </row>
    <row r="860" spans="2:54" x14ac:dyDescent="0.2">
      <c r="B860" s="3"/>
      <c r="C860" s="1"/>
      <c r="E860" s="16"/>
      <c r="BA860" s="2"/>
      <c r="BB860" s="3"/>
    </row>
    <row r="861" spans="2:54" x14ac:dyDescent="0.2">
      <c r="B861" s="3"/>
      <c r="C861" s="1"/>
      <c r="BA861" s="2"/>
    </row>
    <row r="862" spans="2:54" x14ac:dyDescent="0.2">
      <c r="B862" s="3"/>
      <c r="C862" s="1"/>
      <c r="BA862" s="2"/>
    </row>
    <row r="863" spans="2:54" x14ac:dyDescent="0.2">
      <c r="B863" s="3"/>
      <c r="C863" s="1"/>
      <c r="BA863" s="2"/>
    </row>
    <row r="864" spans="2:54" x14ac:dyDescent="0.2">
      <c r="B864" s="3"/>
      <c r="C864" s="1"/>
      <c r="E864" s="16"/>
    </row>
    <row r="865" spans="2:53" x14ac:dyDescent="0.2">
      <c r="B865" s="3"/>
      <c r="C865" s="1"/>
      <c r="BA865" s="2"/>
    </row>
    <row r="866" spans="2:53" x14ac:dyDescent="0.2">
      <c r="B866" s="3"/>
      <c r="C866" s="1"/>
      <c r="BA866" s="2"/>
    </row>
    <row r="867" spans="2:53" x14ac:dyDescent="0.2">
      <c r="B867" s="3"/>
      <c r="C867" s="1"/>
      <c r="BA867" s="2"/>
    </row>
    <row r="868" spans="2:53" x14ac:dyDescent="0.2">
      <c r="B868" s="3"/>
      <c r="C868" s="1"/>
      <c r="E868" s="16"/>
      <c r="BA868" s="2"/>
    </row>
    <row r="869" spans="2:53" x14ac:dyDescent="0.2">
      <c r="B869" s="3"/>
      <c r="C869" s="1"/>
      <c r="BA869" s="2"/>
    </row>
    <row r="870" spans="2:53" x14ac:dyDescent="0.2">
      <c r="B870" s="3"/>
      <c r="C870" s="1"/>
      <c r="E870" s="16"/>
      <c r="BA870" s="2"/>
    </row>
    <row r="871" spans="2:53" x14ac:dyDescent="0.2">
      <c r="B871" s="3"/>
      <c r="C871" s="1"/>
      <c r="BA871" s="2"/>
    </row>
    <row r="872" spans="2:53" x14ac:dyDescent="0.2">
      <c r="B872" s="3"/>
      <c r="C872" s="1"/>
      <c r="E872" s="16"/>
      <c r="BA872" s="2"/>
    </row>
    <row r="873" spans="2:53" x14ac:dyDescent="0.2">
      <c r="B873" s="3"/>
      <c r="C873" s="1"/>
      <c r="BA873" s="2"/>
    </row>
    <row r="874" spans="2:53" x14ac:dyDescent="0.2">
      <c r="B874" s="3"/>
      <c r="C874" s="1"/>
      <c r="BA874" s="2"/>
    </row>
    <row r="875" spans="2:53" x14ac:dyDescent="0.2">
      <c r="B875" s="3"/>
      <c r="C875" s="1"/>
      <c r="BA875" s="2"/>
    </row>
    <row r="876" spans="2:53" x14ac:dyDescent="0.2">
      <c r="B876" s="3"/>
      <c r="C876" s="1"/>
      <c r="E876" s="16"/>
      <c r="BA876" s="2"/>
    </row>
    <row r="877" spans="2:53" x14ac:dyDescent="0.2">
      <c r="B877" s="3"/>
      <c r="C877" s="1"/>
      <c r="BA877" s="2"/>
    </row>
    <row r="878" spans="2:53" x14ac:dyDescent="0.2">
      <c r="B878" s="3"/>
      <c r="C878" s="1"/>
      <c r="E878" s="13"/>
    </row>
    <row r="879" spans="2:53" x14ac:dyDescent="0.2">
      <c r="G879" s="3"/>
      <c r="BA879" s="2"/>
    </row>
    <row r="880" spans="2:53" x14ac:dyDescent="0.2">
      <c r="B880" s="3"/>
      <c r="C880" s="1"/>
      <c r="G880" s="3"/>
      <c r="BA880" s="2"/>
    </row>
    <row r="881" spans="2:53" x14ac:dyDescent="0.2">
      <c r="G881" s="3"/>
      <c r="BA881" s="2"/>
    </row>
    <row r="882" spans="2:53" x14ac:dyDescent="0.2">
      <c r="B882" s="3"/>
      <c r="C882" s="1"/>
      <c r="G882" s="3"/>
      <c r="BA882" s="2"/>
    </row>
    <row r="883" spans="2:53" x14ac:dyDescent="0.2">
      <c r="G883" s="3"/>
      <c r="BA883" s="2"/>
    </row>
    <row r="884" spans="2:53" x14ac:dyDescent="0.2">
      <c r="B884" s="3"/>
      <c r="C884" s="1"/>
      <c r="G884" s="3"/>
      <c r="BA884" s="2"/>
    </row>
    <row r="885" spans="2:53" x14ac:dyDescent="0.2">
      <c r="B885" s="3"/>
      <c r="C885" s="1"/>
      <c r="G885" s="3"/>
      <c r="BA885" s="2"/>
    </row>
    <row r="886" spans="2:53" x14ac:dyDescent="0.2">
      <c r="B886" s="3"/>
      <c r="C886" s="1"/>
      <c r="E886" s="3"/>
      <c r="F886" s="43"/>
      <c r="K886" s="3"/>
      <c r="BA886" s="2"/>
    </row>
    <row r="887" spans="2:53" x14ac:dyDescent="0.2">
      <c r="O887" s="3"/>
      <c r="P887" s="3"/>
      <c r="BA887" s="2"/>
    </row>
    <row r="888" spans="2:53" x14ac:dyDescent="0.2">
      <c r="B888" s="3"/>
      <c r="C888" s="1"/>
      <c r="O888" s="3"/>
      <c r="P888" s="3"/>
      <c r="BA888" s="2"/>
    </row>
    <row r="889" spans="2:53" x14ac:dyDescent="0.2">
      <c r="O889" s="3"/>
      <c r="P889" s="3"/>
      <c r="BA889" s="2"/>
    </row>
    <row r="890" spans="2:53" x14ac:dyDescent="0.2">
      <c r="B890" s="3"/>
      <c r="C890" s="1"/>
      <c r="O890" s="3"/>
      <c r="P890" s="3"/>
      <c r="BA890" s="2"/>
    </row>
    <row r="891" spans="2:53" x14ac:dyDescent="0.2">
      <c r="E891" s="13"/>
      <c r="BA891" s="2"/>
    </row>
    <row r="892" spans="2:53" x14ac:dyDescent="0.2">
      <c r="B892" s="3"/>
      <c r="C892" s="1"/>
      <c r="BA892" s="2"/>
    </row>
    <row r="893" spans="2:53" x14ac:dyDescent="0.2">
      <c r="BA893" s="2"/>
    </row>
    <row r="894" spans="2:53" x14ac:dyDescent="0.2">
      <c r="B894" s="3"/>
      <c r="C894" s="1"/>
      <c r="O894" s="3"/>
      <c r="P894" s="3"/>
      <c r="BA894" s="2"/>
    </row>
    <row r="895" spans="2:53" x14ac:dyDescent="0.2">
      <c r="K895" s="3"/>
      <c r="BA895" s="2"/>
    </row>
    <row r="896" spans="2:53" x14ac:dyDescent="0.2">
      <c r="K896" s="3"/>
      <c r="BA896" s="2"/>
    </row>
    <row r="897" spans="5:54" x14ac:dyDescent="0.2">
      <c r="K897" s="3"/>
      <c r="BA897" s="2"/>
    </row>
    <row r="898" spans="5:54" x14ac:dyDescent="0.2">
      <c r="K898" s="3"/>
      <c r="BA898" s="2"/>
    </row>
    <row r="899" spans="5:54" x14ac:dyDescent="0.2">
      <c r="K899" s="3"/>
      <c r="BA899" s="2"/>
    </row>
    <row r="900" spans="5:54" x14ac:dyDescent="0.2">
      <c r="K900" s="3"/>
      <c r="BA900" s="2"/>
    </row>
    <row r="901" spans="5:54" x14ac:dyDescent="0.2">
      <c r="K901" s="3"/>
      <c r="BA901" s="2"/>
    </row>
    <row r="902" spans="5:54" x14ac:dyDescent="0.2">
      <c r="K902" s="3"/>
      <c r="BA902" s="2"/>
    </row>
    <row r="903" spans="5:54" x14ac:dyDescent="0.2">
      <c r="J903" s="3"/>
      <c r="BA903" s="2"/>
    </row>
    <row r="904" spans="5:54" x14ac:dyDescent="0.2">
      <c r="J904" s="3"/>
      <c r="BA904" s="2"/>
    </row>
    <row r="905" spans="5:54" x14ac:dyDescent="0.2">
      <c r="J905" s="3"/>
      <c r="BA905" s="2"/>
    </row>
    <row r="906" spans="5:54" x14ac:dyDescent="0.2">
      <c r="J906" s="3"/>
      <c r="BA906" s="2"/>
    </row>
    <row r="907" spans="5:54" x14ac:dyDescent="0.2">
      <c r="E907" s="13"/>
      <c r="BA907" s="2"/>
    </row>
    <row r="908" spans="5:54" x14ac:dyDescent="0.2">
      <c r="BA908" s="2"/>
    </row>
    <row r="909" spans="5:54" x14ac:dyDescent="0.2">
      <c r="BA909" s="2"/>
    </row>
    <row r="910" spans="5:54" x14ac:dyDescent="0.2">
      <c r="BA910" s="2"/>
    </row>
    <row r="911" spans="5:54" x14ac:dyDescent="0.2">
      <c r="BA911" s="2"/>
    </row>
    <row r="912" spans="5:54" x14ac:dyDescent="0.2">
      <c r="E912" s="16"/>
      <c r="BA912" s="2"/>
      <c r="BB912" s="3"/>
    </row>
    <row r="913" spans="5:54" x14ac:dyDescent="0.2">
      <c r="J913" s="3"/>
      <c r="BA913" s="2"/>
    </row>
    <row r="914" spans="5:54" x14ac:dyDescent="0.2">
      <c r="K914" s="3"/>
      <c r="BA914" s="2"/>
    </row>
    <row r="915" spans="5:54" x14ac:dyDescent="0.2">
      <c r="K915" s="3"/>
      <c r="BA915" s="2"/>
    </row>
    <row r="916" spans="5:54" x14ac:dyDescent="0.2">
      <c r="E916" s="16"/>
      <c r="BA916" s="2"/>
      <c r="BB916" s="3"/>
    </row>
    <row r="917" spans="5:54" x14ac:dyDescent="0.2">
      <c r="J917" s="3"/>
      <c r="BA917" s="2"/>
    </row>
    <row r="918" spans="5:54" x14ac:dyDescent="0.2">
      <c r="K918" s="3"/>
      <c r="BA918" s="2"/>
    </row>
    <row r="919" spans="5:54" x14ac:dyDescent="0.2">
      <c r="K919" s="3"/>
      <c r="BA919" s="2"/>
    </row>
    <row r="920" spans="5:54" x14ac:dyDescent="0.2">
      <c r="E920" s="16"/>
      <c r="BA920" s="2"/>
      <c r="BB920" s="3"/>
    </row>
    <row r="921" spans="5:54" x14ac:dyDescent="0.2">
      <c r="J921" s="3"/>
      <c r="BA921" s="2"/>
    </row>
    <row r="922" spans="5:54" x14ac:dyDescent="0.2">
      <c r="K922" s="3"/>
      <c r="BA922" s="2"/>
    </row>
    <row r="923" spans="5:54" x14ac:dyDescent="0.2">
      <c r="K923" s="3"/>
      <c r="BA923" s="2"/>
    </row>
    <row r="924" spans="5:54" x14ac:dyDescent="0.2">
      <c r="E924" s="16"/>
      <c r="BA924" s="2"/>
      <c r="BB924" s="3"/>
    </row>
    <row r="925" spans="5:54" x14ac:dyDescent="0.2">
      <c r="J925" s="3"/>
      <c r="BA925" s="2"/>
    </row>
    <row r="926" spans="5:54" x14ac:dyDescent="0.2">
      <c r="K926" s="3"/>
      <c r="BA926" s="2"/>
    </row>
    <row r="927" spans="5:54" x14ac:dyDescent="0.2">
      <c r="K927" s="3"/>
      <c r="BA927" s="2"/>
    </row>
    <row r="928" spans="5:54" x14ac:dyDescent="0.2">
      <c r="E928" s="16"/>
      <c r="BA928" s="2"/>
    </row>
    <row r="929" spans="5:53" x14ac:dyDescent="0.2">
      <c r="BA929" s="2"/>
    </row>
    <row r="930" spans="5:53" x14ac:dyDescent="0.2">
      <c r="E930" s="16"/>
      <c r="F930" s="43"/>
      <c r="BA930" s="2"/>
    </row>
    <row r="931" spans="5:53" x14ac:dyDescent="0.2">
      <c r="E931" s="3"/>
      <c r="F931" s="43"/>
      <c r="BA931" s="2"/>
    </row>
    <row r="932" spans="5:53" x14ac:dyDescent="0.2">
      <c r="E932" s="16"/>
      <c r="F932" s="43"/>
      <c r="BA932" s="2"/>
    </row>
    <row r="933" spans="5:53" x14ac:dyDescent="0.2">
      <c r="E933" s="3"/>
      <c r="F933" s="43"/>
      <c r="BA933" s="2"/>
    </row>
    <row r="934" spans="5:53" x14ac:dyDescent="0.2">
      <c r="E934" s="16"/>
      <c r="F934" s="43"/>
      <c r="BA934" s="2"/>
    </row>
    <row r="935" spans="5:53" x14ac:dyDescent="0.2">
      <c r="E935" s="3"/>
      <c r="F935" s="43"/>
      <c r="BA935" s="2"/>
    </row>
    <row r="936" spans="5:53" x14ac:dyDescent="0.2">
      <c r="E936" s="16"/>
      <c r="F936" s="43"/>
      <c r="BA936" s="2"/>
    </row>
    <row r="937" spans="5:53" x14ac:dyDescent="0.2">
      <c r="E937" s="3"/>
      <c r="F937" s="43"/>
      <c r="BA937" s="2"/>
    </row>
    <row r="938" spans="5:53" x14ac:dyDescent="0.2">
      <c r="E938" s="16"/>
      <c r="F938" s="43"/>
      <c r="BA938" s="2"/>
    </row>
    <row r="939" spans="5:53" x14ac:dyDescent="0.2">
      <c r="E939" s="3"/>
      <c r="F939" s="43"/>
      <c r="BA939" s="2"/>
    </row>
    <row r="940" spans="5:53" x14ac:dyDescent="0.2">
      <c r="E940" s="16"/>
      <c r="F940" s="43"/>
      <c r="BA940" s="2"/>
    </row>
    <row r="941" spans="5:53" x14ac:dyDescent="0.2">
      <c r="E941" s="3"/>
      <c r="F941" s="43"/>
      <c r="BA941" s="2"/>
    </row>
    <row r="942" spans="5:53" x14ac:dyDescent="0.2">
      <c r="E942" s="16"/>
      <c r="F942" s="43"/>
      <c r="BA942" s="2"/>
    </row>
    <row r="943" spans="5:53" x14ac:dyDescent="0.2">
      <c r="E943" s="3"/>
      <c r="F943" s="43"/>
      <c r="BA943" s="2"/>
    </row>
    <row r="944" spans="5:53" x14ac:dyDescent="0.2">
      <c r="E944" s="16"/>
      <c r="F944" s="43"/>
      <c r="BA944" s="2"/>
    </row>
    <row r="945" spans="5:53" x14ac:dyDescent="0.2">
      <c r="E945" s="3"/>
      <c r="F945" s="43"/>
      <c r="BA945" s="2"/>
    </row>
    <row r="946" spans="5:53" x14ac:dyDescent="0.2">
      <c r="E946" s="16"/>
      <c r="F946" s="43"/>
      <c r="BA946" s="2"/>
    </row>
    <row r="947" spans="5:53" x14ac:dyDescent="0.2">
      <c r="E947" s="3"/>
      <c r="F947" s="43"/>
      <c r="BA947" s="2"/>
    </row>
    <row r="948" spans="5:53" x14ac:dyDescent="0.2">
      <c r="E948" s="16"/>
      <c r="F948" s="43"/>
      <c r="BA948" s="2"/>
    </row>
    <row r="949" spans="5:53" x14ac:dyDescent="0.2">
      <c r="E949" s="3"/>
      <c r="F949" s="43"/>
      <c r="BA949" s="2"/>
    </row>
    <row r="950" spans="5:53" x14ac:dyDescent="0.2">
      <c r="E950" s="16"/>
      <c r="F950" s="43"/>
      <c r="BA950" s="2"/>
    </row>
    <row r="951" spans="5:53" x14ac:dyDescent="0.2">
      <c r="E951" s="3"/>
      <c r="F951" s="43"/>
      <c r="BA951" s="2"/>
    </row>
    <row r="952" spans="5:53" x14ac:dyDescent="0.2">
      <c r="E952" s="16"/>
      <c r="F952" s="43"/>
      <c r="BA952" s="2"/>
    </row>
    <row r="953" spans="5:53" x14ac:dyDescent="0.2">
      <c r="E953" s="3"/>
      <c r="F953" s="43"/>
      <c r="BA953" s="2"/>
    </row>
    <row r="954" spans="5:53" x14ac:dyDescent="0.2">
      <c r="E954" s="16"/>
      <c r="F954" s="43"/>
      <c r="BA954" s="2"/>
    </row>
    <row r="955" spans="5:53" x14ac:dyDescent="0.2">
      <c r="E955" s="3"/>
      <c r="F955" s="43"/>
      <c r="BA955" s="2"/>
    </row>
    <row r="956" spans="5:53" x14ac:dyDescent="0.2">
      <c r="E956" s="16"/>
      <c r="F956" s="43"/>
      <c r="BA956" s="2"/>
    </row>
    <row r="957" spans="5:53" x14ac:dyDescent="0.2">
      <c r="E957" s="3"/>
      <c r="F957" s="43"/>
      <c r="BA957" s="2"/>
    </row>
    <row r="958" spans="5:53" x14ac:dyDescent="0.2">
      <c r="E958" s="16"/>
      <c r="F958" s="43"/>
      <c r="BA958" s="2"/>
    </row>
    <row r="959" spans="5:53" x14ac:dyDescent="0.2">
      <c r="E959" s="3"/>
      <c r="F959" s="43"/>
      <c r="BA959" s="2"/>
    </row>
    <row r="960" spans="5:53" x14ac:dyDescent="0.2">
      <c r="E960" s="16"/>
      <c r="F960" s="43"/>
      <c r="BA960" s="2"/>
    </row>
    <row r="961" spans="5:53" x14ac:dyDescent="0.2">
      <c r="E961" s="3"/>
      <c r="F961" s="43"/>
      <c r="BA961" s="2"/>
    </row>
    <row r="962" spans="5:53" x14ac:dyDescent="0.2">
      <c r="E962" s="16"/>
      <c r="F962" s="43"/>
      <c r="BA962" s="2"/>
    </row>
    <row r="963" spans="5:53" x14ac:dyDescent="0.2">
      <c r="E963" s="3"/>
      <c r="F963" s="43"/>
      <c r="BA963" s="2"/>
    </row>
    <row r="964" spans="5:53" x14ac:dyDescent="0.2">
      <c r="E964" s="16"/>
      <c r="F964" s="43"/>
      <c r="BA964" s="2"/>
    </row>
    <row r="965" spans="5:53" x14ac:dyDescent="0.2">
      <c r="E965" s="3"/>
      <c r="F965" s="43"/>
      <c r="BA965" s="2"/>
    </row>
    <row r="966" spans="5:53" x14ac:dyDescent="0.2">
      <c r="E966" s="16"/>
      <c r="F966" s="43"/>
      <c r="BA966" s="2"/>
    </row>
    <row r="967" spans="5:53" x14ac:dyDescent="0.2">
      <c r="E967" s="3"/>
      <c r="F967" s="43"/>
      <c r="BA967" s="2"/>
    </row>
    <row r="968" spans="5:53" x14ac:dyDescent="0.2">
      <c r="E968" s="16"/>
      <c r="F968" s="43"/>
      <c r="BA968" s="2"/>
    </row>
    <row r="969" spans="5:53" x14ac:dyDescent="0.2">
      <c r="E969" s="3"/>
      <c r="F969" s="43"/>
      <c r="BA969" s="2"/>
    </row>
    <row r="970" spans="5:53" x14ac:dyDescent="0.2">
      <c r="E970" s="16"/>
      <c r="F970" s="43"/>
      <c r="BA970" s="2"/>
    </row>
    <row r="971" spans="5:53" x14ac:dyDescent="0.2">
      <c r="E971" s="3"/>
      <c r="F971" s="43"/>
      <c r="BA971" s="2"/>
    </row>
    <row r="972" spans="5:53" x14ac:dyDescent="0.2">
      <c r="E972" s="16"/>
      <c r="F972" s="43"/>
      <c r="BA972" s="2"/>
    </row>
    <row r="973" spans="5:53" x14ac:dyDescent="0.2">
      <c r="E973" s="3"/>
      <c r="F973" s="43"/>
      <c r="BA973" s="2"/>
    </row>
    <row r="974" spans="5:53" x14ac:dyDescent="0.2">
      <c r="E974" s="16"/>
      <c r="F974" s="43"/>
      <c r="BA974" s="2"/>
    </row>
    <row r="975" spans="5:53" x14ac:dyDescent="0.2">
      <c r="E975" s="3"/>
      <c r="F975" s="43"/>
      <c r="BA975" s="2"/>
    </row>
    <row r="976" spans="5:53" x14ac:dyDescent="0.2">
      <c r="E976" s="16"/>
      <c r="F976" s="43"/>
      <c r="BA976" s="2"/>
    </row>
    <row r="977" spans="2:53" x14ac:dyDescent="0.2">
      <c r="E977" s="3"/>
      <c r="F977" s="43"/>
      <c r="BA977" s="2"/>
    </row>
    <row r="978" spans="2:53" x14ac:dyDescent="0.2">
      <c r="E978" s="16"/>
      <c r="F978" s="43"/>
      <c r="BA978" s="2"/>
    </row>
    <row r="979" spans="2:53" x14ac:dyDescent="0.2">
      <c r="E979" s="3"/>
      <c r="F979" s="43"/>
      <c r="BA979" s="2"/>
    </row>
    <row r="980" spans="2:53" x14ac:dyDescent="0.2">
      <c r="E980" s="16"/>
      <c r="F980" s="43"/>
      <c r="BA980" s="2"/>
    </row>
    <row r="981" spans="2:53" x14ac:dyDescent="0.2">
      <c r="E981" s="3"/>
      <c r="F981" s="43"/>
      <c r="BA981" s="2"/>
    </row>
    <row r="982" spans="2:53" x14ac:dyDescent="0.2">
      <c r="E982" s="16"/>
      <c r="F982" s="43"/>
      <c r="BA982" s="2"/>
    </row>
    <row r="983" spans="2:53" x14ac:dyDescent="0.2">
      <c r="E983" s="3"/>
      <c r="F983" s="43"/>
      <c r="BA983" s="2"/>
    </row>
    <row r="984" spans="2:53" x14ac:dyDescent="0.2">
      <c r="E984" s="16"/>
      <c r="F984" s="43"/>
      <c r="BA984" s="2"/>
    </row>
    <row r="985" spans="2:53" x14ac:dyDescent="0.2">
      <c r="E985" s="3"/>
      <c r="F985" s="43"/>
      <c r="BA985" s="2"/>
    </row>
    <row r="986" spans="2:53" x14ac:dyDescent="0.2">
      <c r="E986" s="16"/>
      <c r="F986" s="43"/>
      <c r="BA986" s="2"/>
    </row>
    <row r="987" spans="2:53" x14ac:dyDescent="0.2">
      <c r="E987" s="3"/>
      <c r="F987" s="43"/>
      <c r="BA987" s="2"/>
    </row>
    <row r="988" spans="2:53" x14ac:dyDescent="0.2">
      <c r="E988" s="16"/>
      <c r="F988" s="43"/>
      <c r="BA988" s="2"/>
    </row>
    <row r="989" spans="2:53" x14ac:dyDescent="0.2">
      <c r="E989" s="3"/>
      <c r="F989" s="43"/>
      <c r="BA989" s="2"/>
    </row>
    <row r="990" spans="2:53" x14ac:dyDescent="0.2">
      <c r="E990" s="16"/>
      <c r="F990" s="43"/>
      <c r="BA990" s="2"/>
    </row>
    <row r="991" spans="2:53" x14ac:dyDescent="0.2">
      <c r="E991" s="3"/>
      <c r="F991" s="43"/>
      <c r="BA991" s="2"/>
    </row>
    <row r="992" spans="2:53" x14ac:dyDescent="0.2">
      <c r="B992" s="3"/>
      <c r="C992" s="1"/>
      <c r="E992" s="3"/>
      <c r="F992" s="43"/>
      <c r="K992" s="3"/>
      <c r="BA992" s="2"/>
    </row>
    <row r="993" spans="1:53" x14ac:dyDescent="0.2">
      <c r="B993" s="3"/>
      <c r="C993" s="1"/>
      <c r="E993" s="3"/>
      <c r="F993" s="43"/>
      <c r="K993" s="3"/>
      <c r="BA993" s="2"/>
    </row>
    <row r="994" spans="1:53" x14ac:dyDescent="0.2">
      <c r="B994" s="3"/>
      <c r="C994" s="1"/>
      <c r="E994" s="3"/>
      <c r="F994" s="43"/>
      <c r="K994" s="3"/>
      <c r="BA994" s="2"/>
    </row>
    <row r="995" spans="1:53" x14ac:dyDescent="0.2">
      <c r="B995" s="3"/>
      <c r="C995" s="1"/>
      <c r="E995" s="3"/>
      <c r="F995" s="43"/>
      <c r="K995" s="3"/>
      <c r="BA995" s="2"/>
    </row>
    <row r="996" spans="1:53" x14ac:dyDescent="0.2">
      <c r="B996" s="3"/>
      <c r="C996" s="1"/>
      <c r="E996" s="3"/>
      <c r="F996" s="43"/>
      <c r="K996" s="3"/>
      <c r="AX996" s="22"/>
      <c r="BA996" s="2"/>
    </row>
    <row r="997" spans="1:53" s="14" customFormat="1" x14ac:dyDescent="0.2">
      <c r="A997" s="22"/>
      <c r="C997" s="22"/>
      <c r="F997" s="44"/>
      <c r="S997" s="22"/>
      <c r="T997" s="22"/>
      <c r="U997" s="22"/>
      <c r="V997" s="22"/>
      <c r="AA997" s="28"/>
      <c r="AD997" s="28"/>
      <c r="AG997" s="28"/>
      <c r="AJ997" s="28"/>
      <c r="AS997" s="28"/>
      <c r="AW997" s="28"/>
      <c r="AX997" s="22"/>
    </row>
    <row r="998" spans="1:53" s="14" customFormat="1" x14ac:dyDescent="0.2">
      <c r="A998" s="22"/>
      <c r="C998" s="22"/>
      <c r="F998" s="44"/>
      <c r="S998" s="22"/>
      <c r="T998" s="22"/>
      <c r="U998" s="22"/>
      <c r="V998" s="22"/>
      <c r="AA998" s="28"/>
      <c r="AD998" s="28"/>
      <c r="AG998" s="28"/>
      <c r="AJ998" s="28"/>
      <c r="AS998" s="28"/>
      <c r="AW998" s="28"/>
      <c r="AX998" s="22"/>
    </row>
    <row r="999" spans="1:53" s="14" customFormat="1" x14ac:dyDescent="0.2">
      <c r="A999" s="22"/>
      <c r="C999" s="22"/>
      <c r="F999" s="44"/>
      <c r="S999" s="22"/>
      <c r="T999" s="22"/>
      <c r="U999" s="22"/>
      <c r="V999" s="22"/>
      <c r="AA999" s="28"/>
      <c r="AD999" s="28"/>
      <c r="AG999" s="28"/>
      <c r="AJ999" s="28"/>
      <c r="AS999" s="28"/>
      <c r="AW999" s="28"/>
      <c r="AX999" s="22"/>
    </row>
    <row r="1000" spans="1:53" s="14" customFormat="1" x14ac:dyDescent="0.2">
      <c r="A1000" s="22"/>
      <c r="C1000" s="22"/>
      <c r="F1000" s="44"/>
      <c r="S1000" s="22"/>
      <c r="T1000" s="22"/>
      <c r="U1000" s="22"/>
      <c r="V1000" s="22"/>
      <c r="AA1000" s="28"/>
      <c r="AD1000" s="28"/>
      <c r="AG1000" s="28"/>
      <c r="AJ1000" s="28"/>
      <c r="AS1000" s="28"/>
      <c r="AW1000" s="28"/>
      <c r="AX1000" s="22"/>
    </row>
    <row r="1001" spans="1:53" s="14" customFormat="1" x14ac:dyDescent="0.2">
      <c r="A1001" s="22"/>
      <c r="C1001" s="22"/>
      <c r="F1001" s="44"/>
      <c r="S1001" s="22"/>
      <c r="T1001" s="22"/>
      <c r="U1001" s="22"/>
      <c r="V1001" s="22"/>
      <c r="AA1001" s="28"/>
      <c r="AD1001" s="28"/>
      <c r="AG1001" s="28"/>
      <c r="AJ1001" s="28"/>
      <c r="AS1001" s="28"/>
      <c r="AW1001" s="28"/>
      <c r="AX1001" s="1"/>
    </row>
    <row r="1002" spans="1:53" s="3" customFormat="1" x14ac:dyDescent="0.2">
      <c r="A1002" s="1"/>
      <c r="C1002" s="1"/>
      <c r="F1002" s="43"/>
      <c r="S1002" s="1"/>
      <c r="T1002" s="1"/>
      <c r="U1002" s="1"/>
      <c r="V1002" s="1"/>
      <c r="AA1002" s="29"/>
      <c r="AD1002" s="29"/>
      <c r="AG1002" s="29"/>
      <c r="AJ1002" s="29"/>
      <c r="AS1002" s="29"/>
      <c r="AW1002" s="29"/>
      <c r="AX1002" s="1"/>
    </row>
    <row r="1003" spans="1:53" s="3" customFormat="1" x14ac:dyDescent="0.2">
      <c r="A1003" s="1"/>
      <c r="C1003" s="1"/>
      <c r="F1003" s="43"/>
      <c r="S1003" s="1"/>
      <c r="T1003" s="1"/>
      <c r="U1003" s="1"/>
      <c r="V1003" s="1"/>
      <c r="AA1003" s="29"/>
      <c r="AD1003" s="29"/>
      <c r="AG1003" s="29"/>
      <c r="AJ1003" s="29"/>
      <c r="AS1003" s="29"/>
      <c r="AW1003" s="29"/>
      <c r="AX1003" s="1"/>
    </row>
    <row r="1004" spans="1:53" s="3" customFormat="1" x14ac:dyDescent="0.2">
      <c r="A1004" s="1"/>
      <c r="C1004" s="1"/>
      <c r="F1004" s="43"/>
      <c r="S1004" s="1"/>
      <c r="T1004" s="1"/>
      <c r="U1004" s="1"/>
      <c r="V1004" s="1"/>
      <c r="AA1004" s="29"/>
      <c r="AD1004" s="29"/>
      <c r="AG1004" s="29"/>
      <c r="AJ1004" s="29"/>
      <c r="AS1004" s="29"/>
      <c r="AW1004" s="29"/>
      <c r="AX1004" s="1"/>
    </row>
    <row r="1005" spans="1:53" s="3" customFormat="1" x14ac:dyDescent="0.2">
      <c r="A1005" s="1"/>
      <c r="C1005" s="1"/>
      <c r="F1005" s="43"/>
      <c r="S1005" s="1"/>
      <c r="T1005" s="1"/>
      <c r="U1005" s="1"/>
      <c r="V1005" s="1"/>
      <c r="AA1005" s="29"/>
      <c r="AD1005" s="29"/>
      <c r="AG1005" s="29"/>
      <c r="AJ1005" s="29"/>
      <c r="AS1005" s="29"/>
      <c r="AW1005" s="29"/>
      <c r="AX1005" s="1"/>
    </row>
    <row r="1006" spans="1:53" s="3" customFormat="1" x14ac:dyDescent="0.2">
      <c r="A1006" s="1"/>
      <c r="C1006" s="1"/>
      <c r="F1006" s="43"/>
      <c r="S1006" s="1"/>
      <c r="T1006" s="1"/>
      <c r="U1006" s="1"/>
      <c r="V1006" s="1"/>
      <c r="AA1006" s="29"/>
      <c r="AD1006" s="29"/>
      <c r="AG1006" s="29"/>
      <c r="AJ1006" s="29"/>
      <c r="AS1006" s="29"/>
      <c r="AW1006" s="29"/>
      <c r="AX1006" s="1"/>
    </row>
    <row r="1007" spans="1:53" s="3" customFormat="1" x14ac:dyDescent="0.2">
      <c r="A1007" s="1"/>
      <c r="C1007" s="1"/>
      <c r="E1007" s="16"/>
      <c r="F1007" s="43"/>
      <c r="S1007" s="1"/>
      <c r="T1007" s="1"/>
      <c r="U1007" s="1"/>
      <c r="V1007" s="1"/>
      <c r="AA1007" s="29"/>
      <c r="AD1007" s="29"/>
      <c r="AG1007" s="29"/>
      <c r="AJ1007" s="29"/>
      <c r="AS1007" s="29"/>
      <c r="AW1007" s="29"/>
      <c r="AX1007" s="1"/>
    </row>
    <row r="1008" spans="1:53" s="3" customFormat="1" x14ac:dyDescent="0.2">
      <c r="A1008" s="1"/>
      <c r="C1008" s="1"/>
      <c r="F1008" s="43"/>
      <c r="S1008" s="1"/>
      <c r="T1008" s="1"/>
      <c r="U1008" s="1"/>
      <c r="V1008" s="1"/>
      <c r="AA1008" s="29"/>
      <c r="AD1008" s="29"/>
      <c r="AG1008" s="29"/>
      <c r="AJ1008" s="29"/>
      <c r="AS1008" s="29"/>
      <c r="AW1008" s="29"/>
      <c r="AX1008" s="1"/>
    </row>
    <row r="1009" spans="1:50" s="3" customFormat="1" x14ac:dyDescent="0.2">
      <c r="A1009" s="1"/>
      <c r="C1009" s="1"/>
      <c r="F1009" s="43"/>
      <c r="S1009" s="1"/>
      <c r="T1009" s="1"/>
      <c r="U1009" s="1"/>
      <c r="V1009" s="1"/>
      <c r="AA1009" s="29"/>
      <c r="AD1009" s="29"/>
      <c r="AG1009" s="29"/>
      <c r="AJ1009" s="29"/>
      <c r="AS1009" s="29"/>
      <c r="AW1009" s="29"/>
      <c r="AX1009" s="1"/>
    </row>
    <row r="1010" spans="1:50" s="3" customFormat="1" x14ac:dyDescent="0.2">
      <c r="A1010" s="1"/>
      <c r="C1010" s="1"/>
      <c r="F1010" s="43"/>
      <c r="S1010" s="1"/>
      <c r="T1010" s="1"/>
      <c r="U1010" s="1"/>
      <c r="V1010" s="1"/>
      <c r="AA1010" s="29"/>
      <c r="AD1010" s="29"/>
      <c r="AG1010" s="29"/>
      <c r="AJ1010" s="29"/>
      <c r="AS1010" s="29"/>
      <c r="AW1010" s="29"/>
      <c r="AX1010" s="1"/>
    </row>
    <row r="1011" spans="1:50" s="3" customFormat="1" x14ac:dyDescent="0.2">
      <c r="A1011" s="1"/>
      <c r="C1011" s="1"/>
      <c r="E1011" s="16"/>
      <c r="F1011" s="43"/>
      <c r="S1011" s="1"/>
      <c r="T1011" s="1"/>
      <c r="U1011" s="1"/>
      <c r="V1011" s="1"/>
      <c r="AA1011" s="29"/>
      <c r="AD1011" s="29"/>
      <c r="AG1011" s="29"/>
      <c r="AJ1011" s="29"/>
      <c r="AS1011" s="29"/>
      <c r="AW1011" s="29"/>
      <c r="AX1011" s="1"/>
    </row>
    <row r="1012" spans="1:50" s="3" customFormat="1" x14ac:dyDescent="0.2">
      <c r="A1012" s="1"/>
      <c r="C1012" s="1"/>
      <c r="F1012" s="43"/>
      <c r="S1012" s="1"/>
      <c r="T1012" s="1"/>
      <c r="U1012" s="1"/>
      <c r="V1012" s="1"/>
      <c r="AA1012" s="29"/>
      <c r="AD1012" s="29"/>
      <c r="AG1012" s="29"/>
      <c r="AJ1012" s="29"/>
      <c r="AS1012" s="29"/>
      <c r="AW1012" s="29"/>
      <c r="AX1012" s="1"/>
    </row>
    <row r="1013" spans="1:50" s="3" customFormat="1" x14ac:dyDescent="0.2">
      <c r="A1013" s="1"/>
      <c r="C1013" s="1"/>
      <c r="F1013" s="43"/>
      <c r="S1013" s="1"/>
      <c r="T1013" s="1"/>
      <c r="U1013" s="1"/>
      <c r="V1013" s="1"/>
      <c r="AA1013" s="29"/>
      <c r="AD1013" s="29"/>
      <c r="AG1013" s="29"/>
      <c r="AJ1013" s="29"/>
      <c r="AS1013" s="29"/>
      <c r="AW1013" s="29"/>
      <c r="AX1013" s="1"/>
    </row>
    <row r="1014" spans="1:50" s="3" customFormat="1" x14ac:dyDescent="0.2">
      <c r="A1014" s="1"/>
      <c r="C1014" s="1"/>
      <c r="F1014" s="43"/>
      <c r="S1014" s="1"/>
      <c r="T1014" s="1"/>
      <c r="U1014" s="1"/>
      <c r="V1014" s="1"/>
      <c r="AA1014" s="29"/>
      <c r="AD1014" s="29"/>
      <c r="AG1014" s="29"/>
      <c r="AJ1014" s="29"/>
      <c r="AS1014" s="29"/>
      <c r="AW1014" s="29"/>
      <c r="AX1014" s="1"/>
    </row>
    <row r="1015" spans="1:50" s="3" customFormat="1" x14ac:dyDescent="0.2">
      <c r="A1015" s="1"/>
      <c r="C1015" s="1"/>
      <c r="E1015" s="16"/>
      <c r="F1015" s="43"/>
      <c r="S1015" s="1"/>
      <c r="T1015" s="1"/>
      <c r="U1015" s="1"/>
      <c r="V1015" s="1"/>
      <c r="AA1015" s="29"/>
      <c r="AD1015" s="29"/>
      <c r="AG1015" s="29"/>
      <c r="AJ1015" s="29"/>
      <c r="AS1015" s="29"/>
      <c r="AW1015" s="29"/>
      <c r="AX1015" s="1"/>
    </row>
    <row r="1016" spans="1:50" s="3" customFormat="1" x14ac:dyDescent="0.2">
      <c r="A1016" s="1"/>
      <c r="C1016" s="1"/>
      <c r="F1016" s="43"/>
      <c r="S1016" s="1"/>
      <c r="T1016" s="1"/>
      <c r="U1016" s="1"/>
      <c r="V1016" s="1"/>
      <c r="AA1016" s="29"/>
      <c r="AD1016" s="29"/>
      <c r="AG1016" s="29"/>
      <c r="AJ1016" s="29"/>
      <c r="AS1016" s="29"/>
      <c r="AW1016" s="29"/>
      <c r="AX1016" s="1"/>
    </row>
    <row r="1017" spans="1:50" s="3" customFormat="1" x14ac:dyDescent="0.2">
      <c r="A1017" s="1"/>
      <c r="C1017" s="1"/>
      <c r="F1017" s="43"/>
      <c r="S1017" s="1"/>
      <c r="T1017" s="1"/>
      <c r="U1017" s="1"/>
      <c r="V1017" s="1"/>
      <c r="AA1017" s="29"/>
      <c r="AD1017" s="29"/>
      <c r="AG1017" s="29"/>
      <c r="AJ1017" s="29"/>
      <c r="AS1017" s="29"/>
      <c r="AW1017" s="29"/>
      <c r="AX1017" s="1"/>
    </row>
    <row r="1018" spans="1:50" s="3" customFormat="1" x14ac:dyDescent="0.2">
      <c r="A1018" s="1"/>
      <c r="C1018" s="1"/>
      <c r="F1018" s="43"/>
      <c r="S1018" s="1"/>
      <c r="T1018" s="1"/>
      <c r="U1018" s="1"/>
      <c r="V1018" s="1"/>
      <c r="AA1018" s="29"/>
      <c r="AD1018" s="29"/>
      <c r="AG1018" s="29"/>
      <c r="AJ1018" s="29"/>
      <c r="AS1018" s="29"/>
      <c r="AW1018" s="29"/>
      <c r="AX1018" s="1"/>
    </row>
    <row r="1019" spans="1:50" s="3" customFormat="1" x14ac:dyDescent="0.2">
      <c r="A1019" s="1"/>
      <c r="C1019" s="1"/>
      <c r="E1019" s="16"/>
      <c r="F1019" s="43"/>
      <c r="S1019" s="1"/>
      <c r="T1019" s="1"/>
      <c r="U1019" s="1"/>
      <c r="V1019" s="1"/>
      <c r="AA1019" s="29"/>
      <c r="AD1019" s="29"/>
      <c r="AG1019" s="29"/>
      <c r="AJ1019" s="29"/>
      <c r="AS1019" s="29"/>
      <c r="AW1019" s="29"/>
      <c r="AX1019" s="1"/>
    </row>
    <row r="1020" spans="1:50" s="3" customFormat="1" x14ac:dyDescent="0.2">
      <c r="A1020" s="1"/>
      <c r="C1020" s="1"/>
      <c r="F1020" s="43"/>
      <c r="S1020" s="1"/>
      <c r="T1020" s="1"/>
      <c r="U1020" s="1"/>
      <c r="V1020" s="1"/>
      <c r="AA1020" s="29"/>
      <c r="AD1020" s="29"/>
      <c r="AG1020" s="29"/>
      <c r="AJ1020" s="29"/>
      <c r="AS1020" s="29"/>
      <c r="AW1020" s="29"/>
      <c r="AX1020" s="1"/>
    </row>
    <row r="1021" spans="1:50" s="3" customFormat="1" x14ac:dyDescent="0.2">
      <c r="A1021" s="1"/>
      <c r="C1021" s="1"/>
      <c r="F1021" s="43"/>
      <c r="S1021" s="1"/>
      <c r="T1021" s="1"/>
      <c r="U1021" s="1"/>
      <c r="V1021" s="1"/>
      <c r="AA1021" s="29"/>
      <c r="AD1021" s="29"/>
      <c r="AG1021" s="29"/>
      <c r="AJ1021" s="29"/>
      <c r="AS1021" s="29"/>
      <c r="AW1021" s="29"/>
      <c r="AX1021" s="1"/>
    </row>
    <row r="1022" spans="1:50" s="3" customFormat="1" x14ac:dyDescent="0.2">
      <c r="A1022" s="1"/>
      <c r="C1022" s="1"/>
      <c r="F1022" s="43"/>
      <c r="S1022" s="1"/>
      <c r="T1022" s="1"/>
      <c r="U1022" s="1"/>
      <c r="V1022" s="1"/>
      <c r="AA1022" s="29"/>
      <c r="AD1022" s="29"/>
      <c r="AG1022" s="29"/>
      <c r="AJ1022" s="29"/>
      <c r="AS1022" s="29"/>
      <c r="AW1022" s="29"/>
      <c r="AX1022" s="1"/>
    </row>
    <row r="1023" spans="1:50" s="3" customFormat="1" x14ac:dyDescent="0.2">
      <c r="A1023" s="1"/>
      <c r="C1023" s="1"/>
      <c r="E1023" s="16"/>
      <c r="F1023" s="43"/>
      <c r="S1023" s="1"/>
      <c r="T1023" s="1"/>
      <c r="U1023" s="1"/>
      <c r="V1023" s="1"/>
      <c r="AA1023" s="29"/>
      <c r="AD1023" s="29"/>
      <c r="AG1023" s="29"/>
      <c r="AJ1023" s="29"/>
      <c r="AS1023" s="29"/>
      <c r="AW1023" s="29"/>
      <c r="AX1023" s="1"/>
    </row>
    <row r="1024" spans="1:50" s="3" customFormat="1" x14ac:dyDescent="0.2">
      <c r="A1024" s="1"/>
      <c r="C1024" s="1"/>
      <c r="F1024" s="43"/>
      <c r="S1024" s="1"/>
      <c r="T1024" s="1"/>
      <c r="U1024" s="1"/>
      <c r="V1024" s="1"/>
      <c r="AA1024" s="29"/>
      <c r="AD1024" s="29"/>
      <c r="AG1024" s="29"/>
      <c r="AJ1024" s="29"/>
      <c r="AS1024" s="29"/>
      <c r="AW1024" s="29"/>
      <c r="AX1024" s="1"/>
    </row>
    <row r="1025" spans="1:54" s="3" customFormat="1" x14ac:dyDescent="0.2">
      <c r="A1025" s="1"/>
      <c r="C1025" s="1"/>
      <c r="F1025" s="43"/>
      <c r="S1025" s="1"/>
      <c r="T1025" s="1"/>
      <c r="U1025" s="1"/>
      <c r="V1025" s="1"/>
      <c r="AA1025" s="29"/>
      <c r="AD1025" s="29"/>
      <c r="AG1025" s="29"/>
      <c r="AJ1025" s="29"/>
      <c r="AS1025" s="29"/>
      <c r="AW1025" s="29"/>
      <c r="AX1025" s="1"/>
    </row>
    <row r="1026" spans="1:54" s="3" customFormat="1" x14ac:dyDescent="0.2">
      <c r="A1026" s="1"/>
      <c r="C1026" s="1"/>
      <c r="F1026" s="43"/>
      <c r="S1026" s="1"/>
      <c r="T1026" s="1"/>
      <c r="U1026" s="1"/>
      <c r="V1026" s="1"/>
      <c r="AA1026" s="29"/>
      <c r="AD1026" s="29"/>
      <c r="AG1026" s="29"/>
      <c r="AJ1026" s="29"/>
      <c r="AS1026" s="29"/>
      <c r="AW1026" s="29"/>
      <c r="AX1026" s="1"/>
    </row>
    <row r="1027" spans="1:54" s="3" customFormat="1" x14ac:dyDescent="0.2">
      <c r="A1027" s="1"/>
      <c r="C1027" s="1"/>
      <c r="E1027" s="16"/>
      <c r="F1027" s="43"/>
      <c r="S1027" s="1"/>
      <c r="T1027" s="1"/>
      <c r="U1027" s="1"/>
      <c r="V1027" s="1"/>
      <c r="AA1027" s="29"/>
      <c r="AD1027" s="29"/>
      <c r="AG1027" s="29"/>
      <c r="AJ1027" s="29"/>
      <c r="AS1027" s="29"/>
      <c r="AW1027" s="29"/>
      <c r="AX1027" s="1"/>
    </row>
    <row r="1028" spans="1:54" s="3" customFormat="1" x14ac:dyDescent="0.2">
      <c r="A1028" s="1"/>
      <c r="C1028" s="1"/>
      <c r="F1028" s="43"/>
      <c r="S1028" s="1"/>
      <c r="T1028" s="1"/>
      <c r="U1028" s="1"/>
      <c r="V1028" s="1"/>
      <c r="AA1028" s="29"/>
      <c r="AD1028" s="29"/>
      <c r="AG1028" s="29"/>
      <c r="AJ1028" s="29"/>
      <c r="AS1028" s="29"/>
      <c r="AW1028" s="29"/>
      <c r="AX1028" s="1"/>
    </row>
    <row r="1029" spans="1:54" s="3" customFormat="1" x14ac:dyDescent="0.2">
      <c r="A1029" s="1"/>
      <c r="C1029" s="1"/>
      <c r="F1029" s="43"/>
      <c r="S1029" s="1"/>
      <c r="T1029" s="1"/>
      <c r="U1029" s="1"/>
      <c r="V1029" s="1"/>
      <c r="AA1029" s="29"/>
      <c r="AD1029" s="29"/>
      <c r="AG1029" s="29"/>
      <c r="AJ1029" s="29"/>
      <c r="AS1029" s="29"/>
      <c r="AW1029" s="29"/>
      <c r="AX1029" s="1"/>
    </row>
    <row r="1030" spans="1:54" s="3" customFormat="1" x14ac:dyDescent="0.2">
      <c r="A1030" s="1"/>
      <c r="C1030" s="1"/>
      <c r="F1030" s="43"/>
      <c r="S1030" s="1"/>
      <c r="T1030" s="1"/>
      <c r="U1030" s="1"/>
      <c r="V1030" s="1"/>
      <c r="AA1030" s="29"/>
      <c r="AD1030" s="29"/>
      <c r="AG1030" s="29"/>
      <c r="AJ1030" s="29"/>
      <c r="AS1030" s="29"/>
      <c r="AW1030" s="29"/>
      <c r="AX1030" s="1"/>
    </row>
    <row r="1031" spans="1:54" s="3" customFormat="1" x14ac:dyDescent="0.2">
      <c r="A1031" s="1"/>
      <c r="C1031" s="1"/>
      <c r="E1031" s="16"/>
      <c r="F1031" s="43"/>
      <c r="S1031" s="1"/>
      <c r="T1031" s="1"/>
      <c r="U1031" s="1"/>
      <c r="V1031" s="1"/>
      <c r="AA1031" s="29"/>
      <c r="AD1031" s="29"/>
      <c r="AG1031" s="29"/>
      <c r="AJ1031" s="29"/>
      <c r="AS1031" s="29"/>
      <c r="AW1031" s="29"/>
      <c r="AX1031" s="1"/>
    </row>
    <row r="1032" spans="1:54" s="3" customFormat="1" x14ac:dyDescent="0.2">
      <c r="A1032" s="1"/>
      <c r="C1032" s="1"/>
      <c r="F1032" s="43"/>
      <c r="S1032" s="1"/>
      <c r="T1032" s="1"/>
      <c r="U1032" s="1"/>
      <c r="V1032" s="1"/>
      <c r="AA1032" s="29"/>
      <c r="AD1032" s="29"/>
      <c r="AG1032" s="29"/>
      <c r="AJ1032" s="29"/>
      <c r="AS1032" s="29"/>
      <c r="AW1032" s="29"/>
      <c r="AX1032" s="1"/>
    </row>
    <row r="1033" spans="1:54" s="3" customFormat="1" x14ac:dyDescent="0.2">
      <c r="A1033" s="1"/>
      <c r="C1033" s="1"/>
      <c r="F1033" s="43"/>
      <c r="S1033" s="1"/>
      <c r="T1033" s="1"/>
      <c r="U1033" s="1"/>
      <c r="V1033" s="1"/>
      <c r="AA1033" s="29"/>
      <c r="AD1033" s="29"/>
      <c r="AG1033" s="29"/>
      <c r="AJ1033" s="29"/>
      <c r="AS1033" s="29"/>
      <c r="AW1033" s="29"/>
      <c r="AX1033" s="1"/>
    </row>
    <row r="1034" spans="1:54" s="3" customFormat="1" x14ac:dyDescent="0.2">
      <c r="A1034" s="1"/>
      <c r="C1034" s="1"/>
      <c r="F1034" s="43"/>
      <c r="S1034" s="1"/>
      <c r="T1034" s="1"/>
      <c r="U1034" s="1"/>
      <c r="V1034" s="1"/>
      <c r="AA1034" s="29"/>
      <c r="AD1034" s="29"/>
      <c r="AG1034" s="29"/>
      <c r="AJ1034" s="29"/>
      <c r="AS1034" s="29"/>
      <c r="AW1034" s="29"/>
      <c r="AX1034" s="1"/>
    </row>
    <row r="1035" spans="1:54" s="3" customFormat="1" x14ac:dyDescent="0.2">
      <c r="A1035" s="1"/>
      <c r="C1035" s="1"/>
      <c r="E1035" s="16"/>
      <c r="F1035" s="43"/>
      <c r="S1035" s="1"/>
      <c r="T1035" s="1"/>
      <c r="U1035" s="1"/>
      <c r="V1035" s="1"/>
      <c r="AA1035" s="29"/>
      <c r="AD1035" s="29"/>
      <c r="AG1035" s="29"/>
      <c r="AJ1035" s="29"/>
      <c r="AS1035" s="29"/>
      <c r="AW1035" s="29"/>
      <c r="AX1035" s="1"/>
    </row>
    <row r="1036" spans="1:54" s="3" customFormat="1" x14ac:dyDescent="0.2">
      <c r="A1036" s="1"/>
      <c r="C1036" s="1"/>
      <c r="F1036" s="43"/>
      <c r="S1036" s="1"/>
      <c r="T1036" s="1"/>
      <c r="U1036" s="1"/>
      <c r="V1036" s="1"/>
      <c r="AA1036" s="29"/>
      <c r="AD1036" s="29"/>
      <c r="AG1036" s="29"/>
      <c r="AJ1036" s="29"/>
      <c r="AS1036" s="29"/>
      <c r="AW1036" s="29"/>
      <c r="AX1036" s="1"/>
    </row>
    <row r="1037" spans="1:54" s="3" customFormat="1" x14ac:dyDescent="0.2">
      <c r="A1037" s="1"/>
      <c r="C1037" s="1"/>
      <c r="F1037" s="43"/>
      <c r="S1037" s="1"/>
      <c r="T1037" s="1"/>
      <c r="U1037" s="1"/>
      <c r="V1037" s="1"/>
      <c r="AA1037" s="29"/>
      <c r="AD1037" s="29"/>
      <c r="AG1037" s="29"/>
      <c r="AJ1037" s="29"/>
      <c r="AS1037" s="29"/>
      <c r="AW1037" s="29"/>
      <c r="AX1037" s="1"/>
    </row>
    <row r="1038" spans="1:54" s="3" customFormat="1" x14ac:dyDescent="0.2">
      <c r="A1038" s="1"/>
      <c r="C1038" s="1"/>
      <c r="F1038" s="43"/>
      <c r="S1038" s="1"/>
      <c r="T1038" s="1"/>
      <c r="U1038" s="1"/>
      <c r="V1038" s="1"/>
      <c r="AA1038" s="29"/>
      <c r="AD1038" s="29"/>
      <c r="AG1038" s="29"/>
      <c r="AJ1038" s="29"/>
      <c r="AS1038" s="29"/>
      <c r="AW1038" s="29"/>
      <c r="AX1038" s="1"/>
    </row>
    <row r="1039" spans="1:54" s="3" customFormat="1" x14ac:dyDescent="0.2">
      <c r="A1039" s="1"/>
      <c r="C1039" s="1"/>
      <c r="E1039" s="16"/>
      <c r="F1039" s="43"/>
      <c r="S1039" s="1"/>
      <c r="T1039" s="1"/>
      <c r="U1039" s="1"/>
      <c r="V1039" s="1"/>
      <c r="AA1039" s="29"/>
      <c r="AD1039" s="29"/>
      <c r="AG1039" s="29"/>
      <c r="AJ1039" s="29"/>
      <c r="AS1039" s="29"/>
      <c r="AW1039" s="29"/>
      <c r="AX1039" s="1"/>
      <c r="BB1039" s="2"/>
    </row>
    <row r="1040" spans="1:54" s="3" customFormat="1" x14ac:dyDescent="0.2">
      <c r="A1040" s="1"/>
      <c r="C1040" s="1"/>
      <c r="F1040" s="43"/>
      <c r="S1040" s="1"/>
      <c r="T1040" s="1"/>
      <c r="U1040" s="1"/>
      <c r="V1040" s="1"/>
      <c r="AA1040" s="29"/>
      <c r="AD1040" s="29"/>
      <c r="AG1040" s="29"/>
      <c r="AJ1040" s="29"/>
      <c r="AS1040" s="29"/>
      <c r="AW1040" s="29"/>
      <c r="AX1040" s="1"/>
    </row>
    <row r="1041" spans="1:54" s="3" customFormat="1" x14ac:dyDescent="0.2">
      <c r="A1041" s="1"/>
      <c r="C1041" s="1"/>
      <c r="F1041" s="43"/>
      <c r="S1041" s="1"/>
      <c r="T1041" s="1"/>
      <c r="U1041" s="1"/>
      <c r="V1041" s="1"/>
      <c r="AA1041" s="29"/>
      <c r="AD1041" s="29"/>
      <c r="AG1041" s="29"/>
      <c r="AJ1041" s="29"/>
      <c r="AS1041" s="29"/>
      <c r="AW1041" s="29"/>
      <c r="AX1041" s="1"/>
    </row>
    <row r="1042" spans="1:54" s="3" customFormat="1" x14ac:dyDescent="0.2">
      <c r="A1042" s="1"/>
      <c r="C1042" s="1"/>
      <c r="F1042" s="43"/>
      <c r="S1042" s="1"/>
      <c r="T1042" s="1"/>
      <c r="U1042" s="1"/>
      <c r="V1042" s="1"/>
      <c r="AA1042" s="29"/>
      <c r="AD1042" s="29"/>
      <c r="AG1042" s="29"/>
      <c r="AJ1042" s="29"/>
      <c r="AS1042" s="29"/>
      <c r="AW1042" s="29"/>
      <c r="AX1042" s="1"/>
    </row>
    <row r="1043" spans="1:54" s="3" customFormat="1" x14ac:dyDescent="0.2">
      <c r="A1043" s="1"/>
      <c r="C1043" s="1"/>
      <c r="E1043" s="16"/>
      <c r="F1043" s="43"/>
      <c r="S1043" s="1"/>
      <c r="T1043" s="1"/>
      <c r="U1043" s="1"/>
      <c r="V1043" s="1"/>
      <c r="AA1043" s="29"/>
      <c r="AD1043" s="29"/>
      <c r="AG1043" s="29"/>
      <c r="AJ1043" s="29"/>
      <c r="AS1043" s="29"/>
      <c r="AW1043" s="29"/>
      <c r="AX1043" s="1"/>
      <c r="BB1043" s="2"/>
    </row>
    <row r="1044" spans="1:54" s="3" customFormat="1" x14ac:dyDescent="0.2">
      <c r="A1044" s="1"/>
      <c r="C1044" s="1"/>
      <c r="F1044" s="43"/>
      <c r="S1044" s="1"/>
      <c r="T1044" s="1"/>
      <c r="U1044" s="1"/>
      <c r="V1044" s="1"/>
      <c r="AA1044" s="29"/>
      <c r="AD1044" s="29"/>
      <c r="AG1044" s="29"/>
      <c r="AJ1044" s="29"/>
      <c r="AS1044" s="29"/>
      <c r="AW1044" s="29"/>
      <c r="AX1044" s="1"/>
    </row>
    <row r="1045" spans="1:54" s="3" customFormat="1" x14ac:dyDescent="0.2">
      <c r="A1045" s="1"/>
      <c r="C1045" s="1"/>
      <c r="F1045" s="43"/>
      <c r="S1045" s="1"/>
      <c r="T1045" s="1"/>
      <c r="U1045" s="1"/>
      <c r="V1045" s="1"/>
      <c r="AA1045" s="29"/>
      <c r="AD1045" s="29"/>
      <c r="AG1045" s="29"/>
      <c r="AJ1045" s="29"/>
      <c r="AS1045" s="29"/>
      <c r="AW1045" s="29"/>
      <c r="AX1045" s="1"/>
    </row>
    <row r="1046" spans="1:54" s="3" customFormat="1" x14ac:dyDescent="0.2">
      <c r="A1046" s="1"/>
      <c r="C1046" s="1"/>
      <c r="F1046" s="43"/>
      <c r="S1046" s="1"/>
      <c r="T1046" s="1"/>
      <c r="U1046" s="1"/>
      <c r="V1046" s="1"/>
      <c r="AA1046" s="29"/>
      <c r="AD1046" s="29"/>
      <c r="AG1046" s="29"/>
      <c r="AJ1046" s="29"/>
      <c r="AS1046" s="29"/>
      <c r="AW1046" s="29"/>
      <c r="AX1046" s="1"/>
    </row>
    <row r="1047" spans="1:54" s="3" customFormat="1" x14ac:dyDescent="0.2">
      <c r="A1047" s="1"/>
      <c r="C1047" s="1"/>
      <c r="E1047" s="16"/>
      <c r="F1047" s="43"/>
      <c r="S1047" s="1"/>
      <c r="T1047" s="1"/>
      <c r="U1047" s="1"/>
      <c r="V1047" s="1"/>
      <c r="AA1047" s="29"/>
      <c r="AD1047" s="29"/>
      <c r="AG1047" s="29"/>
      <c r="AJ1047" s="29"/>
      <c r="AS1047" s="29"/>
      <c r="AW1047" s="29"/>
      <c r="AX1047" s="1"/>
      <c r="BB1047" s="2"/>
    </row>
    <row r="1048" spans="1:54" s="3" customFormat="1" x14ac:dyDescent="0.2">
      <c r="A1048" s="1"/>
      <c r="C1048" s="1"/>
      <c r="F1048" s="43"/>
      <c r="S1048" s="1"/>
      <c r="T1048" s="1"/>
      <c r="U1048" s="1"/>
      <c r="V1048" s="1"/>
      <c r="AA1048" s="29"/>
      <c r="AD1048" s="29"/>
      <c r="AG1048" s="29"/>
      <c r="AJ1048" s="29"/>
      <c r="AS1048" s="29"/>
      <c r="AW1048" s="29"/>
      <c r="AX1048" s="1"/>
    </row>
    <row r="1049" spans="1:54" s="3" customFormat="1" x14ac:dyDescent="0.2">
      <c r="A1049" s="1"/>
      <c r="C1049" s="1"/>
      <c r="E1049" s="16"/>
      <c r="F1049" s="43"/>
      <c r="S1049" s="1"/>
      <c r="T1049" s="1"/>
      <c r="U1049" s="1"/>
      <c r="V1049" s="1"/>
      <c r="AA1049" s="29"/>
      <c r="AD1049" s="29"/>
      <c r="AG1049" s="29"/>
      <c r="AJ1049" s="29"/>
      <c r="AS1049" s="29"/>
      <c r="AW1049" s="29"/>
      <c r="AX1049" s="1"/>
      <c r="BB1049" s="2"/>
    </row>
    <row r="1050" spans="1:54" s="3" customFormat="1" x14ac:dyDescent="0.2">
      <c r="A1050" s="1"/>
      <c r="C1050" s="1"/>
      <c r="F1050" s="43"/>
      <c r="S1050" s="1"/>
      <c r="T1050" s="1"/>
      <c r="U1050" s="1"/>
      <c r="V1050" s="1"/>
      <c r="AA1050" s="29"/>
      <c r="AD1050" s="29"/>
      <c r="AG1050" s="29"/>
      <c r="AJ1050" s="29"/>
      <c r="AS1050" s="29"/>
      <c r="AW1050" s="29"/>
      <c r="AX1050" s="1"/>
    </row>
    <row r="1051" spans="1:54" s="3" customFormat="1" x14ac:dyDescent="0.2">
      <c r="A1051" s="1"/>
      <c r="C1051" s="1"/>
      <c r="E1051" s="16"/>
      <c r="F1051" s="43"/>
      <c r="S1051" s="1"/>
      <c r="T1051" s="1"/>
      <c r="U1051" s="1"/>
      <c r="V1051" s="1"/>
      <c r="AA1051" s="29"/>
      <c r="AD1051" s="29"/>
      <c r="AG1051" s="29"/>
      <c r="AJ1051" s="29"/>
      <c r="AS1051" s="29"/>
      <c r="AW1051" s="29"/>
      <c r="AX1051" s="1"/>
      <c r="BB1051" s="2"/>
    </row>
    <row r="1052" spans="1:54" s="3" customFormat="1" x14ac:dyDescent="0.2">
      <c r="A1052" s="1"/>
      <c r="C1052" s="1"/>
      <c r="F1052" s="43"/>
      <c r="S1052" s="1"/>
      <c r="T1052" s="1"/>
      <c r="U1052" s="1"/>
      <c r="V1052" s="1"/>
      <c r="AA1052" s="29"/>
      <c r="AD1052" s="29"/>
      <c r="AG1052" s="29"/>
      <c r="AJ1052" s="29"/>
      <c r="AS1052" s="29"/>
      <c r="AW1052" s="29"/>
      <c r="AX1052" s="1"/>
    </row>
    <row r="1053" spans="1:54" s="3" customFormat="1" x14ac:dyDescent="0.2">
      <c r="A1053" s="1"/>
      <c r="C1053" s="1"/>
      <c r="E1053" s="16"/>
      <c r="F1053" s="43"/>
      <c r="S1053" s="1"/>
      <c r="T1053" s="1"/>
      <c r="U1053" s="1"/>
      <c r="V1053" s="1"/>
      <c r="AA1053" s="29"/>
      <c r="AD1053" s="29"/>
      <c r="AG1053" s="29"/>
      <c r="AJ1053" s="29"/>
      <c r="AS1053" s="29"/>
      <c r="AW1053" s="29"/>
      <c r="AX1053" s="1"/>
      <c r="BB1053" s="2"/>
    </row>
    <row r="1054" spans="1:54" s="3" customFormat="1" x14ac:dyDescent="0.2">
      <c r="A1054" s="1"/>
      <c r="C1054" s="1"/>
      <c r="F1054" s="43"/>
      <c r="S1054" s="1"/>
      <c r="T1054" s="1"/>
      <c r="U1054" s="1"/>
      <c r="V1054" s="1"/>
      <c r="AA1054" s="29"/>
      <c r="AD1054" s="29"/>
      <c r="AG1054" s="29"/>
      <c r="AJ1054" s="29"/>
      <c r="AS1054" s="29"/>
      <c r="AW1054" s="29"/>
      <c r="AX1054" s="1"/>
    </row>
    <row r="1055" spans="1:54" s="3" customFormat="1" x14ac:dyDescent="0.2">
      <c r="A1055" s="1"/>
      <c r="C1055" s="1"/>
      <c r="E1055" s="16"/>
      <c r="F1055" s="43"/>
      <c r="S1055" s="1"/>
      <c r="T1055" s="1"/>
      <c r="U1055" s="1"/>
      <c r="V1055" s="1"/>
      <c r="AA1055" s="29"/>
      <c r="AD1055" s="29"/>
      <c r="AG1055" s="29"/>
      <c r="AJ1055" s="29"/>
      <c r="AS1055" s="29"/>
      <c r="AW1055" s="29"/>
      <c r="AX1055" s="1"/>
      <c r="BB1055" s="2"/>
    </row>
    <row r="1056" spans="1:54" s="3" customFormat="1" x14ac:dyDescent="0.2">
      <c r="A1056" s="1"/>
      <c r="C1056" s="1"/>
      <c r="F1056" s="43"/>
      <c r="S1056" s="1"/>
      <c r="T1056" s="1"/>
      <c r="U1056" s="1"/>
      <c r="V1056" s="1"/>
      <c r="AA1056" s="29"/>
      <c r="AD1056" s="29"/>
      <c r="AG1056" s="29"/>
      <c r="AJ1056" s="29"/>
      <c r="AS1056" s="29"/>
      <c r="AW1056" s="29"/>
      <c r="AX1056" s="1"/>
    </row>
    <row r="1057" spans="1:54" s="3" customFormat="1" x14ac:dyDescent="0.2">
      <c r="A1057" s="1"/>
      <c r="C1057" s="1"/>
      <c r="E1057" s="16"/>
      <c r="F1057" s="43"/>
      <c r="S1057" s="1"/>
      <c r="T1057" s="1"/>
      <c r="U1057" s="1"/>
      <c r="V1057" s="1"/>
      <c r="AA1057" s="29"/>
      <c r="AD1057" s="29"/>
      <c r="AG1057" s="29"/>
      <c r="AJ1057" s="29"/>
      <c r="AS1057" s="29"/>
      <c r="AW1057" s="29"/>
      <c r="AX1057" s="1"/>
      <c r="BB1057" s="2"/>
    </row>
    <row r="1058" spans="1:54" s="3" customFormat="1" x14ac:dyDescent="0.2">
      <c r="A1058" s="1"/>
      <c r="C1058" s="1"/>
      <c r="F1058" s="43"/>
      <c r="S1058" s="1"/>
      <c r="T1058" s="1"/>
      <c r="U1058" s="1"/>
      <c r="V1058" s="1"/>
      <c r="AA1058" s="29"/>
      <c r="AD1058" s="29"/>
      <c r="AG1058" s="29"/>
      <c r="AJ1058" s="29"/>
      <c r="AS1058" s="29"/>
      <c r="AW1058" s="29"/>
      <c r="AX1058" s="1"/>
    </row>
    <row r="1059" spans="1:54" s="3" customFormat="1" x14ac:dyDescent="0.2">
      <c r="A1059" s="1"/>
      <c r="C1059" s="1"/>
      <c r="E1059" s="16"/>
      <c r="F1059" s="43"/>
      <c r="S1059" s="1"/>
      <c r="T1059" s="1"/>
      <c r="U1059" s="1"/>
      <c r="V1059" s="1"/>
      <c r="AA1059" s="29"/>
      <c r="AD1059" s="29"/>
      <c r="AG1059" s="29"/>
      <c r="AJ1059" s="29"/>
      <c r="AS1059" s="29"/>
      <c r="AW1059" s="29"/>
      <c r="AX1059" s="1"/>
      <c r="BB1059" s="2"/>
    </row>
    <row r="1060" spans="1:54" s="3" customFormat="1" x14ac:dyDescent="0.2">
      <c r="A1060" s="1"/>
      <c r="C1060" s="1"/>
      <c r="F1060" s="43"/>
      <c r="S1060" s="1"/>
      <c r="T1060" s="1"/>
      <c r="U1060" s="1"/>
      <c r="V1060" s="1"/>
      <c r="AA1060" s="29"/>
      <c r="AD1060" s="29"/>
      <c r="AG1060" s="29"/>
      <c r="AJ1060" s="29"/>
      <c r="AS1060" s="29"/>
      <c r="AW1060" s="29"/>
      <c r="AX1060" s="1"/>
    </row>
    <row r="1061" spans="1:54" s="3" customFormat="1" x14ac:dyDescent="0.2">
      <c r="A1061" s="1"/>
      <c r="C1061" s="1"/>
      <c r="E1061" s="16"/>
      <c r="F1061" s="43"/>
      <c r="S1061" s="1"/>
      <c r="T1061" s="1"/>
      <c r="U1061" s="1"/>
      <c r="V1061" s="1"/>
      <c r="AA1061" s="29"/>
      <c r="AD1061" s="29"/>
      <c r="AG1061" s="29"/>
      <c r="AJ1061" s="29"/>
      <c r="AS1061" s="29"/>
      <c r="AW1061" s="29"/>
      <c r="AX1061" s="1"/>
      <c r="BB1061" s="2"/>
    </row>
    <row r="1062" spans="1:54" s="3" customFormat="1" x14ac:dyDescent="0.2">
      <c r="A1062" s="1"/>
      <c r="C1062" s="1"/>
      <c r="F1062" s="43"/>
      <c r="S1062" s="1"/>
      <c r="T1062" s="1"/>
      <c r="U1062" s="1"/>
      <c r="V1062" s="1"/>
      <c r="AA1062" s="29"/>
      <c r="AD1062" s="29"/>
      <c r="AG1062" s="29"/>
      <c r="AJ1062" s="29"/>
      <c r="AS1062" s="29"/>
      <c r="AW1062" s="29"/>
      <c r="AX1062" s="1"/>
    </row>
    <row r="1063" spans="1:54" s="3" customFormat="1" x14ac:dyDescent="0.2">
      <c r="A1063" s="1"/>
      <c r="C1063" s="1"/>
      <c r="E1063" s="16"/>
      <c r="F1063" s="43"/>
      <c r="S1063" s="1"/>
      <c r="T1063" s="1"/>
      <c r="U1063" s="1"/>
      <c r="V1063" s="1"/>
      <c r="AA1063" s="29"/>
      <c r="AD1063" s="29"/>
      <c r="AG1063" s="29"/>
      <c r="AJ1063" s="29"/>
      <c r="AS1063" s="29"/>
      <c r="AW1063" s="29"/>
      <c r="AX1063" s="1"/>
      <c r="BB1063" s="2"/>
    </row>
    <row r="1064" spans="1:54" s="3" customFormat="1" x14ac:dyDescent="0.2">
      <c r="A1064" s="1"/>
      <c r="C1064" s="1"/>
      <c r="F1064" s="43"/>
      <c r="S1064" s="1"/>
      <c r="T1064" s="1"/>
      <c r="U1064" s="1"/>
      <c r="V1064" s="1"/>
      <c r="AA1064" s="29"/>
      <c r="AD1064" s="29"/>
      <c r="AG1064" s="29"/>
      <c r="AJ1064" s="29"/>
      <c r="AS1064" s="29"/>
      <c r="AW1064" s="29"/>
      <c r="AX1064" s="1"/>
    </row>
    <row r="1065" spans="1:54" s="3" customFormat="1" x14ac:dyDescent="0.2">
      <c r="A1065" s="1"/>
      <c r="C1065" s="1"/>
      <c r="E1065" s="16"/>
      <c r="F1065" s="43"/>
      <c r="S1065" s="1"/>
      <c r="T1065" s="1"/>
      <c r="U1065" s="1"/>
      <c r="V1065" s="1"/>
      <c r="AA1065" s="29"/>
      <c r="AD1065" s="29"/>
      <c r="AG1065" s="29"/>
      <c r="AJ1065" s="29"/>
      <c r="AS1065" s="29"/>
      <c r="AW1065" s="29"/>
      <c r="AX1065" s="1"/>
      <c r="BB1065" s="2"/>
    </row>
    <row r="1066" spans="1:54" s="3" customFormat="1" x14ac:dyDescent="0.2">
      <c r="A1066" s="1"/>
      <c r="C1066" s="1"/>
      <c r="F1066" s="43"/>
      <c r="S1066" s="1"/>
      <c r="T1066" s="1"/>
      <c r="U1066" s="1"/>
      <c r="V1066" s="1"/>
      <c r="AA1066" s="29"/>
      <c r="AD1066" s="29"/>
      <c r="AG1066" s="29"/>
      <c r="AJ1066" s="29"/>
      <c r="AS1066" s="29"/>
      <c r="AW1066" s="29"/>
      <c r="AX1066" s="1"/>
    </row>
    <row r="1067" spans="1:54" s="3" customFormat="1" x14ac:dyDescent="0.2">
      <c r="A1067" s="1"/>
      <c r="C1067" s="1"/>
      <c r="E1067" s="16"/>
      <c r="F1067" s="43"/>
      <c r="S1067" s="1"/>
      <c r="T1067" s="1"/>
      <c r="U1067" s="1"/>
      <c r="V1067" s="1"/>
      <c r="AA1067" s="29"/>
      <c r="AD1067" s="29"/>
      <c r="AG1067" s="29"/>
      <c r="AJ1067" s="29"/>
      <c r="AS1067" s="29"/>
      <c r="AW1067" s="29"/>
      <c r="AX1067" s="1"/>
      <c r="BB1067" s="2"/>
    </row>
    <row r="1068" spans="1:54" s="3" customFormat="1" x14ac:dyDescent="0.2">
      <c r="A1068" s="1"/>
      <c r="C1068" s="1"/>
      <c r="F1068" s="43"/>
      <c r="S1068" s="1"/>
      <c r="T1068" s="1"/>
      <c r="U1068" s="1"/>
      <c r="V1068" s="1"/>
      <c r="AA1068" s="29"/>
      <c r="AD1068" s="29"/>
      <c r="AG1068" s="29"/>
      <c r="AJ1068" s="29"/>
      <c r="AS1068" s="29"/>
      <c r="AW1068" s="29"/>
      <c r="AX1068" s="1"/>
    </row>
    <row r="1069" spans="1:54" s="3" customFormat="1" x14ac:dyDescent="0.2">
      <c r="A1069" s="1"/>
      <c r="C1069" s="1"/>
      <c r="E1069" s="16"/>
      <c r="F1069" s="43"/>
      <c r="S1069" s="1"/>
      <c r="T1069" s="1"/>
      <c r="U1069" s="1"/>
      <c r="V1069" s="1"/>
      <c r="AA1069" s="29"/>
      <c r="AD1069" s="29"/>
      <c r="AG1069" s="29"/>
      <c r="AJ1069" s="29"/>
      <c r="AS1069" s="29"/>
      <c r="AW1069" s="29"/>
      <c r="AX1069" s="1"/>
      <c r="BB1069" s="2"/>
    </row>
    <row r="1070" spans="1:54" s="3" customFormat="1" x14ac:dyDescent="0.2">
      <c r="A1070" s="1"/>
      <c r="C1070" s="1"/>
      <c r="F1070" s="43"/>
      <c r="S1070" s="1"/>
      <c r="T1070" s="1"/>
      <c r="U1070" s="1"/>
      <c r="V1070" s="1"/>
      <c r="AA1070" s="29"/>
      <c r="AD1070" s="29"/>
      <c r="AG1070" s="29"/>
      <c r="AJ1070" s="29"/>
      <c r="AS1070" s="29"/>
      <c r="AW1070" s="29"/>
      <c r="AX1070" s="1"/>
    </row>
    <row r="1071" spans="1:54" s="3" customFormat="1" x14ac:dyDescent="0.2">
      <c r="A1071" s="1"/>
      <c r="C1071" s="1"/>
      <c r="E1071" s="16"/>
      <c r="F1071" s="43"/>
      <c r="S1071" s="1"/>
      <c r="T1071" s="1"/>
      <c r="U1071" s="1"/>
      <c r="V1071" s="1"/>
      <c r="AA1071" s="29"/>
      <c r="AD1071" s="29"/>
      <c r="AG1071" s="29"/>
      <c r="AJ1071" s="29"/>
      <c r="AS1071" s="29"/>
      <c r="AW1071" s="29"/>
      <c r="AX1071" s="1"/>
    </row>
    <row r="1072" spans="1:54" s="3" customFormat="1" x14ac:dyDescent="0.2">
      <c r="A1072" s="1"/>
      <c r="C1072" s="1"/>
      <c r="F1072" s="43"/>
      <c r="S1072" s="1"/>
      <c r="T1072" s="1"/>
      <c r="U1072" s="1"/>
      <c r="V1072" s="1"/>
      <c r="AA1072" s="29"/>
      <c r="AD1072" s="29"/>
      <c r="AG1072" s="29"/>
      <c r="AJ1072" s="29"/>
      <c r="AS1072" s="29"/>
      <c r="AW1072" s="29"/>
      <c r="AX1072" s="1"/>
    </row>
    <row r="1073" spans="1:50" s="3" customFormat="1" x14ac:dyDescent="0.2">
      <c r="A1073" s="1"/>
      <c r="C1073" s="1"/>
      <c r="F1073" s="43"/>
      <c r="S1073" s="1"/>
      <c r="T1073" s="1"/>
      <c r="U1073" s="1"/>
      <c r="V1073" s="1"/>
      <c r="AA1073" s="29"/>
      <c r="AD1073" s="29"/>
      <c r="AG1073" s="29"/>
      <c r="AJ1073" s="29"/>
      <c r="AS1073" s="29"/>
      <c r="AW1073" s="29"/>
      <c r="AX1073" s="1"/>
    </row>
    <row r="1074" spans="1:50" s="3" customFormat="1" x14ac:dyDescent="0.2">
      <c r="A1074" s="1"/>
      <c r="C1074" s="1"/>
      <c r="F1074" s="43"/>
      <c r="S1074" s="1"/>
      <c r="T1074" s="1"/>
      <c r="U1074" s="1"/>
      <c r="V1074" s="1"/>
      <c r="AA1074" s="29"/>
      <c r="AD1074" s="29"/>
      <c r="AG1074" s="29"/>
      <c r="AJ1074" s="29"/>
      <c r="AS1074" s="29"/>
      <c r="AW1074" s="29"/>
      <c r="AX1074" s="1"/>
    </row>
    <row r="1075" spans="1:50" s="3" customFormat="1" x14ac:dyDescent="0.2">
      <c r="A1075" s="1"/>
      <c r="C1075" s="1"/>
      <c r="E1075" s="16"/>
      <c r="F1075" s="43"/>
      <c r="S1075" s="1"/>
      <c r="T1075" s="1"/>
      <c r="U1075" s="1"/>
      <c r="V1075" s="1"/>
      <c r="AA1075" s="29"/>
      <c r="AD1075" s="29"/>
      <c r="AG1075" s="29"/>
      <c r="AJ1075" s="29"/>
      <c r="AS1075" s="29"/>
      <c r="AW1075" s="29"/>
      <c r="AX1075" s="1"/>
    </row>
    <row r="1076" spans="1:50" s="3" customFormat="1" x14ac:dyDescent="0.2">
      <c r="A1076" s="1"/>
      <c r="C1076" s="1"/>
      <c r="F1076" s="43"/>
      <c r="S1076" s="1"/>
      <c r="T1076" s="1"/>
      <c r="U1076" s="1"/>
      <c r="V1076" s="1"/>
      <c r="AA1076" s="29"/>
      <c r="AD1076" s="29"/>
      <c r="AG1076" s="29"/>
      <c r="AJ1076" s="29"/>
      <c r="AS1076" s="29"/>
      <c r="AW1076" s="29"/>
      <c r="AX1076" s="1"/>
    </row>
    <row r="1077" spans="1:50" s="3" customFormat="1" x14ac:dyDescent="0.2">
      <c r="A1077" s="1"/>
      <c r="C1077" s="1"/>
      <c r="E1077" s="13"/>
      <c r="F1077" s="43"/>
      <c r="S1077" s="1"/>
      <c r="T1077" s="1"/>
      <c r="U1077" s="1"/>
      <c r="V1077" s="1"/>
      <c r="AA1077" s="29"/>
      <c r="AD1077" s="29"/>
      <c r="AG1077" s="29"/>
      <c r="AJ1077" s="29"/>
      <c r="AS1077" s="29"/>
      <c r="AW1077" s="29"/>
      <c r="AX1077" s="1"/>
    </row>
    <row r="1078" spans="1:50" s="3" customFormat="1" x14ac:dyDescent="0.2">
      <c r="A1078" s="1"/>
      <c r="C1078" s="1"/>
      <c r="F1078" s="43"/>
      <c r="S1078" s="1"/>
      <c r="T1078" s="1"/>
      <c r="U1078" s="1"/>
      <c r="V1078" s="1"/>
      <c r="AA1078" s="29"/>
      <c r="AD1078" s="29"/>
      <c r="AG1078" s="29"/>
      <c r="AJ1078" s="29"/>
      <c r="AS1078" s="29"/>
      <c r="AW1078" s="29"/>
      <c r="AX1078" s="1"/>
    </row>
    <row r="1079" spans="1:50" s="3" customFormat="1" x14ac:dyDescent="0.2">
      <c r="A1079" s="1"/>
      <c r="C1079" s="1"/>
      <c r="F1079" s="43"/>
      <c r="S1079" s="1"/>
      <c r="T1079" s="1"/>
      <c r="U1079" s="1"/>
      <c r="V1079" s="1"/>
      <c r="AA1079" s="29"/>
      <c r="AD1079" s="29"/>
      <c r="AG1079" s="29"/>
      <c r="AJ1079" s="29"/>
      <c r="AS1079" s="29"/>
      <c r="AW1079" s="29"/>
      <c r="AX1079" s="1"/>
    </row>
    <row r="1080" spans="1:50" s="3" customFormat="1" x14ac:dyDescent="0.2">
      <c r="A1080" s="1"/>
      <c r="C1080" s="1"/>
      <c r="E1080" s="13"/>
      <c r="F1080" s="43"/>
      <c r="S1080" s="1"/>
      <c r="T1080" s="1"/>
      <c r="U1080" s="1"/>
      <c r="V1080" s="1"/>
      <c r="AA1080" s="29"/>
      <c r="AD1080" s="29"/>
      <c r="AG1080" s="29"/>
      <c r="AJ1080" s="29"/>
      <c r="AS1080" s="29"/>
      <c r="AW1080" s="29"/>
      <c r="AX1080" s="1"/>
    </row>
    <row r="1081" spans="1:50" s="3" customFormat="1" x14ac:dyDescent="0.2">
      <c r="A1081" s="1"/>
      <c r="C1081" s="1"/>
      <c r="F1081" s="43"/>
      <c r="S1081" s="1"/>
      <c r="T1081" s="1"/>
      <c r="U1081" s="1"/>
      <c r="V1081" s="1"/>
      <c r="AA1081" s="29"/>
      <c r="AD1081" s="29"/>
      <c r="AG1081" s="29"/>
      <c r="AJ1081" s="29"/>
      <c r="AS1081" s="29"/>
      <c r="AW1081" s="29"/>
      <c r="AX1081" s="1"/>
    </row>
    <row r="1082" spans="1:50" s="3" customFormat="1" x14ac:dyDescent="0.2">
      <c r="A1082" s="1"/>
      <c r="C1082" s="1"/>
      <c r="F1082" s="43"/>
      <c r="S1082" s="1"/>
      <c r="T1082" s="1"/>
      <c r="U1082" s="1"/>
      <c r="V1082" s="1"/>
      <c r="AA1082" s="29"/>
      <c r="AD1082" s="29"/>
      <c r="AG1082" s="29"/>
      <c r="AJ1082" s="29"/>
      <c r="AS1082" s="29"/>
      <c r="AW1082" s="29"/>
      <c r="AX1082" s="1"/>
    </row>
    <row r="1083" spans="1:50" s="3" customFormat="1" x14ac:dyDescent="0.2">
      <c r="A1083" s="1"/>
      <c r="C1083" s="1"/>
      <c r="E1083" s="13"/>
      <c r="F1083" s="43"/>
      <c r="S1083" s="1"/>
      <c r="T1083" s="1"/>
      <c r="U1083" s="1"/>
      <c r="V1083" s="1"/>
      <c r="AA1083" s="29"/>
      <c r="AD1083" s="29"/>
      <c r="AG1083" s="29"/>
      <c r="AJ1083" s="29"/>
      <c r="AS1083" s="29"/>
      <c r="AW1083" s="29"/>
      <c r="AX1083" s="1"/>
    </row>
    <row r="1084" spans="1:50" s="3" customFormat="1" x14ac:dyDescent="0.2">
      <c r="A1084" s="1"/>
      <c r="C1084" s="1"/>
      <c r="F1084" s="43"/>
      <c r="S1084" s="1"/>
      <c r="T1084" s="1"/>
      <c r="U1084" s="1"/>
      <c r="V1084" s="1"/>
      <c r="AA1084" s="29"/>
      <c r="AD1084" s="29"/>
      <c r="AG1084" s="29"/>
      <c r="AJ1084" s="29"/>
      <c r="AS1084" s="29"/>
      <c r="AW1084" s="29"/>
      <c r="AX1084" s="1"/>
    </row>
    <row r="1085" spans="1:50" s="3" customFormat="1" ht="14.25" customHeight="1" x14ac:dyDescent="0.2">
      <c r="A1085" s="1"/>
      <c r="C1085" s="1"/>
      <c r="F1085" s="43"/>
      <c r="S1085" s="1"/>
      <c r="T1085" s="1"/>
      <c r="U1085" s="1"/>
      <c r="V1085" s="1"/>
      <c r="AA1085" s="29"/>
      <c r="AD1085" s="29"/>
      <c r="AG1085" s="29"/>
      <c r="AJ1085" s="29"/>
      <c r="AS1085" s="29"/>
      <c r="AW1085" s="29"/>
      <c r="AX1085" s="1"/>
    </row>
    <row r="1086" spans="1:50" s="3" customFormat="1" x14ac:dyDescent="0.2">
      <c r="A1086" s="1"/>
      <c r="C1086" s="1"/>
      <c r="F1086" s="43"/>
      <c r="S1086" s="1"/>
      <c r="T1086" s="1"/>
      <c r="U1086" s="1"/>
      <c r="V1086" s="1"/>
      <c r="AA1086" s="29"/>
      <c r="AD1086" s="29"/>
      <c r="AG1086" s="29"/>
      <c r="AJ1086" s="29"/>
      <c r="AS1086" s="29"/>
      <c r="AW1086" s="29"/>
      <c r="AX1086" s="1"/>
    </row>
    <row r="1087" spans="1:50" s="3" customFormat="1" x14ac:dyDescent="0.2">
      <c r="A1087" s="1"/>
      <c r="C1087" s="1"/>
      <c r="F1087" s="43"/>
      <c r="S1087" s="1"/>
      <c r="T1087" s="1"/>
      <c r="U1087" s="1"/>
      <c r="V1087" s="1"/>
      <c r="AA1087" s="29"/>
      <c r="AD1087" s="29"/>
      <c r="AG1087" s="29"/>
      <c r="AJ1087" s="29"/>
      <c r="AS1087" s="29"/>
      <c r="AW1087" s="29"/>
      <c r="AX1087" s="1"/>
    </row>
    <row r="1088" spans="1:50" s="3" customFormat="1" x14ac:dyDescent="0.2">
      <c r="A1088" s="1"/>
      <c r="C1088" s="1"/>
      <c r="F1088" s="43"/>
      <c r="S1088" s="1"/>
      <c r="T1088" s="1"/>
      <c r="U1088" s="1"/>
      <c r="V1088" s="1"/>
      <c r="AA1088" s="29"/>
      <c r="AD1088" s="29"/>
      <c r="AG1088" s="29"/>
      <c r="AJ1088" s="29"/>
      <c r="AS1088" s="29"/>
      <c r="AW1088" s="29"/>
      <c r="AX1088" s="1"/>
    </row>
    <row r="1089" spans="1:54" x14ac:dyDescent="0.2">
      <c r="B1089" s="3"/>
      <c r="C1089" s="1"/>
      <c r="E1089" s="16"/>
      <c r="AV1089" s="3"/>
      <c r="AW1089" s="29"/>
      <c r="BB1089" s="3"/>
    </row>
    <row r="1090" spans="1:54" x14ac:dyDescent="0.2">
      <c r="B1090" s="3"/>
      <c r="C1090" s="1"/>
      <c r="BA1090" s="2"/>
    </row>
    <row r="1091" spans="1:54" x14ac:dyDescent="0.2">
      <c r="B1091" s="3"/>
      <c r="C1091" s="1"/>
      <c r="BA1091" s="2"/>
    </row>
    <row r="1092" spans="1:54" x14ac:dyDescent="0.2">
      <c r="B1092" s="3"/>
      <c r="C1092" s="1"/>
      <c r="BA1092" s="2"/>
    </row>
    <row r="1093" spans="1:54" x14ac:dyDescent="0.2">
      <c r="B1093" s="3"/>
      <c r="C1093" s="1"/>
      <c r="E1093" s="16"/>
      <c r="AV1093" s="3"/>
      <c r="AW1093" s="29"/>
      <c r="BB1093" s="3"/>
    </row>
    <row r="1094" spans="1:54" x14ac:dyDescent="0.2">
      <c r="B1094" s="3"/>
      <c r="C1094" s="1"/>
      <c r="BA1094" s="2"/>
    </row>
    <row r="1095" spans="1:54" x14ac:dyDescent="0.2">
      <c r="B1095" s="3"/>
      <c r="C1095" s="1"/>
      <c r="BA1095" s="2"/>
    </row>
    <row r="1096" spans="1:54" x14ac:dyDescent="0.2">
      <c r="B1096" s="3"/>
      <c r="C1096" s="1"/>
      <c r="BA1096" s="2"/>
    </row>
    <row r="1097" spans="1:54" x14ac:dyDescent="0.2">
      <c r="B1097" s="3"/>
      <c r="C1097" s="1"/>
      <c r="E1097" s="13"/>
      <c r="F1097" s="43"/>
      <c r="BA1097" s="2"/>
    </row>
    <row r="1098" spans="1:54" x14ac:dyDescent="0.2">
      <c r="B1098" s="3"/>
      <c r="C1098" s="1"/>
      <c r="E1098" s="3"/>
      <c r="F1098" s="43"/>
      <c r="BA1098" s="2"/>
    </row>
    <row r="1099" spans="1:54" x14ac:dyDescent="0.2">
      <c r="B1099" s="3"/>
      <c r="C1099" s="1"/>
      <c r="E1099" s="3"/>
      <c r="F1099" s="43"/>
    </row>
    <row r="1100" spans="1:54" x14ac:dyDescent="0.2">
      <c r="B1100" s="3"/>
      <c r="C1100" s="1"/>
      <c r="E1100" s="3"/>
      <c r="F1100" s="43"/>
      <c r="K1100" s="3"/>
      <c r="BA1100" s="2"/>
    </row>
    <row r="1101" spans="1:54" s="3" customFormat="1" x14ac:dyDescent="0.2">
      <c r="A1101" s="1"/>
      <c r="C1101" s="1"/>
      <c r="F1101" s="43"/>
      <c r="S1101" s="1"/>
      <c r="T1101" s="1"/>
      <c r="U1101" s="1"/>
      <c r="V1101" s="1"/>
      <c r="AA1101" s="29"/>
      <c r="AD1101" s="29"/>
      <c r="AG1101" s="29"/>
      <c r="AJ1101" s="29"/>
      <c r="AS1101" s="29"/>
      <c r="AW1101" s="29"/>
      <c r="AX1101" s="1"/>
    </row>
    <row r="1102" spans="1:54" s="3" customFormat="1" x14ac:dyDescent="0.2">
      <c r="A1102" s="1"/>
      <c r="C1102" s="1"/>
      <c r="F1102" s="43"/>
      <c r="S1102" s="1"/>
      <c r="T1102" s="1"/>
      <c r="U1102" s="1"/>
      <c r="V1102" s="1"/>
      <c r="AA1102" s="29"/>
      <c r="AD1102" s="29"/>
      <c r="AG1102" s="29"/>
      <c r="AJ1102" s="29"/>
      <c r="AS1102" s="29"/>
      <c r="AW1102" s="29"/>
      <c r="AX1102" s="1"/>
    </row>
    <row r="1103" spans="1:54" s="3" customFormat="1" x14ac:dyDescent="0.2">
      <c r="A1103" s="1"/>
      <c r="C1103" s="1"/>
      <c r="F1103" s="43"/>
      <c r="S1103" s="1"/>
      <c r="T1103" s="1"/>
      <c r="U1103" s="1"/>
      <c r="V1103" s="1"/>
      <c r="AA1103" s="29"/>
      <c r="AD1103" s="29"/>
      <c r="AG1103" s="29"/>
      <c r="AJ1103" s="29"/>
      <c r="AS1103" s="29"/>
      <c r="AW1103" s="29"/>
      <c r="AX1103" s="1"/>
    </row>
    <row r="1104" spans="1:54" s="3" customFormat="1" x14ac:dyDescent="0.2">
      <c r="A1104" s="1"/>
      <c r="C1104" s="1"/>
      <c r="F1104" s="43"/>
      <c r="K1104" s="15"/>
      <c r="S1104" s="1"/>
      <c r="T1104" s="1"/>
      <c r="U1104" s="1"/>
      <c r="V1104" s="1"/>
      <c r="AA1104" s="29"/>
      <c r="AD1104" s="29"/>
      <c r="AG1104" s="29"/>
      <c r="AJ1104" s="29"/>
      <c r="AS1104" s="29"/>
      <c r="AW1104" s="29"/>
      <c r="AX1104" s="22"/>
    </row>
    <row r="1105" spans="1:53" s="14" customFormat="1" x14ac:dyDescent="0.2">
      <c r="A1105" s="22"/>
      <c r="C1105" s="22"/>
      <c r="F1105" s="44"/>
      <c r="K1105" s="19"/>
      <c r="S1105" s="22"/>
      <c r="T1105" s="22"/>
      <c r="U1105" s="22"/>
      <c r="V1105" s="22"/>
      <c r="AA1105" s="28"/>
      <c r="AD1105" s="28"/>
      <c r="AG1105" s="28"/>
      <c r="AJ1105" s="28"/>
      <c r="AS1105" s="28"/>
      <c r="AW1105" s="28"/>
      <c r="AX1105" s="1"/>
    </row>
    <row r="1106" spans="1:53" s="3" customFormat="1" x14ac:dyDescent="0.2">
      <c r="A1106" s="1"/>
      <c r="C1106" s="1"/>
      <c r="F1106" s="43"/>
      <c r="K1106" s="15"/>
      <c r="S1106" s="1"/>
      <c r="T1106" s="1"/>
      <c r="U1106" s="1"/>
      <c r="V1106" s="1"/>
      <c r="AA1106" s="29"/>
      <c r="AD1106" s="29"/>
      <c r="AG1106" s="29"/>
      <c r="AJ1106" s="29"/>
      <c r="AS1106" s="29"/>
      <c r="AW1106" s="29"/>
      <c r="AX1106" s="22"/>
    </row>
    <row r="1107" spans="1:53" s="14" customFormat="1" x14ac:dyDescent="0.2">
      <c r="A1107" s="22"/>
      <c r="C1107" s="22"/>
      <c r="F1107" s="44"/>
      <c r="K1107" s="19"/>
      <c r="S1107" s="22"/>
      <c r="T1107" s="22"/>
      <c r="U1107" s="22"/>
      <c r="V1107" s="22"/>
      <c r="AA1107" s="28"/>
      <c r="AD1107" s="28"/>
      <c r="AG1107" s="28"/>
      <c r="AJ1107" s="28"/>
      <c r="AS1107" s="28"/>
      <c r="AW1107" s="28"/>
      <c r="AX1107" s="1"/>
    </row>
    <row r="1108" spans="1:53" s="3" customFormat="1" x14ac:dyDescent="0.2">
      <c r="A1108" s="1"/>
      <c r="C1108" s="1"/>
      <c r="F1108" s="43"/>
      <c r="S1108" s="1"/>
      <c r="T1108" s="1"/>
      <c r="U1108" s="1"/>
      <c r="V1108" s="1"/>
      <c r="AA1108" s="29"/>
      <c r="AD1108" s="29"/>
      <c r="AG1108" s="29"/>
      <c r="AJ1108" s="29"/>
      <c r="AS1108" s="29"/>
      <c r="AW1108" s="29"/>
      <c r="AX1108" s="1"/>
    </row>
    <row r="1109" spans="1:53" x14ac:dyDescent="0.2">
      <c r="B1109" s="20"/>
      <c r="BA1109" s="2"/>
    </row>
    <row r="1110" spans="1:53" x14ac:dyDescent="0.2">
      <c r="B1110" s="20"/>
      <c r="BA1110" s="2"/>
    </row>
    <row r="1111" spans="1:53" x14ac:dyDescent="0.2">
      <c r="B1111" s="20"/>
      <c r="BA1111" s="2"/>
    </row>
    <row r="1112" spans="1:53" x14ac:dyDescent="0.2">
      <c r="B1112" s="20"/>
      <c r="BA1112" s="2"/>
    </row>
    <row r="1113" spans="1:53" x14ac:dyDescent="0.2">
      <c r="B1113" s="20"/>
      <c r="BA1113" s="2"/>
    </row>
    <row r="1114" spans="1:53" x14ac:dyDescent="0.2">
      <c r="BA1114" s="2"/>
    </row>
    <row r="1115" spans="1:53" x14ac:dyDescent="0.2">
      <c r="AX1115" s="6"/>
    </row>
  </sheetData>
  <autoFilter ref="B1:CJ387"/>
  <sortState ref="B2:AZ1114">
    <sortCondition ref="D2:D1114"/>
  </sortState>
  <phoneticPr fontId="10" type="noConversion"/>
  <printOptions gridLines="1"/>
  <pageMargins left="0.42" right="0.32" top="0.5" bottom="0.52" header="0.5" footer="0.5"/>
  <pageSetup paperSize="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MHZ</vt:lpstr>
      <vt:lpstr>'List MHZ'!Print_Titles</vt:lpstr>
    </vt:vector>
  </TitlesOfParts>
  <Company>S.C.R. - SIBELCO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keywords>MHZ</cp:keywords>
  <cp:lastModifiedBy>Tonny Lemmens</cp:lastModifiedBy>
  <cp:lastPrinted>2010-05-18T13:02:33Z</cp:lastPrinted>
  <dcterms:created xsi:type="dcterms:W3CDTF">2000-09-25T11:09:14Z</dcterms:created>
  <dcterms:modified xsi:type="dcterms:W3CDTF">2010-06-11T14:45:46Z</dcterms:modified>
</cp:coreProperties>
</file>